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hidePivotFieldList="1"/>
  <mc:AlternateContent xmlns:mc="http://schemas.openxmlformats.org/markup-compatibility/2006">
    <mc:Choice Requires="x15">
      <x15ac:absPath xmlns:x15ac="http://schemas.microsoft.com/office/spreadsheetml/2010/11/ac" url="D:\Users\x900536\Desktop\Documentacao\Timesheet\"/>
    </mc:Choice>
  </mc:AlternateContent>
  <xr:revisionPtr revIDLastSave="0" documentId="13_ncr:1_{96AAA475-A5E4-4767-817B-230D8DE61175}" xr6:coauthVersionLast="46" xr6:coauthVersionMax="46" xr10:uidLastSave="{00000000-0000-0000-0000-000000000000}"/>
  <bookViews>
    <workbookView xWindow="-120" yWindow="-120" windowWidth="24240" windowHeight="13140" activeTab="3" xr2:uid="{00000000-000D-0000-FFFF-FFFF00000000}"/>
  </bookViews>
  <sheets>
    <sheet name="Timesheet" sheetId="2" r:id="rId1"/>
    <sheet name="Mês 1" sheetId="6" state="hidden" r:id="rId2"/>
    <sheet name="Início|Fim 1" sheetId="7" state="hidden" r:id="rId3"/>
    <sheet name="Relatório" sheetId="1" r:id="rId4"/>
  </sheets>
  <definedNames>
    <definedName name="_xlnm._FilterDatabase" localSheetId="0" hidden="1">Timesheet!$A$12:$G$2526</definedName>
    <definedName name="_xlnm.Print_Area" localSheetId="3">Relatório!$A$2:$Y$99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N77" i="6" l="1"/>
  <c r="BN78" i="6"/>
  <c r="BN79" i="6"/>
  <c r="BN80" i="6"/>
  <c r="BN81" i="6"/>
  <c r="BN82" i="6"/>
  <c r="BN83" i="6"/>
  <c r="BN84" i="6"/>
  <c r="BN85" i="6"/>
  <c r="BN86" i="6"/>
  <c r="BN87" i="6"/>
  <c r="BN88" i="6"/>
  <c r="BN89" i="6"/>
  <c r="BN90" i="6"/>
  <c r="BN91" i="6"/>
  <c r="BN92" i="6"/>
  <c r="BN93" i="6"/>
  <c r="BN94" i="6"/>
  <c r="BN95" i="6"/>
  <c r="BN96" i="6"/>
  <c r="BN97" i="6"/>
  <c r="BN98" i="6"/>
  <c r="BN99" i="6"/>
  <c r="BN100" i="6"/>
  <c r="BN101" i="6"/>
  <c r="BN102" i="6"/>
  <c r="BN103" i="6"/>
  <c r="BN104" i="6"/>
  <c r="BN105" i="6"/>
  <c r="BN106" i="6"/>
  <c r="BN76" i="6"/>
  <c r="BN42" i="6"/>
  <c r="BN43" i="6"/>
  <c r="BN44" i="6"/>
  <c r="BN45" i="6"/>
  <c r="BN46" i="6"/>
  <c r="BN47" i="6"/>
  <c r="BN48" i="6"/>
  <c r="BN49" i="6"/>
  <c r="BN50" i="6"/>
  <c r="BN51" i="6"/>
  <c r="BN52" i="6"/>
  <c r="BN53" i="6"/>
  <c r="BN54" i="6"/>
  <c r="BN55" i="6"/>
  <c r="BN56" i="6"/>
  <c r="BN57" i="6"/>
  <c r="BN58" i="6"/>
  <c r="BN59" i="6"/>
  <c r="BN60" i="6"/>
  <c r="BN61" i="6"/>
  <c r="BN62" i="6"/>
  <c r="BN63" i="6"/>
  <c r="BN64" i="6"/>
  <c r="BN65" i="6"/>
  <c r="BN66" i="6"/>
  <c r="BN67" i="6"/>
  <c r="BN68" i="6"/>
  <c r="BN69" i="6"/>
  <c r="BN70" i="6"/>
  <c r="BN41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76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41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76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41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76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41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4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76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4" i="6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" i="7"/>
  <c r="J61" i="1"/>
  <c r="L34" i="6" a="1"/>
  <c r="L34" i="6" s="1"/>
  <c r="L3" i="7"/>
  <c r="BM76" i="6"/>
  <c r="BL76" i="6"/>
  <c r="AY76" i="6"/>
  <c r="AX76" i="6"/>
  <c r="AK76" i="6"/>
  <c r="AJ76" i="6"/>
  <c r="W76" i="6"/>
  <c r="V76" i="6"/>
  <c r="I76" i="6"/>
  <c r="H76" i="6"/>
  <c r="BM41" i="6"/>
  <c r="BL41" i="6"/>
  <c r="AY41" i="6"/>
  <c r="AX41" i="6"/>
  <c r="AK41" i="6"/>
  <c r="AJ41" i="6"/>
  <c r="W41" i="6"/>
  <c r="V41" i="6"/>
  <c r="I41" i="6"/>
  <c r="H41" i="6"/>
  <c r="W4" i="6"/>
  <c r="V4" i="6"/>
  <c r="H5" i="6"/>
  <c r="I5" i="6"/>
  <c r="H6" i="6"/>
  <c r="H7" i="6"/>
  <c r="I7" i="6"/>
  <c r="H8" i="6"/>
  <c r="I8" i="6"/>
  <c r="H9" i="6"/>
  <c r="I9" i="6"/>
  <c r="H10" i="6"/>
  <c r="I10" i="6"/>
  <c r="H11" i="6"/>
  <c r="I11" i="6"/>
  <c r="H12" i="6"/>
  <c r="I12" i="6"/>
  <c r="H13" i="6"/>
  <c r="I13" i="6"/>
  <c r="H14" i="6"/>
  <c r="I14" i="6"/>
  <c r="H15" i="6"/>
  <c r="I15" i="6"/>
  <c r="H16" i="6"/>
  <c r="I16" i="6"/>
  <c r="H17" i="6"/>
  <c r="I17" i="6"/>
  <c r="H18" i="6"/>
  <c r="I18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31" i="6"/>
  <c r="H32" i="6"/>
  <c r="I32" i="6"/>
  <c r="H33" i="6"/>
  <c r="I33" i="6"/>
  <c r="I34" i="6"/>
  <c r="X106" i="6" l="1"/>
  <c r="L51" i="1" s="1"/>
  <c r="AL72" i="6"/>
  <c r="N51" i="1" s="1"/>
  <c r="BN107" i="6"/>
  <c r="X51" i="1" s="1"/>
  <c r="J35" i="6"/>
  <c r="B51" i="1" s="1"/>
  <c r="X72" i="6"/>
  <c r="J51" i="1" s="1"/>
  <c r="BN71" i="6"/>
  <c r="V51" i="1" s="1"/>
  <c r="AZ107" i="6"/>
  <c r="T51" i="1" s="1"/>
  <c r="J106" i="6"/>
  <c r="H51" i="1" s="1"/>
  <c r="AZ71" i="6"/>
  <c r="R51" i="1" s="1"/>
  <c r="X32" i="6"/>
  <c r="D51" i="1" s="1"/>
  <c r="AL107" i="6"/>
  <c r="P51" i="1" s="1"/>
  <c r="J72" i="6"/>
  <c r="F51" i="1" s="1"/>
  <c r="N370" i="7"/>
  <c r="B35" i="1" s="1"/>
  <c r="L4" i="7"/>
  <c r="M4" i="7"/>
  <c r="L5" i="7"/>
  <c r="L6" i="7"/>
  <c r="M6" i="7"/>
  <c r="L7" i="7"/>
  <c r="M7" i="7"/>
  <c r="L8" i="7"/>
  <c r="M8" i="7"/>
  <c r="L9" i="7"/>
  <c r="M9" i="7"/>
  <c r="L10" i="7"/>
  <c r="M10" i="7"/>
  <c r="L11" i="7"/>
  <c r="M11" i="7"/>
  <c r="L12" i="7"/>
  <c r="M12" i="7"/>
  <c r="L13" i="7"/>
  <c r="M13" i="7"/>
  <c r="L14" i="7"/>
  <c r="M14" i="7"/>
  <c r="L15" i="7"/>
  <c r="M15" i="7"/>
  <c r="L16" i="7"/>
  <c r="M16" i="7"/>
  <c r="L17" i="7"/>
  <c r="M17" i="7"/>
  <c r="L18" i="7"/>
  <c r="M18" i="7"/>
  <c r="L19" i="7"/>
  <c r="M19" i="7"/>
  <c r="L20" i="7"/>
  <c r="M20" i="7"/>
  <c r="L21" i="7"/>
  <c r="M21" i="7"/>
  <c r="L22" i="7"/>
  <c r="M22" i="7"/>
  <c r="L23" i="7"/>
  <c r="M23" i="7"/>
  <c r="L24" i="7"/>
  <c r="M24" i="7"/>
  <c r="L25" i="7"/>
  <c r="M25" i="7"/>
  <c r="L26" i="7"/>
  <c r="M26" i="7"/>
  <c r="L27" i="7"/>
  <c r="M27" i="7"/>
  <c r="L28" i="7"/>
  <c r="M30" i="7"/>
  <c r="L31" i="7"/>
  <c r="M31" i="7"/>
  <c r="L32" i="7"/>
  <c r="M32" i="7"/>
  <c r="M33" i="7"/>
  <c r="L34" i="7"/>
  <c r="M34" i="7"/>
  <c r="L35" i="7"/>
  <c r="M35" i="7"/>
  <c r="L36" i="7"/>
  <c r="M36" i="7"/>
  <c r="L37" i="7"/>
  <c r="M37" i="7"/>
  <c r="L38" i="7"/>
  <c r="M38" i="7"/>
  <c r="L39" i="7"/>
  <c r="M39" i="7"/>
  <c r="L40" i="7"/>
  <c r="M40" i="7"/>
  <c r="L41" i="7"/>
  <c r="M41" i="7"/>
  <c r="L42" i="7"/>
  <c r="M42" i="7"/>
  <c r="L43" i="7"/>
  <c r="M43" i="7"/>
  <c r="L44" i="7"/>
  <c r="M44" i="7"/>
  <c r="L45" i="7"/>
  <c r="M45" i="7"/>
  <c r="L46" i="7"/>
  <c r="M46" i="7"/>
  <c r="L47" i="7"/>
  <c r="M47" i="7"/>
  <c r="L48" i="7"/>
  <c r="M48" i="7"/>
  <c r="L49" i="7"/>
  <c r="M49" i="7"/>
  <c r="L50" i="7"/>
  <c r="M50" i="7"/>
  <c r="L51" i="7"/>
  <c r="M51" i="7"/>
  <c r="L52" i="7"/>
  <c r="M52" i="7"/>
  <c r="L53" i="7"/>
  <c r="M53" i="7"/>
  <c r="L54" i="7"/>
  <c r="M54" i="7"/>
  <c r="L55" i="7"/>
  <c r="M55" i="7"/>
  <c r="L56" i="7"/>
  <c r="M56" i="7"/>
  <c r="L57" i="7"/>
  <c r="M57" i="7"/>
  <c r="L58" i="7"/>
  <c r="M58" i="7"/>
  <c r="L59" i="7"/>
  <c r="M59" i="7"/>
  <c r="L60" i="7"/>
  <c r="M60" i="7"/>
  <c r="L61" i="7"/>
  <c r="M61" i="7"/>
  <c r="L62" i="7"/>
  <c r="M62" i="7"/>
  <c r="L63" i="7"/>
  <c r="M63" i="7"/>
  <c r="L64" i="7"/>
  <c r="M64" i="7"/>
  <c r="L65" i="7"/>
  <c r="M65" i="7"/>
  <c r="L66" i="7"/>
  <c r="M66" i="7"/>
  <c r="L67" i="7"/>
  <c r="M67" i="7"/>
  <c r="L68" i="7"/>
  <c r="M68" i="7"/>
  <c r="L69" i="7"/>
  <c r="M69" i="7"/>
  <c r="L70" i="7"/>
  <c r="M70" i="7"/>
  <c r="L71" i="7"/>
  <c r="M71" i="7"/>
  <c r="L72" i="7"/>
  <c r="M72" i="7"/>
  <c r="L73" i="7"/>
  <c r="M73" i="7"/>
  <c r="L74" i="7"/>
  <c r="M74" i="7"/>
  <c r="L75" i="7"/>
  <c r="M75" i="7"/>
  <c r="L76" i="7"/>
  <c r="M76" i="7"/>
  <c r="L77" i="7"/>
  <c r="M77" i="7"/>
  <c r="L78" i="7"/>
  <c r="M78" i="7"/>
  <c r="L79" i="7"/>
  <c r="M79" i="7"/>
  <c r="L80" i="7"/>
  <c r="M80" i="7"/>
  <c r="L81" i="7"/>
  <c r="M81" i="7"/>
  <c r="L82" i="7"/>
  <c r="M82" i="7"/>
  <c r="L83" i="7"/>
  <c r="M83" i="7"/>
  <c r="L84" i="7"/>
  <c r="M84" i="7"/>
  <c r="L85" i="7"/>
  <c r="M85" i="7"/>
  <c r="L86" i="7"/>
  <c r="M86" i="7"/>
  <c r="L87" i="7"/>
  <c r="M87" i="7"/>
  <c r="L88" i="7"/>
  <c r="L89" i="7"/>
  <c r="M89" i="7"/>
  <c r="L90" i="7"/>
  <c r="M90" i="7"/>
  <c r="L91" i="7"/>
  <c r="M91" i="7"/>
  <c r="L92" i="7"/>
  <c r="M92" i="7"/>
  <c r="L93" i="7"/>
  <c r="M93" i="7"/>
  <c r="L94" i="7"/>
  <c r="M94" i="7"/>
  <c r="L95" i="7"/>
  <c r="M96" i="7"/>
  <c r="M97" i="7"/>
  <c r="M98" i="7"/>
  <c r="L99" i="7"/>
  <c r="M99" i="7"/>
  <c r="L100" i="7"/>
  <c r="M100" i="7"/>
  <c r="L101" i="7"/>
  <c r="M101" i="7"/>
  <c r="L102" i="7"/>
  <c r="M102" i="7"/>
  <c r="L103" i="7"/>
  <c r="M103" i="7"/>
  <c r="M104" i="7"/>
  <c r="L105" i="7"/>
  <c r="L107" i="7"/>
  <c r="M107" i="7"/>
  <c r="L108" i="7"/>
  <c r="M108" i="7"/>
  <c r="L109" i="7"/>
  <c r="M109" i="7"/>
  <c r="L110" i="7"/>
  <c r="M110" i="7"/>
  <c r="L111" i="7"/>
  <c r="M111" i="7"/>
  <c r="L112" i="7"/>
  <c r="M112" i="7"/>
  <c r="L113" i="7"/>
  <c r="M113" i="7"/>
  <c r="L114" i="7"/>
  <c r="M114" i="7"/>
  <c r="L115" i="7"/>
  <c r="M115" i="7"/>
  <c r="L116" i="7"/>
  <c r="M116" i="7"/>
  <c r="L117" i="7"/>
  <c r="M117" i="7"/>
  <c r="L118" i="7"/>
  <c r="M118" i="7"/>
  <c r="L119" i="7"/>
  <c r="M119" i="7"/>
  <c r="L120" i="7"/>
  <c r="M120" i="7"/>
  <c r="L121" i="7"/>
  <c r="M121" i="7"/>
  <c r="L122" i="7"/>
  <c r="M122" i="7"/>
  <c r="L123" i="7"/>
  <c r="M123" i="7"/>
  <c r="L124" i="7"/>
  <c r="M124" i="7"/>
  <c r="L125" i="7"/>
  <c r="M125" i="7"/>
  <c r="L126" i="7"/>
  <c r="M126" i="7"/>
  <c r="L127" i="7"/>
  <c r="M127" i="7"/>
  <c r="L128" i="7"/>
  <c r="M128" i="7"/>
  <c r="L129" i="7"/>
  <c r="M129" i="7"/>
  <c r="L130" i="7"/>
  <c r="M130" i="7"/>
  <c r="L131" i="7"/>
  <c r="M131" i="7"/>
  <c r="L132" i="7"/>
  <c r="M132" i="7"/>
  <c r="L133" i="7"/>
  <c r="M133" i="7"/>
  <c r="L134" i="7"/>
  <c r="M134" i="7"/>
  <c r="L135" i="7"/>
  <c r="M135" i="7"/>
  <c r="L136" i="7"/>
  <c r="M136" i="7"/>
  <c r="L137" i="7"/>
  <c r="M137" i="7"/>
  <c r="L138" i="7"/>
  <c r="M138" i="7"/>
  <c r="L139" i="7"/>
  <c r="M139" i="7"/>
  <c r="L140" i="7"/>
  <c r="M140" i="7"/>
  <c r="L141" i="7"/>
  <c r="M141" i="7"/>
  <c r="L142" i="7"/>
  <c r="M142" i="7"/>
  <c r="L143" i="7"/>
  <c r="M143" i="7"/>
  <c r="L144" i="7"/>
  <c r="M144" i="7"/>
  <c r="L145" i="7"/>
  <c r="M145" i="7"/>
  <c r="L146" i="7"/>
  <c r="M146" i="7"/>
  <c r="L147" i="7"/>
  <c r="M147" i="7"/>
  <c r="L148" i="7"/>
  <c r="M148" i="7"/>
  <c r="L149" i="7"/>
  <c r="M149" i="7"/>
  <c r="L150" i="7"/>
  <c r="M150" i="7"/>
  <c r="L151" i="7"/>
  <c r="M151" i="7"/>
  <c r="L152" i="7"/>
  <c r="M152" i="7"/>
  <c r="L153" i="7"/>
  <c r="M153" i="7"/>
  <c r="L154" i="7"/>
  <c r="M154" i="7"/>
  <c r="L155" i="7"/>
  <c r="M155" i="7"/>
  <c r="L156" i="7"/>
  <c r="M156" i="7"/>
  <c r="L157" i="7"/>
  <c r="M157" i="7"/>
  <c r="L158" i="7"/>
  <c r="M158" i="7"/>
  <c r="L159" i="7"/>
  <c r="M159" i="7"/>
  <c r="L160" i="7"/>
  <c r="M160" i="7"/>
  <c r="L161" i="7"/>
  <c r="M161" i="7"/>
  <c r="L162" i="7"/>
  <c r="M162" i="7"/>
  <c r="L163" i="7"/>
  <c r="M163" i="7"/>
  <c r="L164" i="7"/>
  <c r="M164" i="7"/>
  <c r="L165" i="7"/>
  <c r="M165" i="7"/>
  <c r="L166" i="7"/>
  <c r="M166" i="7"/>
  <c r="L167" i="7"/>
  <c r="M167" i="7"/>
  <c r="L168" i="7"/>
  <c r="M168" i="7"/>
  <c r="L169" i="7"/>
  <c r="M169" i="7"/>
  <c r="L170" i="7"/>
  <c r="M170" i="7"/>
  <c r="L171" i="7"/>
  <c r="M171" i="7"/>
  <c r="L172" i="7"/>
  <c r="M172" i="7"/>
  <c r="L173" i="7"/>
  <c r="M173" i="7"/>
  <c r="L174" i="7"/>
  <c r="M174" i="7"/>
  <c r="L175" i="7"/>
  <c r="M175" i="7"/>
  <c r="L176" i="7"/>
  <c r="M176" i="7"/>
  <c r="L177" i="7"/>
  <c r="M177" i="7"/>
  <c r="L178" i="7"/>
  <c r="M178" i="7"/>
  <c r="L179" i="7"/>
  <c r="M179" i="7"/>
  <c r="L180" i="7"/>
  <c r="M180" i="7"/>
  <c r="L181" i="7"/>
  <c r="M181" i="7"/>
  <c r="L182" i="7"/>
  <c r="M182" i="7"/>
  <c r="L183" i="7"/>
  <c r="M183" i="7"/>
  <c r="L184" i="7"/>
  <c r="M184" i="7"/>
  <c r="L185" i="7"/>
  <c r="M185" i="7"/>
  <c r="L186" i="7"/>
  <c r="M186" i="7"/>
  <c r="L187" i="7"/>
  <c r="M187" i="7"/>
  <c r="L188" i="7"/>
  <c r="M188" i="7"/>
  <c r="L189" i="7"/>
  <c r="M189" i="7"/>
  <c r="L190" i="7"/>
  <c r="M190" i="7"/>
  <c r="L191" i="7"/>
  <c r="M191" i="7"/>
  <c r="L192" i="7"/>
  <c r="M192" i="7"/>
  <c r="L193" i="7"/>
  <c r="M193" i="7"/>
  <c r="L194" i="7"/>
  <c r="M194" i="7"/>
  <c r="L195" i="7"/>
  <c r="M195" i="7"/>
  <c r="L196" i="7"/>
  <c r="M196" i="7"/>
  <c r="L197" i="7"/>
  <c r="M197" i="7"/>
  <c r="L198" i="7"/>
  <c r="M198" i="7"/>
  <c r="L199" i="7"/>
  <c r="M199" i="7"/>
  <c r="L200" i="7"/>
  <c r="M200" i="7"/>
  <c r="L201" i="7"/>
  <c r="M201" i="7"/>
  <c r="L202" i="7"/>
  <c r="M202" i="7"/>
  <c r="L203" i="7"/>
  <c r="M203" i="7"/>
  <c r="L204" i="7"/>
  <c r="M204" i="7"/>
  <c r="L205" i="7"/>
  <c r="M205" i="7"/>
  <c r="L206" i="7"/>
  <c r="M206" i="7"/>
  <c r="L207" i="7"/>
  <c r="M207" i="7"/>
  <c r="L208" i="7"/>
  <c r="M208" i="7"/>
  <c r="L209" i="7"/>
  <c r="M209" i="7"/>
  <c r="L210" i="7"/>
  <c r="M210" i="7"/>
  <c r="L211" i="7"/>
  <c r="M211" i="7"/>
  <c r="L212" i="7"/>
  <c r="M212" i="7"/>
  <c r="L213" i="7"/>
  <c r="M213" i="7"/>
  <c r="L214" i="7"/>
  <c r="M214" i="7"/>
  <c r="L215" i="7"/>
  <c r="M215" i="7"/>
  <c r="L216" i="7"/>
  <c r="M216" i="7"/>
  <c r="L217" i="7"/>
  <c r="M217" i="7"/>
  <c r="L218" i="7"/>
  <c r="M218" i="7"/>
  <c r="L219" i="7"/>
  <c r="M219" i="7"/>
  <c r="L220" i="7"/>
  <c r="M220" i="7"/>
  <c r="L221" i="7"/>
  <c r="M221" i="7"/>
  <c r="L222" i="7"/>
  <c r="M222" i="7"/>
  <c r="L223" i="7"/>
  <c r="M223" i="7"/>
  <c r="L224" i="7"/>
  <c r="M224" i="7"/>
  <c r="L225" i="7"/>
  <c r="M225" i="7"/>
  <c r="L226" i="7"/>
  <c r="M226" i="7"/>
  <c r="L227" i="7"/>
  <c r="M227" i="7"/>
  <c r="L228" i="7"/>
  <c r="M228" i="7"/>
  <c r="L229" i="7"/>
  <c r="M229" i="7"/>
  <c r="L230" i="7"/>
  <c r="M230" i="7"/>
  <c r="L231" i="7"/>
  <c r="M231" i="7"/>
  <c r="L232" i="7"/>
  <c r="M232" i="7"/>
  <c r="L233" i="7"/>
  <c r="M233" i="7"/>
  <c r="L234" i="7"/>
  <c r="M234" i="7"/>
  <c r="L235" i="7"/>
  <c r="M235" i="7"/>
  <c r="L236" i="7"/>
  <c r="M236" i="7"/>
  <c r="L237" i="7"/>
  <c r="M237" i="7"/>
  <c r="L238" i="7"/>
  <c r="M238" i="7"/>
  <c r="L239" i="7"/>
  <c r="M239" i="7"/>
  <c r="L240" i="7"/>
  <c r="M240" i="7"/>
  <c r="L241" i="7"/>
  <c r="M241" i="7"/>
  <c r="L242" i="7"/>
  <c r="M242" i="7"/>
  <c r="L243" i="7"/>
  <c r="M243" i="7"/>
  <c r="L244" i="7"/>
  <c r="M244" i="7"/>
  <c r="L245" i="7"/>
  <c r="M245" i="7"/>
  <c r="L246" i="7"/>
  <c r="M246" i="7"/>
  <c r="L247" i="7"/>
  <c r="M247" i="7"/>
  <c r="L248" i="7"/>
  <c r="M248" i="7"/>
  <c r="L249" i="7"/>
  <c r="M249" i="7"/>
  <c r="L250" i="7"/>
  <c r="M250" i="7"/>
  <c r="L251" i="7"/>
  <c r="M251" i="7"/>
  <c r="L252" i="7"/>
  <c r="M252" i="7"/>
  <c r="L253" i="7"/>
  <c r="M253" i="7"/>
  <c r="L254" i="7"/>
  <c r="M254" i="7"/>
  <c r="L255" i="7"/>
  <c r="M255" i="7"/>
  <c r="L256" i="7"/>
  <c r="M256" i="7"/>
  <c r="L257" i="7"/>
  <c r="M257" i="7"/>
  <c r="L258" i="7"/>
  <c r="M258" i="7"/>
  <c r="L259" i="7"/>
  <c r="M259" i="7"/>
  <c r="L260" i="7"/>
  <c r="M260" i="7"/>
  <c r="L261" i="7"/>
  <c r="M261" i="7"/>
  <c r="L262" i="7"/>
  <c r="M262" i="7"/>
  <c r="L263" i="7"/>
  <c r="M263" i="7"/>
  <c r="L264" i="7"/>
  <c r="M264" i="7"/>
  <c r="L265" i="7"/>
  <c r="M265" i="7"/>
  <c r="L266" i="7"/>
  <c r="M266" i="7"/>
  <c r="L267" i="7"/>
  <c r="M267" i="7"/>
  <c r="L268" i="7"/>
  <c r="M268" i="7"/>
  <c r="L269" i="7"/>
  <c r="M269" i="7"/>
  <c r="L270" i="7"/>
  <c r="M270" i="7"/>
  <c r="L271" i="7"/>
  <c r="M271" i="7"/>
  <c r="L272" i="7"/>
  <c r="M272" i="7"/>
  <c r="L273" i="7"/>
  <c r="M273" i="7"/>
  <c r="L274" i="7"/>
  <c r="M274" i="7"/>
  <c r="L275" i="7"/>
  <c r="M275" i="7"/>
  <c r="L276" i="7"/>
  <c r="M276" i="7"/>
  <c r="L277" i="7"/>
  <c r="M277" i="7"/>
  <c r="L278" i="7"/>
  <c r="M278" i="7"/>
  <c r="L279" i="7"/>
  <c r="M279" i="7"/>
  <c r="L280" i="7"/>
  <c r="M280" i="7"/>
  <c r="L281" i="7"/>
  <c r="M281" i="7"/>
  <c r="L282" i="7"/>
  <c r="M282" i="7"/>
  <c r="L283" i="7"/>
  <c r="M283" i="7"/>
  <c r="L284" i="7"/>
  <c r="M284" i="7"/>
  <c r="L285" i="7"/>
  <c r="M285" i="7"/>
  <c r="L286" i="7"/>
  <c r="M286" i="7"/>
  <c r="L287" i="7"/>
  <c r="M287" i="7"/>
  <c r="L288" i="7"/>
  <c r="M288" i="7"/>
  <c r="L289" i="7"/>
  <c r="M289" i="7"/>
  <c r="L290" i="7"/>
  <c r="M290" i="7"/>
  <c r="L291" i="7"/>
  <c r="M291" i="7"/>
  <c r="L292" i="7"/>
  <c r="M292" i="7"/>
  <c r="L293" i="7"/>
  <c r="M293" i="7"/>
  <c r="L294" i="7"/>
  <c r="M294" i="7"/>
  <c r="L295" i="7"/>
  <c r="M295" i="7"/>
  <c r="L296" i="7"/>
  <c r="M296" i="7"/>
  <c r="L297" i="7"/>
  <c r="M297" i="7"/>
  <c r="L298" i="7"/>
  <c r="M298" i="7"/>
  <c r="L299" i="7"/>
  <c r="M299" i="7"/>
  <c r="L300" i="7"/>
  <c r="M300" i="7"/>
  <c r="L301" i="7"/>
  <c r="M301" i="7"/>
  <c r="L302" i="7"/>
  <c r="M302" i="7"/>
  <c r="L303" i="7"/>
  <c r="M303" i="7"/>
  <c r="L304" i="7"/>
  <c r="M304" i="7"/>
  <c r="L305" i="7"/>
  <c r="M305" i="7"/>
  <c r="L306" i="7"/>
  <c r="M306" i="7"/>
  <c r="L307" i="7"/>
  <c r="M307" i="7"/>
  <c r="L308" i="7"/>
  <c r="M308" i="7"/>
  <c r="L309" i="7"/>
  <c r="M309" i="7"/>
  <c r="L310" i="7"/>
  <c r="M310" i="7"/>
  <c r="L311" i="7"/>
  <c r="M311" i="7"/>
  <c r="L312" i="7"/>
  <c r="M312" i="7"/>
  <c r="L313" i="7"/>
  <c r="M313" i="7"/>
  <c r="L314" i="7"/>
  <c r="M314" i="7"/>
  <c r="L315" i="7"/>
  <c r="M315" i="7"/>
  <c r="L316" i="7"/>
  <c r="M316" i="7"/>
  <c r="L317" i="7"/>
  <c r="M317" i="7"/>
  <c r="L318" i="7"/>
  <c r="M318" i="7"/>
  <c r="L319" i="7"/>
  <c r="M319" i="7"/>
  <c r="L320" i="7"/>
  <c r="M320" i="7"/>
  <c r="L321" i="7"/>
  <c r="M321" i="7"/>
  <c r="L322" i="7"/>
  <c r="M322" i="7"/>
  <c r="L323" i="7"/>
  <c r="M323" i="7"/>
  <c r="L324" i="7"/>
  <c r="M324" i="7"/>
  <c r="L325" i="7"/>
  <c r="M325" i="7"/>
  <c r="L326" i="7"/>
  <c r="M326" i="7"/>
  <c r="L327" i="7"/>
  <c r="M327" i="7"/>
  <c r="L328" i="7"/>
  <c r="M328" i="7"/>
  <c r="L329" i="7"/>
  <c r="M329" i="7"/>
  <c r="L330" i="7"/>
  <c r="M330" i="7"/>
  <c r="L331" i="7"/>
  <c r="M331" i="7"/>
  <c r="L332" i="7"/>
  <c r="M332" i="7"/>
  <c r="L333" i="7"/>
  <c r="M333" i="7"/>
  <c r="L334" i="7"/>
  <c r="M334" i="7"/>
  <c r="L335" i="7"/>
  <c r="M335" i="7"/>
  <c r="L336" i="7"/>
  <c r="M336" i="7"/>
  <c r="L337" i="7"/>
  <c r="M337" i="7"/>
  <c r="L338" i="7"/>
  <c r="M338" i="7"/>
  <c r="L339" i="7"/>
  <c r="M339" i="7"/>
  <c r="L340" i="7"/>
  <c r="M340" i="7"/>
  <c r="L341" i="7"/>
  <c r="M341" i="7"/>
  <c r="L342" i="7"/>
  <c r="M342" i="7"/>
  <c r="L343" i="7"/>
  <c r="M343" i="7"/>
  <c r="L344" i="7"/>
  <c r="M344" i="7"/>
  <c r="L345" i="7"/>
  <c r="M345" i="7"/>
  <c r="L346" i="7"/>
  <c r="M346" i="7"/>
  <c r="L347" i="7"/>
  <c r="M347" i="7"/>
  <c r="L348" i="7"/>
  <c r="M348" i="7"/>
  <c r="L349" i="7"/>
  <c r="M349" i="7"/>
  <c r="L350" i="7"/>
  <c r="M350" i="7"/>
  <c r="L351" i="7"/>
  <c r="M351" i="7"/>
  <c r="L352" i="7"/>
  <c r="M352" i="7"/>
  <c r="L353" i="7"/>
  <c r="M353" i="7"/>
  <c r="L354" i="7"/>
  <c r="M354" i="7"/>
  <c r="L355" i="7"/>
  <c r="M355" i="7"/>
  <c r="L356" i="7"/>
  <c r="M356" i="7"/>
  <c r="L357" i="7"/>
  <c r="M357" i="7"/>
  <c r="L358" i="7"/>
  <c r="M358" i="7"/>
  <c r="L359" i="7"/>
  <c r="M359" i="7"/>
  <c r="L360" i="7"/>
  <c r="M360" i="7"/>
  <c r="L361" i="7"/>
  <c r="M361" i="7"/>
  <c r="L362" i="7"/>
  <c r="M362" i="7"/>
  <c r="L363" i="7"/>
  <c r="M363" i="7"/>
  <c r="L364" i="7"/>
  <c r="M364" i="7"/>
  <c r="L365" i="7"/>
  <c r="M365" i="7"/>
  <c r="L366" i="7"/>
  <c r="M366" i="7"/>
  <c r="L367" i="7"/>
  <c r="M367" i="7"/>
  <c r="L368" i="7"/>
  <c r="M368" i="7"/>
  <c r="L369" i="7"/>
  <c r="M369" i="7"/>
  <c r="K3" i="7"/>
  <c r="BL77" i="6"/>
  <c r="BM77" i="6"/>
  <c r="BL78" i="6"/>
  <c r="BM78" i="6"/>
  <c r="BL79" i="6"/>
  <c r="BM79" i="6"/>
  <c r="BL80" i="6"/>
  <c r="BM80" i="6"/>
  <c r="BL81" i="6"/>
  <c r="BM81" i="6"/>
  <c r="BL82" i="6"/>
  <c r="BM82" i="6"/>
  <c r="BL83" i="6"/>
  <c r="BM83" i="6"/>
  <c r="BL84" i="6"/>
  <c r="BM84" i="6"/>
  <c r="BL85" i="6"/>
  <c r="BM85" i="6"/>
  <c r="BL86" i="6"/>
  <c r="BM86" i="6"/>
  <c r="BL87" i="6"/>
  <c r="BM87" i="6"/>
  <c r="BL88" i="6"/>
  <c r="BM88" i="6"/>
  <c r="BL89" i="6"/>
  <c r="BM89" i="6"/>
  <c r="BL90" i="6"/>
  <c r="BM90" i="6"/>
  <c r="BL91" i="6"/>
  <c r="BM91" i="6"/>
  <c r="BL92" i="6"/>
  <c r="BM92" i="6"/>
  <c r="BL93" i="6"/>
  <c r="BM93" i="6"/>
  <c r="BL94" i="6"/>
  <c r="BM94" i="6"/>
  <c r="BL95" i="6"/>
  <c r="BM95" i="6"/>
  <c r="BL96" i="6"/>
  <c r="BM96" i="6"/>
  <c r="BL97" i="6"/>
  <c r="BM97" i="6"/>
  <c r="BL98" i="6"/>
  <c r="BM98" i="6"/>
  <c r="BL99" i="6"/>
  <c r="BM99" i="6"/>
  <c r="BL100" i="6"/>
  <c r="BM100" i="6"/>
  <c r="BL101" i="6"/>
  <c r="BM101" i="6"/>
  <c r="BL102" i="6"/>
  <c r="BM102" i="6"/>
  <c r="BL103" i="6"/>
  <c r="BM103" i="6"/>
  <c r="BL104" i="6"/>
  <c r="BM104" i="6"/>
  <c r="BL105" i="6"/>
  <c r="BM105" i="6"/>
  <c r="BL106" i="6"/>
  <c r="BM106" i="6"/>
  <c r="BL42" i="6"/>
  <c r="BM42" i="6"/>
  <c r="BL43" i="6"/>
  <c r="BM43" i="6"/>
  <c r="BL44" i="6"/>
  <c r="BM44" i="6"/>
  <c r="BL45" i="6"/>
  <c r="BM45" i="6"/>
  <c r="BL46" i="6"/>
  <c r="BM46" i="6"/>
  <c r="BL47" i="6"/>
  <c r="BM47" i="6"/>
  <c r="BL48" i="6"/>
  <c r="BM48" i="6"/>
  <c r="BL49" i="6"/>
  <c r="BM49" i="6"/>
  <c r="BL50" i="6"/>
  <c r="BM50" i="6"/>
  <c r="BL51" i="6"/>
  <c r="BM51" i="6"/>
  <c r="BL52" i="6"/>
  <c r="BM52" i="6"/>
  <c r="BL53" i="6"/>
  <c r="BM53" i="6"/>
  <c r="BL54" i="6"/>
  <c r="BM54" i="6"/>
  <c r="BL55" i="6"/>
  <c r="BM55" i="6"/>
  <c r="BL56" i="6"/>
  <c r="BM56" i="6"/>
  <c r="BL57" i="6"/>
  <c r="BM57" i="6"/>
  <c r="BL58" i="6"/>
  <c r="BM58" i="6"/>
  <c r="BL59" i="6"/>
  <c r="BM59" i="6"/>
  <c r="BL60" i="6"/>
  <c r="BM60" i="6"/>
  <c r="BL61" i="6"/>
  <c r="BM61" i="6"/>
  <c r="BL62" i="6"/>
  <c r="BM62" i="6"/>
  <c r="BL63" i="6"/>
  <c r="BM63" i="6"/>
  <c r="BL64" i="6"/>
  <c r="BM64" i="6"/>
  <c r="BL65" i="6"/>
  <c r="BM65" i="6"/>
  <c r="BL66" i="6"/>
  <c r="BM66" i="6"/>
  <c r="BL67" i="6"/>
  <c r="BM67" i="6"/>
  <c r="BL68" i="6"/>
  <c r="BM68" i="6"/>
  <c r="BL69" i="6"/>
  <c r="BM69" i="6"/>
  <c r="BL70" i="6"/>
  <c r="BM70" i="6"/>
  <c r="AX77" i="6"/>
  <c r="AY77" i="6"/>
  <c r="AX78" i="6"/>
  <c r="AY78" i="6"/>
  <c r="AX79" i="6"/>
  <c r="AY79" i="6"/>
  <c r="AX80" i="6"/>
  <c r="AY80" i="6"/>
  <c r="AX81" i="6"/>
  <c r="AY81" i="6"/>
  <c r="AX82" i="6"/>
  <c r="AY82" i="6"/>
  <c r="AX83" i="6"/>
  <c r="AY83" i="6"/>
  <c r="AX84" i="6"/>
  <c r="AY84" i="6"/>
  <c r="AX85" i="6"/>
  <c r="AY85" i="6"/>
  <c r="AX86" i="6"/>
  <c r="AY86" i="6"/>
  <c r="AX87" i="6"/>
  <c r="AY87" i="6"/>
  <c r="AX88" i="6"/>
  <c r="AY88" i="6"/>
  <c r="AX89" i="6"/>
  <c r="AY89" i="6"/>
  <c r="AX90" i="6"/>
  <c r="AY90" i="6"/>
  <c r="AX91" i="6"/>
  <c r="AY91" i="6"/>
  <c r="AX92" i="6"/>
  <c r="AY92" i="6"/>
  <c r="AX93" i="6"/>
  <c r="AY93" i="6"/>
  <c r="AX94" i="6"/>
  <c r="AY94" i="6"/>
  <c r="AX95" i="6"/>
  <c r="AY95" i="6"/>
  <c r="AX96" i="6"/>
  <c r="AY96" i="6"/>
  <c r="AX97" i="6"/>
  <c r="AY97" i="6"/>
  <c r="AX98" i="6"/>
  <c r="AY98" i="6"/>
  <c r="AX99" i="6"/>
  <c r="AY99" i="6"/>
  <c r="AX100" i="6"/>
  <c r="AY100" i="6"/>
  <c r="AX101" i="6"/>
  <c r="AY101" i="6"/>
  <c r="AX102" i="6"/>
  <c r="AY102" i="6"/>
  <c r="AX103" i="6"/>
  <c r="AY103" i="6"/>
  <c r="AX104" i="6"/>
  <c r="AY104" i="6"/>
  <c r="AX105" i="6"/>
  <c r="AY105" i="6"/>
  <c r="AX106" i="6"/>
  <c r="AY106" i="6"/>
  <c r="AJ77" i="6"/>
  <c r="AK77" i="6"/>
  <c r="AJ78" i="6"/>
  <c r="AK78" i="6"/>
  <c r="AJ79" i="6"/>
  <c r="AK79" i="6"/>
  <c r="AJ80" i="6"/>
  <c r="AK80" i="6"/>
  <c r="AJ81" i="6"/>
  <c r="AK81" i="6"/>
  <c r="AJ82" i="6"/>
  <c r="AK82" i="6"/>
  <c r="AJ83" i="6"/>
  <c r="AK83" i="6"/>
  <c r="AJ84" i="6"/>
  <c r="AK84" i="6"/>
  <c r="AJ85" i="6"/>
  <c r="AK85" i="6"/>
  <c r="AJ86" i="6"/>
  <c r="AK86" i="6"/>
  <c r="AJ87" i="6"/>
  <c r="AK87" i="6"/>
  <c r="AJ88" i="6"/>
  <c r="AK88" i="6"/>
  <c r="AJ89" i="6"/>
  <c r="AK89" i="6"/>
  <c r="AJ90" i="6"/>
  <c r="AK90" i="6"/>
  <c r="AJ91" i="6"/>
  <c r="AK91" i="6"/>
  <c r="AJ92" i="6"/>
  <c r="AK92" i="6"/>
  <c r="AJ93" i="6"/>
  <c r="AK93" i="6"/>
  <c r="AJ94" i="6"/>
  <c r="AK94" i="6"/>
  <c r="AJ95" i="6"/>
  <c r="AK95" i="6"/>
  <c r="AJ96" i="6"/>
  <c r="AK96" i="6"/>
  <c r="AJ97" i="6"/>
  <c r="AK97" i="6"/>
  <c r="AJ98" i="6"/>
  <c r="AK98" i="6"/>
  <c r="AJ99" i="6"/>
  <c r="AK99" i="6"/>
  <c r="AJ100" i="6"/>
  <c r="AK100" i="6"/>
  <c r="AJ101" i="6"/>
  <c r="AK101" i="6"/>
  <c r="AJ102" i="6"/>
  <c r="AK102" i="6"/>
  <c r="AJ103" i="6"/>
  <c r="AK103" i="6"/>
  <c r="AJ104" i="6"/>
  <c r="AK104" i="6"/>
  <c r="AJ105" i="6"/>
  <c r="AK105" i="6"/>
  <c r="AJ106" i="6"/>
  <c r="AK106" i="6"/>
  <c r="AN42" i="6" a="1"/>
  <c r="AN42" i="6" s="1"/>
  <c r="AX42" i="6"/>
  <c r="AY42" i="6"/>
  <c r="AX43" i="6"/>
  <c r="AY43" i="6"/>
  <c r="AX44" i="6"/>
  <c r="AY44" i="6"/>
  <c r="AX45" i="6"/>
  <c r="AY45" i="6"/>
  <c r="AX46" i="6"/>
  <c r="AY46" i="6"/>
  <c r="AX47" i="6"/>
  <c r="AY47" i="6"/>
  <c r="AX48" i="6"/>
  <c r="AY48" i="6"/>
  <c r="AX49" i="6"/>
  <c r="AY49" i="6"/>
  <c r="AX50" i="6"/>
  <c r="AY50" i="6"/>
  <c r="AX51" i="6"/>
  <c r="AY51" i="6"/>
  <c r="AX52" i="6"/>
  <c r="AY52" i="6"/>
  <c r="AX53" i="6"/>
  <c r="AY53" i="6"/>
  <c r="AX54" i="6"/>
  <c r="AY54" i="6"/>
  <c r="AX55" i="6"/>
  <c r="AY55" i="6"/>
  <c r="AX56" i="6"/>
  <c r="AY56" i="6"/>
  <c r="AX57" i="6"/>
  <c r="AY57" i="6"/>
  <c r="AX58" i="6"/>
  <c r="AY58" i="6"/>
  <c r="AX59" i="6"/>
  <c r="AY59" i="6"/>
  <c r="AX60" i="6"/>
  <c r="AY60" i="6"/>
  <c r="AX61" i="6"/>
  <c r="AY61" i="6"/>
  <c r="AX62" i="6"/>
  <c r="AY62" i="6"/>
  <c r="AX63" i="6"/>
  <c r="AY63" i="6"/>
  <c r="AX64" i="6"/>
  <c r="AY64" i="6"/>
  <c r="AX65" i="6"/>
  <c r="AY65" i="6"/>
  <c r="AX66" i="6"/>
  <c r="AY66" i="6"/>
  <c r="AX67" i="6"/>
  <c r="AY67" i="6"/>
  <c r="AX68" i="6"/>
  <c r="AY68" i="6"/>
  <c r="AX69" i="6"/>
  <c r="AY69" i="6"/>
  <c r="AX70" i="6"/>
  <c r="AY70" i="6"/>
  <c r="V77" i="6"/>
  <c r="W77" i="6"/>
  <c r="V78" i="6"/>
  <c r="W78" i="6"/>
  <c r="V79" i="6"/>
  <c r="W79" i="6"/>
  <c r="V80" i="6"/>
  <c r="W80" i="6"/>
  <c r="V81" i="6"/>
  <c r="W81" i="6"/>
  <c r="V82" i="6"/>
  <c r="W82" i="6"/>
  <c r="V83" i="6"/>
  <c r="W83" i="6"/>
  <c r="V84" i="6"/>
  <c r="W84" i="6"/>
  <c r="V85" i="6"/>
  <c r="W85" i="6"/>
  <c r="V86" i="6"/>
  <c r="W86" i="6"/>
  <c r="V87" i="6"/>
  <c r="W87" i="6"/>
  <c r="V88" i="6"/>
  <c r="W88" i="6"/>
  <c r="V89" i="6"/>
  <c r="W89" i="6"/>
  <c r="V90" i="6"/>
  <c r="W90" i="6"/>
  <c r="V91" i="6"/>
  <c r="W91" i="6"/>
  <c r="V92" i="6"/>
  <c r="W92" i="6"/>
  <c r="V93" i="6"/>
  <c r="W93" i="6"/>
  <c r="V94" i="6"/>
  <c r="W94" i="6"/>
  <c r="V95" i="6"/>
  <c r="W95" i="6"/>
  <c r="V96" i="6"/>
  <c r="W96" i="6"/>
  <c r="V97" i="6"/>
  <c r="W97" i="6"/>
  <c r="V98" i="6"/>
  <c r="W98" i="6"/>
  <c r="V99" i="6"/>
  <c r="W99" i="6"/>
  <c r="V100" i="6"/>
  <c r="W100" i="6"/>
  <c r="V101" i="6"/>
  <c r="W101" i="6"/>
  <c r="V102" i="6"/>
  <c r="W102" i="6"/>
  <c r="V103" i="6"/>
  <c r="W103" i="6"/>
  <c r="V104" i="6"/>
  <c r="W104" i="6"/>
  <c r="V105" i="6"/>
  <c r="W105" i="6"/>
  <c r="H77" i="6"/>
  <c r="I77" i="6"/>
  <c r="H78" i="6"/>
  <c r="I79" i="6"/>
  <c r="I80" i="6"/>
  <c r="I81" i="6"/>
  <c r="H82" i="6"/>
  <c r="I82" i="6"/>
  <c r="H83" i="6"/>
  <c r="I83" i="6"/>
  <c r="H84" i="6"/>
  <c r="I84" i="6"/>
  <c r="H85" i="6"/>
  <c r="I85" i="6"/>
  <c r="H86" i="6"/>
  <c r="I86" i="6"/>
  <c r="I87" i="6"/>
  <c r="H88" i="6"/>
  <c r="H90" i="6"/>
  <c r="I90" i="6"/>
  <c r="H91" i="6"/>
  <c r="I91" i="6"/>
  <c r="H92" i="6"/>
  <c r="I92" i="6"/>
  <c r="H93" i="6"/>
  <c r="I93" i="6"/>
  <c r="H94" i="6"/>
  <c r="I94" i="6"/>
  <c r="H95" i="6"/>
  <c r="I95" i="6"/>
  <c r="H96" i="6"/>
  <c r="I96" i="6"/>
  <c r="H97" i="6"/>
  <c r="I97" i="6"/>
  <c r="H98" i="6"/>
  <c r="I98" i="6"/>
  <c r="H99" i="6"/>
  <c r="I99" i="6"/>
  <c r="H100" i="6"/>
  <c r="I100" i="6"/>
  <c r="H101" i="6"/>
  <c r="I101" i="6"/>
  <c r="H102" i="6"/>
  <c r="I102" i="6"/>
  <c r="H103" i="6"/>
  <c r="I103" i="6"/>
  <c r="H104" i="6"/>
  <c r="I104" i="6"/>
  <c r="H105" i="6"/>
  <c r="I105" i="6"/>
  <c r="AK71" i="6"/>
  <c r="AJ71" i="6"/>
  <c r="AK70" i="6"/>
  <c r="AJ70" i="6"/>
  <c r="AK69" i="6"/>
  <c r="AJ69" i="6"/>
  <c r="AK68" i="6"/>
  <c r="AJ68" i="6"/>
  <c r="AK67" i="6"/>
  <c r="AJ67" i="6"/>
  <c r="AK66" i="6"/>
  <c r="AJ66" i="6"/>
  <c r="AK65" i="6"/>
  <c r="AJ65" i="6"/>
  <c r="AK64" i="6"/>
  <c r="AJ64" i="6"/>
  <c r="AK63" i="6"/>
  <c r="AJ63" i="6"/>
  <c r="AK62" i="6"/>
  <c r="AJ62" i="6"/>
  <c r="AK61" i="6"/>
  <c r="AJ61" i="6"/>
  <c r="AK60" i="6"/>
  <c r="AJ60" i="6"/>
  <c r="AK59" i="6"/>
  <c r="AJ59" i="6"/>
  <c r="AK58" i="6"/>
  <c r="AJ58" i="6"/>
  <c r="AK57" i="6"/>
  <c r="AJ57" i="6"/>
  <c r="AK56" i="6"/>
  <c r="AJ56" i="6"/>
  <c r="AK55" i="6"/>
  <c r="AJ55" i="6"/>
  <c r="AK54" i="6"/>
  <c r="AJ54" i="6"/>
  <c r="AK53" i="6"/>
  <c r="AJ53" i="6"/>
  <c r="AK52" i="6"/>
  <c r="AJ52" i="6"/>
  <c r="AK51" i="6"/>
  <c r="AJ51" i="6"/>
  <c r="AK50" i="6"/>
  <c r="AJ50" i="6"/>
  <c r="AK49" i="6"/>
  <c r="AJ49" i="6"/>
  <c r="AK48" i="6"/>
  <c r="AJ48" i="6"/>
  <c r="AK47" i="6"/>
  <c r="AJ47" i="6"/>
  <c r="AK46" i="6"/>
  <c r="AJ46" i="6"/>
  <c r="AK45" i="6"/>
  <c r="AJ45" i="6"/>
  <c r="AK44" i="6"/>
  <c r="AJ44" i="6"/>
  <c r="AK43" i="6"/>
  <c r="AJ43" i="6"/>
  <c r="AK42" i="6"/>
  <c r="AJ42" i="6"/>
  <c r="AK107" i="6" l="1"/>
  <c r="P50" i="1" s="1"/>
  <c r="AJ107" i="6"/>
  <c r="P49" i="1" s="1"/>
  <c r="AY107" i="6"/>
  <c r="T50" i="1" s="1"/>
  <c r="AX107" i="6"/>
  <c r="T49" i="1" s="1"/>
  <c r="BL107" i="6"/>
  <c r="X49" i="1" s="1"/>
  <c r="BM107" i="6"/>
  <c r="X50" i="1" s="1"/>
  <c r="BM71" i="6"/>
  <c r="V50" i="1" s="1"/>
  <c r="BL71" i="6"/>
  <c r="V49" i="1" s="1"/>
  <c r="V106" i="6"/>
  <c r="L49" i="1" s="1"/>
  <c r="AX71" i="6"/>
  <c r="R49" i="1" s="1"/>
  <c r="AY71" i="6"/>
  <c r="R50" i="1" s="1"/>
  <c r="W106" i="6"/>
  <c r="L50" i="1" s="1"/>
  <c r="AJ72" i="6"/>
  <c r="N49" i="1" s="1"/>
  <c r="AK72" i="6"/>
  <c r="N50" i="1" s="1"/>
  <c r="V42" i="6" l="1"/>
  <c r="W42" i="6"/>
  <c r="V43" i="6"/>
  <c r="W43" i="6"/>
  <c r="V44" i="6"/>
  <c r="W44" i="6"/>
  <c r="V45" i="6"/>
  <c r="W45" i="6"/>
  <c r="V46" i="6"/>
  <c r="W46" i="6"/>
  <c r="V47" i="6"/>
  <c r="W47" i="6"/>
  <c r="V48" i="6"/>
  <c r="W48" i="6"/>
  <c r="V49" i="6"/>
  <c r="W49" i="6"/>
  <c r="V50" i="6"/>
  <c r="W50" i="6"/>
  <c r="V51" i="6"/>
  <c r="W51" i="6"/>
  <c r="V52" i="6"/>
  <c r="W52" i="6"/>
  <c r="V53" i="6"/>
  <c r="W53" i="6"/>
  <c r="V54" i="6"/>
  <c r="W54" i="6"/>
  <c r="V55" i="6"/>
  <c r="W55" i="6"/>
  <c r="V56" i="6"/>
  <c r="W56" i="6"/>
  <c r="V57" i="6"/>
  <c r="W57" i="6"/>
  <c r="V58" i="6"/>
  <c r="W58" i="6"/>
  <c r="V59" i="6"/>
  <c r="W59" i="6"/>
  <c r="V60" i="6"/>
  <c r="W60" i="6"/>
  <c r="V61" i="6"/>
  <c r="W61" i="6"/>
  <c r="V62" i="6"/>
  <c r="W62" i="6"/>
  <c r="V63" i="6"/>
  <c r="W63" i="6"/>
  <c r="V64" i="6"/>
  <c r="W64" i="6"/>
  <c r="V65" i="6"/>
  <c r="W65" i="6"/>
  <c r="V66" i="6"/>
  <c r="W66" i="6"/>
  <c r="V67" i="6"/>
  <c r="W67" i="6"/>
  <c r="V68" i="6"/>
  <c r="W68" i="6"/>
  <c r="V69" i="6"/>
  <c r="W69" i="6"/>
  <c r="V70" i="6"/>
  <c r="W70" i="6"/>
  <c r="V71" i="6"/>
  <c r="W7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8" i="6"/>
  <c r="I69" i="6"/>
  <c r="I70" i="6"/>
  <c r="I7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V5" i="6"/>
  <c r="W5" i="6"/>
  <c r="V6" i="6"/>
  <c r="W6" i="6"/>
  <c r="V7" i="6"/>
  <c r="W7" i="6"/>
  <c r="V8" i="6"/>
  <c r="W8" i="6"/>
  <c r="V9" i="6"/>
  <c r="W9" i="6"/>
  <c r="V10" i="6"/>
  <c r="W10" i="6"/>
  <c r="V11" i="6"/>
  <c r="W11" i="6"/>
  <c r="V12" i="6"/>
  <c r="W12" i="6"/>
  <c r="V13" i="6"/>
  <c r="W13" i="6"/>
  <c r="V14" i="6"/>
  <c r="W14" i="6"/>
  <c r="V15" i="6"/>
  <c r="W15" i="6"/>
  <c r="V16" i="6"/>
  <c r="W16" i="6"/>
  <c r="V17" i="6"/>
  <c r="W17" i="6"/>
  <c r="V18" i="6"/>
  <c r="W18" i="6"/>
  <c r="V19" i="6"/>
  <c r="W19" i="6"/>
  <c r="V20" i="6"/>
  <c r="W20" i="6"/>
  <c r="V21" i="6"/>
  <c r="W21" i="6"/>
  <c r="V22" i="6"/>
  <c r="W22" i="6"/>
  <c r="V23" i="6"/>
  <c r="W23" i="6"/>
  <c r="V24" i="6"/>
  <c r="W24" i="6"/>
  <c r="V25" i="6"/>
  <c r="W25" i="6"/>
  <c r="V26" i="6"/>
  <c r="W26" i="6"/>
  <c r="V27" i="6"/>
  <c r="W27" i="6"/>
  <c r="V28" i="6"/>
  <c r="W28" i="6"/>
  <c r="V29" i="6"/>
  <c r="W29" i="6"/>
  <c r="V30" i="6"/>
  <c r="W30" i="6"/>
  <c r="V31" i="6"/>
  <c r="W31" i="6"/>
  <c r="H4" i="6"/>
  <c r="G4" i="6"/>
  <c r="C4" i="7" a="1"/>
  <c r="C4" i="7" s="1"/>
  <c r="C5" i="7" a="1"/>
  <c r="C5" i="7" s="1"/>
  <c r="C6" i="7" a="1"/>
  <c r="C6" i="7" s="1"/>
  <c r="C7" i="7" a="1"/>
  <c r="C7" i="7" s="1"/>
  <c r="C8" i="7" a="1"/>
  <c r="C8" i="7" s="1"/>
  <c r="C9" i="7" a="1"/>
  <c r="C9" i="7" s="1"/>
  <c r="C10" i="7" a="1"/>
  <c r="C10" i="7" s="1"/>
  <c r="C11" i="7" a="1"/>
  <c r="C11" i="7" s="1"/>
  <c r="C12" i="7" a="1"/>
  <c r="C12" i="7" s="1"/>
  <c r="C13" i="7" a="1"/>
  <c r="C13" i="7" s="1"/>
  <c r="C14" i="7" a="1"/>
  <c r="C14" i="7" s="1"/>
  <c r="C15" i="7" a="1"/>
  <c r="C15" i="7" s="1"/>
  <c r="C16" i="7" a="1"/>
  <c r="C16" i="7" s="1"/>
  <c r="C17" i="7" a="1"/>
  <c r="C17" i="7" s="1"/>
  <c r="C18" i="7" a="1"/>
  <c r="C18" i="7" s="1"/>
  <c r="C19" i="7" a="1"/>
  <c r="C19" i="7" s="1"/>
  <c r="C20" i="7" a="1"/>
  <c r="C20" i="7" s="1"/>
  <c r="C21" i="7" a="1"/>
  <c r="C21" i="7" s="1"/>
  <c r="C22" i="7" a="1"/>
  <c r="C22" i="7" s="1"/>
  <c r="C23" i="7" a="1"/>
  <c r="C23" i="7" s="1"/>
  <c r="C24" i="7" a="1"/>
  <c r="C24" i="7" s="1"/>
  <c r="C25" i="7" a="1"/>
  <c r="C25" i="7" s="1"/>
  <c r="C26" i="7" a="1"/>
  <c r="C26" i="7" s="1"/>
  <c r="C27" i="7" a="1"/>
  <c r="C27" i="7" s="1"/>
  <c r="C28" i="7" a="1"/>
  <c r="C28" i="7" s="1"/>
  <c r="C29" i="7" a="1"/>
  <c r="C29" i="7" s="1"/>
  <c r="C30" i="7" a="1"/>
  <c r="C30" i="7" s="1"/>
  <c r="C31" i="7" a="1"/>
  <c r="C31" i="7" s="1"/>
  <c r="C32" i="7" a="1"/>
  <c r="C32" i="7" s="1"/>
  <c r="C33" i="7" a="1"/>
  <c r="C33" i="7" s="1"/>
  <c r="C34" i="7" a="1"/>
  <c r="C34" i="7" s="1"/>
  <c r="C35" i="7" a="1"/>
  <c r="C35" i="7" s="1"/>
  <c r="C36" i="7" a="1"/>
  <c r="C36" i="7" s="1"/>
  <c r="C37" i="7" a="1"/>
  <c r="C37" i="7" s="1"/>
  <c r="C38" i="7" a="1"/>
  <c r="C38" i="7" s="1"/>
  <c r="C39" i="7" a="1"/>
  <c r="C39" i="7" s="1"/>
  <c r="C40" i="7" a="1"/>
  <c r="C40" i="7" s="1"/>
  <c r="C41" i="7" a="1"/>
  <c r="C41" i="7" s="1"/>
  <c r="C42" i="7" a="1"/>
  <c r="C42" i="7" s="1"/>
  <c r="C43" i="7" a="1"/>
  <c r="C43" i="7" s="1"/>
  <c r="C44" i="7" a="1"/>
  <c r="C44" i="7" s="1"/>
  <c r="C45" i="7" a="1"/>
  <c r="C45" i="7" s="1"/>
  <c r="C46" i="7" a="1"/>
  <c r="C46" i="7" s="1"/>
  <c r="C47" i="7" a="1"/>
  <c r="C47" i="7" s="1"/>
  <c r="C48" i="7" a="1"/>
  <c r="C48" i="7" s="1"/>
  <c r="C49" i="7" a="1"/>
  <c r="C49" i="7" s="1"/>
  <c r="C50" i="7" a="1"/>
  <c r="C50" i="7" s="1"/>
  <c r="C51" i="7" a="1"/>
  <c r="C51" i="7" s="1"/>
  <c r="C52" i="7" a="1"/>
  <c r="C52" i="7" s="1"/>
  <c r="C53" i="7" a="1"/>
  <c r="C53" i="7" s="1"/>
  <c r="C54" i="7" a="1"/>
  <c r="C54" i="7" s="1"/>
  <c r="C55" i="7" a="1"/>
  <c r="C55" i="7" s="1"/>
  <c r="C56" i="7" a="1"/>
  <c r="C56" i="7" s="1"/>
  <c r="C57" i="7" a="1"/>
  <c r="C57" i="7" s="1"/>
  <c r="C58" i="7" a="1"/>
  <c r="C58" i="7" s="1"/>
  <c r="C59" i="7" a="1"/>
  <c r="C59" i="7" s="1"/>
  <c r="C60" i="7" a="1"/>
  <c r="C60" i="7" s="1"/>
  <c r="C61" i="7" a="1"/>
  <c r="C61" i="7" s="1"/>
  <c r="C62" i="7" a="1"/>
  <c r="C62" i="7" s="1"/>
  <c r="C63" i="7" a="1"/>
  <c r="C63" i="7" s="1"/>
  <c r="C64" i="7" a="1"/>
  <c r="C64" i="7" s="1"/>
  <c r="C65" i="7" a="1"/>
  <c r="C65" i="7" s="1"/>
  <c r="C66" i="7" a="1"/>
  <c r="C66" i="7" s="1"/>
  <c r="C67" i="7" a="1"/>
  <c r="C67" i="7" s="1"/>
  <c r="C68" i="7" a="1"/>
  <c r="C68" i="7" s="1"/>
  <c r="C69" i="7" a="1"/>
  <c r="C69" i="7" s="1"/>
  <c r="C70" i="7" a="1"/>
  <c r="C70" i="7" s="1"/>
  <c r="C71" i="7" a="1"/>
  <c r="C71" i="7" s="1"/>
  <c r="C72" i="7" a="1"/>
  <c r="C72" i="7" s="1"/>
  <c r="C73" i="7" a="1"/>
  <c r="C73" i="7" s="1"/>
  <c r="C74" i="7" a="1"/>
  <c r="C74" i="7" s="1"/>
  <c r="C75" i="7" a="1"/>
  <c r="C75" i="7" s="1"/>
  <c r="C76" i="7" a="1"/>
  <c r="C76" i="7" s="1"/>
  <c r="C77" i="7" a="1"/>
  <c r="C77" i="7" s="1"/>
  <c r="C78" i="7" a="1"/>
  <c r="C78" i="7" s="1"/>
  <c r="C79" i="7" a="1"/>
  <c r="C79" i="7" s="1"/>
  <c r="C80" i="7" a="1"/>
  <c r="C80" i="7" s="1"/>
  <c r="C81" i="7" a="1"/>
  <c r="C81" i="7" s="1"/>
  <c r="C82" i="7" a="1"/>
  <c r="C82" i="7" s="1"/>
  <c r="C83" i="7" a="1"/>
  <c r="C83" i="7" s="1"/>
  <c r="C84" i="7" a="1"/>
  <c r="C84" i="7" s="1"/>
  <c r="C85" i="7" a="1"/>
  <c r="C85" i="7" s="1"/>
  <c r="C86" i="7" a="1"/>
  <c r="C86" i="7" s="1"/>
  <c r="C87" i="7" a="1"/>
  <c r="C87" i="7" s="1"/>
  <c r="C88" i="7" a="1"/>
  <c r="C88" i="7" s="1"/>
  <c r="C89" i="7" a="1"/>
  <c r="C89" i="7" s="1"/>
  <c r="C90" i="7" a="1"/>
  <c r="C90" i="7" s="1"/>
  <c r="C91" i="7" a="1"/>
  <c r="C91" i="7" s="1"/>
  <c r="C92" i="7" a="1"/>
  <c r="C92" i="7" s="1"/>
  <c r="C93" i="7" a="1"/>
  <c r="C93" i="7" s="1"/>
  <c r="C94" i="7" a="1"/>
  <c r="C94" i="7" s="1"/>
  <c r="C95" i="7" a="1"/>
  <c r="C95" i="7" s="1"/>
  <c r="C96" i="7" a="1"/>
  <c r="C96" i="7" s="1"/>
  <c r="C97" i="7" a="1"/>
  <c r="C97" i="7" s="1"/>
  <c r="C98" i="7" a="1"/>
  <c r="C98" i="7" s="1"/>
  <c r="C99" i="7" a="1"/>
  <c r="C99" i="7" s="1"/>
  <c r="C100" i="7" a="1"/>
  <c r="C100" i="7" s="1"/>
  <c r="C101" i="7" a="1"/>
  <c r="C101" i="7" s="1"/>
  <c r="C102" i="7" a="1"/>
  <c r="C102" i="7" s="1"/>
  <c r="C103" i="7" a="1"/>
  <c r="C103" i="7" s="1"/>
  <c r="C104" i="7" a="1"/>
  <c r="C104" i="7" s="1"/>
  <c r="C105" i="7" a="1"/>
  <c r="C105" i="7" s="1"/>
  <c r="C106" i="7" a="1"/>
  <c r="C106" i="7" s="1"/>
  <c r="C107" i="7" a="1"/>
  <c r="C107" i="7" s="1"/>
  <c r="C108" i="7" a="1"/>
  <c r="C108" i="7" s="1"/>
  <c r="C109" i="7" a="1"/>
  <c r="C109" i="7" s="1"/>
  <c r="C110" i="7" a="1"/>
  <c r="C110" i="7" s="1"/>
  <c r="C111" i="7" a="1"/>
  <c r="C111" i="7" s="1"/>
  <c r="C112" i="7" a="1"/>
  <c r="C112" i="7" s="1"/>
  <c r="C113" i="7" a="1"/>
  <c r="C113" i="7" s="1"/>
  <c r="C114" i="7" a="1"/>
  <c r="C114" i="7" s="1"/>
  <c r="C115" i="7" a="1"/>
  <c r="C115" i="7" s="1"/>
  <c r="C116" i="7" a="1"/>
  <c r="C116" i="7" s="1"/>
  <c r="C117" i="7" a="1"/>
  <c r="C117" i="7" s="1"/>
  <c r="C118" i="7" a="1"/>
  <c r="C118" i="7" s="1"/>
  <c r="C119" i="7" a="1"/>
  <c r="C119" i="7" s="1"/>
  <c r="C120" i="7" a="1"/>
  <c r="C120" i="7" s="1"/>
  <c r="C121" i="7" a="1"/>
  <c r="C121" i="7" s="1"/>
  <c r="C122" i="7" a="1"/>
  <c r="C122" i="7" s="1"/>
  <c r="C123" i="7" a="1"/>
  <c r="C123" i="7" s="1"/>
  <c r="C124" i="7" a="1"/>
  <c r="C124" i="7" s="1"/>
  <c r="C125" i="7" a="1"/>
  <c r="C125" i="7" s="1"/>
  <c r="C126" i="7" a="1"/>
  <c r="C126" i="7" s="1"/>
  <c r="C127" i="7" a="1"/>
  <c r="C127" i="7" s="1"/>
  <c r="C128" i="7" a="1"/>
  <c r="C128" i="7" s="1"/>
  <c r="C129" i="7" a="1"/>
  <c r="C129" i="7" s="1"/>
  <c r="C130" i="7" a="1"/>
  <c r="C130" i="7" s="1"/>
  <c r="C131" i="7" a="1"/>
  <c r="C131" i="7" s="1"/>
  <c r="C132" i="7" a="1"/>
  <c r="C132" i="7" s="1"/>
  <c r="C133" i="7" a="1"/>
  <c r="C133" i="7" s="1"/>
  <c r="C134" i="7" a="1"/>
  <c r="C134" i="7" s="1"/>
  <c r="C135" i="7" a="1"/>
  <c r="C135" i="7" s="1"/>
  <c r="C136" i="7" a="1"/>
  <c r="C136" i="7" s="1"/>
  <c r="C137" i="7" a="1"/>
  <c r="C137" i="7" s="1"/>
  <c r="C138" i="7" a="1"/>
  <c r="C138" i="7" s="1"/>
  <c r="C139" i="7" a="1"/>
  <c r="C139" i="7" s="1"/>
  <c r="C140" i="7" a="1"/>
  <c r="C140" i="7" s="1"/>
  <c r="C141" i="7" a="1"/>
  <c r="C141" i="7" s="1"/>
  <c r="C142" i="7" a="1"/>
  <c r="C142" i="7" s="1"/>
  <c r="C143" i="7" a="1"/>
  <c r="C143" i="7" s="1"/>
  <c r="C144" i="7" a="1"/>
  <c r="C144" i="7" s="1"/>
  <c r="C145" i="7" a="1"/>
  <c r="C145" i="7" s="1"/>
  <c r="C146" i="7" a="1"/>
  <c r="C146" i="7" s="1"/>
  <c r="C147" i="7" a="1"/>
  <c r="C147" i="7" s="1"/>
  <c r="C148" i="7" a="1"/>
  <c r="C148" i="7" s="1"/>
  <c r="C149" i="7" a="1"/>
  <c r="C149" i="7" s="1"/>
  <c r="C150" i="7" a="1"/>
  <c r="C150" i="7" s="1"/>
  <c r="C151" i="7" a="1"/>
  <c r="C151" i="7" s="1"/>
  <c r="C152" i="7" a="1"/>
  <c r="C152" i="7" s="1"/>
  <c r="C153" i="7" a="1"/>
  <c r="C153" i="7" s="1"/>
  <c r="C154" i="7" a="1"/>
  <c r="C154" i="7" s="1"/>
  <c r="C155" i="7" a="1"/>
  <c r="C155" i="7" s="1"/>
  <c r="C156" i="7" a="1"/>
  <c r="C156" i="7" s="1"/>
  <c r="C157" i="7" a="1"/>
  <c r="C157" i="7" s="1"/>
  <c r="C158" i="7" a="1"/>
  <c r="C158" i="7" s="1"/>
  <c r="C159" i="7" a="1"/>
  <c r="C159" i="7" s="1"/>
  <c r="C160" i="7" a="1"/>
  <c r="C160" i="7" s="1"/>
  <c r="C161" i="7" a="1"/>
  <c r="C161" i="7" s="1"/>
  <c r="C162" i="7" a="1"/>
  <c r="C162" i="7" s="1"/>
  <c r="C163" i="7" a="1"/>
  <c r="C163" i="7" s="1"/>
  <c r="C164" i="7" a="1"/>
  <c r="C164" i="7" s="1"/>
  <c r="C165" i="7" a="1"/>
  <c r="C165" i="7" s="1"/>
  <c r="C166" i="7" a="1"/>
  <c r="C166" i="7" s="1"/>
  <c r="C167" i="7" a="1"/>
  <c r="C167" i="7" s="1"/>
  <c r="C168" i="7" a="1"/>
  <c r="C168" i="7" s="1"/>
  <c r="C169" i="7" a="1"/>
  <c r="C169" i="7" s="1"/>
  <c r="C170" i="7" a="1"/>
  <c r="C170" i="7" s="1"/>
  <c r="C171" i="7" a="1"/>
  <c r="C171" i="7" s="1"/>
  <c r="C172" i="7" a="1"/>
  <c r="C172" i="7" s="1"/>
  <c r="C173" i="7" a="1"/>
  <c r="C173" i="7" s="1"/>
  <c r="C174" i="7" a="1"/>
  <c r="C174" i="7" s="1"/>
  <c r="C175" i="7" a="1"/>
  <c r="C175" i="7" s="1"/>
  <c r="C176" i="7" a="1"/>
  <c r="C176" i="7" s="1"/>
  <c r="C177" i="7" a="1"/>
  <c r="C177" i="7" s="1"/>
  <c r="C178" i="7" a="1"/>
  <c r="C178" i="7" s="1"/>
  <c r="C179" i="7" a="1"/>
  <c r="C179" i="7" s="1"/>
  <c r="C180" i="7" a="1"/>
  <c r="C180" i="7" s="1"/>
  <c r="C181" i="7" a="1"/>
  <c r="C181" i="7" s="1"/>
  <c r="C182" i="7" a="1"/>
  <c r="C182" i="7" s="1"/>
  <c r="C183" i="7" a="1"/>
  <c r="C183" i="7" s="1"/>
  <c r="C184" i="7" a="1"/>
  <c r="C184" i="7" s="1"/>
  <c r="C185" i="7" a="1"/>
  <c r="C185" i="7" s="1"/>
  <c r="C186" i="7" a="1"/>
  <c r="C186" i="7" s="1"/>
  <c r="C187" i="7" a="1"/>
  <c r="C187" i="7" s="1"/>
  <c r="C188" i="7" a="1"/>
  <c r="C188" i="7" s="1"/>
  <c r="C189" i="7" a="1"/>
  <c r="C189" i="7" s="1"/>
  <c r="C190" i="7" a="1"/>
  <c r="C190" i="7" s="1"/>
  <c r="C191" i="7" a="1"/>
  <c r="C191" i="7" s="1"/>
  <c r="C192" i="7" a="1"/>
  <c r="C192" i="7" s="1"/>
  <c r="C193" i="7" a="1"/>
  <c r="C193" i="7" s="1"/>
  <c r="C194" i="7" a="1"/>
  <c r="C194" i="7" s="1"/>
  <c r="C195" i="7" a="1"/>
  <c r="C195" i="7" s="1"/>
  <c r="C196" i="7" a="1"/>
  <c r="C196" i="7" s="1"/>
  <c r="C197" i="7" a="1"/>
  <c r="C197" i="7" s="1"/>
  <c r="C198" i="7" a="1"/>
  <c r="C198" i="7" s="1"/>
  <c r="C199" i="7" a="1"/>
  <c r="C199" i="7" s="1"/>
  <c r="C200" i="7" a="1"/>
  <c r="C200" i="7" s="1"/>
  <c r="C201" i="7" a="1"/>
  <c r="C201" i="7" s="1"/>
  <c r="C202" i="7" a="1"/>
  <c r="C202" i="7" s="1"/>
  <c r="C203" i="7" a="1"/>
  <c r="C203" i="7" s="1"/>
  <c r="C204" i="7" a="1"/>
  <c r="C204" i="7" s="1"/>
  <c r="C205" i="7" a="1"/>
  <c r="C205" i="7" s="1"/>
  <c r="C206" i="7" a="1"/>
  <c r="C206" i="7" s="1"/>
  <c r="C207" i="7" a="1"/>
  <c r="C207" i="7" s="1"/>
  <c r="C208" i="7" a="1"/>
  <c r="C208" i="7" s="1"/>
  <c r="C209" i="7" a="1"/>
  <c r="C209" i="7" s="1"/>
  <c r="C210" i="7" a="1"/>
  <c r="C210" i="7" s="1"/>
  <c r="C211" i="7" a="1"/>
  <c r="C211" i="7" s="1"/>
  <c r="C212" i="7" a="1"/>
  <c r="C212" i="7" s="1"/>
  <c r="C213" i="7" a="1"/>
  <c r="C213" i="7" s="1"/>
  <c r="C214" i="7" a="1"/>
  <c r="C214" i="7" s="1"/>
  <c r="C215" i="7" a="1"/>
  <c r="C215" i="7" s="1"/>
  <c r="C216" i="7" a="1"/>
  <c r="C216" i="7" s="1"/>
  <c r="C217" i="7" a="1"/>
  <c r="C217" i="7" s="1"/>
  <c r="C218" i="7" a="1"/>
  <c r="C218" i="7" s="1"/>
  <c r="C219" i="7" a="1"/>
  <c r="C219" i="7" s="1"/>
  <c r="C220" i="7" a="1"/>
  <c r="C220" i="7" s="1"/>
  <c r="C221" i="7" a="1"/>
  <c r="C221" i="7" s="1"/>
  <c r="C222" i="7" a="1"/>
  <c r="C222" i="7" s="1"/>
  <c r="C223" i="7" a="1"/>
  <c r="C223" i="7" s="1"/>
  <c r="C224" i="7" a="1"/>
  <c r="C224" i="7" s="1"/>
  <c r="C225" i="7" a="1"/>
  <c r="C225" i="7" s="1"/>
  <c r="C226" i="7" a="1"/>
  <c r="C226" i="7" s="1"/>
  <c r="C227" i="7" a="1"/>
  <c r="C227" i="7" s="1"/>
  <c r="C228" i="7" a="1"/>
  <c r="C228" i="7" s="1"/>
  <c r="C229" i="7" a="1"/>
  <c r="C229" i="7" s="1"/>
  <c r="C230" i="7" a="1"/>
  <c r="C230" i="7" s="1"/>
  <c r="C231" i="7" a="1"/>
  <c r="C231" i="7" s="1"/>
  <c r="C232" i="7" a="1"/>
  <c r="C232" i="7" s="1"/>
  <c r="C233" i="7" a="1"/>
  <c r="C233" i="7" s="1"/>
  <c r="C234" i="7" a="1"/>
  <c r="C234" i="7" s="1"/>
  <c r="C235" i="7" a="1"/>
  <c r="C235" i="7" s="1"/>
  <c r="C236" i="7" a="1"/>
  <c r="C236" i="7" s="1"/>
  <c r="C237" i="7" a="1"/>
  <c r="C237" i="7" s="1"/>
  <c r="C238" i="7" a="1"/>
  <c r="C238" i="7" s="1"/>
  <c r="C239" i="7" a="1"/>
  <c r="C239" i="7" s="1"/>
  <c r="C240" i="7" a="1"/>
  <c r="C240" i="7" s="1"/>
  <c r="C241" i="7" a="1"/>
  <c r="C241" i="7" s="1"/>
  <c r="C242" i="7" a="1"/>
  <c r="C242" i="7" s="1"/>
  <c r="C243" i="7" a="1"/>
  <c r="C243" i="7" s="1"/>
  <c r="C244" i="7" a="1"/>
  <c r="C244" i="7" s="1"/>
  <c r="C245" i="7" a="1"/>
  <c r="C245" i="7" s="1"/>
  <c r="C246" i="7" a="1"/>
  <c r="C246" i="7" s="1"/>
  <c r="C247" i="7" a="1"/>
  <c r="C247" i="7" s="1"/>
  <c r="C248" i="7" a="1"/>
  <c r="C248" i="7" s="1"/>
  <c r="C249" i="7" a="1"/>
  <c r="C249" i="7" s="1"/>
  <c r="C250" i="7" a="1"/>
  <c r="C250" i="7" s="1"/>
  <c r="C251" i="7" a="1"/>
  <c r="C251" i="7" s="1"/>
  <c r="C252" i="7" a="1"/>
  <c r="C252" i="7" s="1"/>
  <c r="C253" i="7" a="1"/>
  <c r="C253" i="7" s="1"/>
  <c r="C254" i="7" a="1"/>
  <c r="C254" i="7" s="1"/>
  <c r="C255" i="7" a="1"/>
  <c r="C255" i="7" s="1"/>
  <c r="C256" i="7" a="1"/>
  <c r="C256" i="7" s="1"/>
  <c r="C257" i="7" a="1"/>
  <c r="C257" i="7" s="1"/>
  <c r="C258" i="7" a="1"/>
  <c r="C258" i="7" s="1"/>
  <c r="C259" i="7" a="1"/>
  <c r="C259" i="7" s="1"/>
  <c r="C260" i="7" a="1"/>
  <c r="C260" i="7" s="1"/>
  <c r="C261" i="7" a="1"/>
  <c r="C261" i="7" s="1"/>
  <c r="C262" i="7" a="1"/>
  <c r="C262" i="7" s="1"/>
  <c r="C263" i="7" a="1"/>
  <c r="C263" i="7" s="1"/>
  <c r="C264" i="7" a="1"/>
  <c r="C264" i="7" s="1"/>
  <c r="C265" i="7" a="1"/>
  <c r="C265" i="7" s="1"/>
  <c r="C266" i="7" a="1"/>
  <c r="C266" i="7" s="1"/>
  <c r="C267" i="7" a="1"/>
  <c r="C267" i="7" s="1"/>
  <c r="C268" i="7" a="1"/>
  <c r="C268" i="7" s="1"/>
  <c r="C269" i="7" a="1"/>
  <c r="C269" i="7" s="1"/>
  <c r="C270" i="7" a="1"/>
  <c r="C270" i="7" s="1"/>
  <c r="C271" i="7" a="1"/>
  <c r="C271" i="7" s="1"/>
  <c r="C272" i="7" a="1"/>
  <c r="C272" i="7" s="1"/>
  <c r="C273" i="7" a="1"/>
  <c r="C273" i="7" s="1"/>
  <c r="C274" i="7" a="1"/>
  <c r="C274" i="7" s="1"/>
  <c r="C275" i="7" a="1"/>
  <c r="C275" i="7" s="1"/>
  <c r="C276" i="7" a="1"/>
  <c r="C276" i="7" s="1"/>
  <c r="C277" i="7" a="1"/>
  <c r="C277" i="7" s="1"/>
  <c r="C278" i="7" a="1"/>
  <c r="C278" i="7" s="1"/>
  <c r="C279" i="7" a="1"/>
  <c r="C279" i="7" s="1"/>
  <c r="C280" i="7" a="1"/>
  <c r="C280" i="7" s="1"/>
  <c r="C281" i="7" a="1"/>
  <c r="C281" i="7" s="1"/>
  <c r="C282" i="7" a="1"/>
  <c r="C282" i="7" s="1"/>
  <c r="C283" i="7" a="1"/>
  <c r="C283" i="7" s="1"/>
  <c r="C284" i="7" a="1"/>
  <c r="C284" i="7" s="1"/>
  <c r="C285" i="7" a="1"/>
  <c r="C285" i="7" s="1"/>
  <c r="C286" i="7" a="1"/>
  <c r="C286" i="7" s="1"/>
  <c r="C287" i="7" a="1"/>
  <c r="C287" i="7" s="1"/>
  <c r="C288" i="7" a="1"/>
  <c r="C288" i="7" s="1"/>
  <c r="C289" i="7" a="1"/>
  <c r="C289" i="7" s="1"/>
  <c r="C290" i="7" a="1"/>
  <c r="C290" i="7" s="1"/>
  <c r="C291" i="7" a="1"/>
  <c r="C291" i="7" s="1"/>
  <c r="C292" i="7" a="1"/>
  <c r="C292" i="7" s="1"/>
  <c r="C293" i="7" a="1"/>
  <c r="C293" i="7" s="1"/>
  <c r="C294" i="7" a="1"/>
  <c r="C294" i="7" s="1"/>
  <c r="C295" i="7" a="1"/>
  <c r="C295" i="7" s="1"/>
  <c r="C296" i="7" a="1"/>
  <c r="C296" i="7" s="1"/>
  <c r="C297" i="7" a="1"/>
  <c r="C297" i="7" s="1"/>
  <c r="C298" i="7" a="1"/>
  <c r="C298" i="7" s="1"/>
  <c r="C299" i="7" a="1"/>
  <c r="C299" i="7" s="1"/>
  <c r="C300" i="7" a="1"/>
  <c r="C300" i="7" s="1"/>
  <c r="C301" i="7" a="1"/>
  <c r="C301" i="7" s="1"/>
  <c r="C302" i="7" a="1"/>
  <c r="C302" i="7" s="1"/>
  <c r="C303" i="7" a="1"/>
  <c r="C303" i="7" s="1"/>
  <c r="C304" i="7" a="1"/>
  <c r="C304" i="7" s="1"/>
  <c r="C305" i="7" a="1"/>
  <c r="C305" i="7" s="1"/>
  <c r="C306" i="7" a="1"/>
  <c r="C306" i="7" s="1"/>
  <c r="C307" i="7" a="1"/>
  <c r="C307" i="7" s="1"/>
  <c r="C308" i="7" a="1"/>
  <c r="C308" i="7" s="1"/>
  <c r="C309" i="7" a="1"/>
  <c r="C309" i="7" s="1"/>
  <c r="C310" i="7" a="1"/>
  <c r="C310" i="7" s="1"/>
  <c r="C311" i="7" a="1"/>
  <c r="C311" i="7" s="1"/>
  <c r="C312" i="7" a="1"/>
  <c r="C312" i="7" s="1"/>
  <c r="C313" i="7" a="1"/>
  <c r="C313" i="7" s="1"/>
  <c r="C314" i="7" a="1"/>
  <c r="C314" i="7" s="1"/>
  <c r="C315" i="7" a="1"/>
  <c r="C315" i="7" s="1"/>
  <c r="C316" i="7" a="1"/>
  <c r="C316" i="7" s="1"/>
  <c r="C317" i="7" a="1"/>
  <c r="C317" i="7" s="1"/>
  <c r="C318" i="7" a="1"/>
  <c r="C318" i="7" s="1"/>
  <c r="C319" i="7" a="1"/>
  <c r="C319" i="7" s="1"/>
  <c r="C320" i="7" a="1"/>
  <c r="C320" i="7" s="1"/>
  <c r="C321" i="7" a="1"/>
  <c r="C321" i="7" s="1"/>
  <c r="C322" i="7" a="1"/>
  <c r="C322" i="7" s="1"/>
  <c r="C323" i="7" a="1"/>
  <c r="C323" i="7" s="1"/>
  <c r="C324" i="7" a="1"/>
  <c r="C324" i="7" s="1"/>
  <c r="C325" i="7" a="1"/>
  <c r="C325" i="7" s="1"/>
  <c r="C326" i="7" a="1"/>
  <c r="C326" i="7" s="1"/>
  <c r="C327" i="7" a="1"/>
  <c r="C327" i="7" s="1"/>
  <c r="C328" i="7" a="1"/>
  <c r="C328" i="7" s="1"/>
  <c r="C329" i="7" a="1"/>
  <c r="C329" i="7" s="1"/>
  <c r="C330" i="7" a="1"/>
  <c r="C330" i="7" s="1"/>
  <c r="C331" i="7" a="1"/>
  <c r="C331" i="7" s="1"/>
  <c r="C332" i="7" a="1"/>
  <c r="C332" i="7" s="1"/>
  <c r="C333" i="7" a="1"/>
  <c r="C333" i="7" s="1"/>
  <c r="C334" i="7" a="1"/>
  <c r="C334" i="7" s="1"/>
  <c r="C335" i="7" a="1"/>
  <c r="C335" i="7" s="1"/>
  <c r="C336" i="7" a="1"/>
  <c r="C336" i="7" s="1"/>
  <c r="C337" i="7" a="1"/>
  <c r="C337" i="7" s="1"/>
  <c r="C338" i="7" a="1"/>
  <c r="C338" i="7" s="1"/>
  <c r="C339" i="7" a="1"/>
  <c r="C339" i="7" s="1"/>
  <c r="C340" i="7" a="1"/>
  <c r="C340" i="7" s="1"/>
  <c r="C341" i="7" a="1"/>
  <c r="C341" i="7" s="1"/>
  <c r="C342" i="7" a="1"/>
  <c r="C342" i="7" s="1"/>
  <c r="C343" i="7" a="1"/>
  <c r="C343" i="7" s="1"/>
  <c r="C344" i="7" a="1"/>
  <c r="C344" i="7" s="1"/>
  <c r="C345" i="7" a="1"/>
  <c r="C345" i="7" s="1"/>
  <c r="C346" i="7" a="1"/>
  <c r="C346" i="7" s="1"/>
  <c r="C347" i="7" a="1"/>
  <c r="C347" i="7" s="1"/>
  <c r="C348" i="7" a="1"/>
  <c r="C348" i="7" s="1"/>
  <c r="C349" i="7" a="1"/>
  <c r="C349" i="7" s="1"/>
  <c r="C350" i="7" a="1"/>
  <c r="C350" i="7" s="1"/>
  <c r="C351" i="7" a="1"/>
  <c r="C351" i="7" s="1"/>
  <c r="C352" i="7" a="1"/>
  <c r="C352" i="7" s="1"/>
  <c r="C353" i="7" a="1"/>
  <c r="C353" i="7" s="1"/>
  <c r="C354" i="7" a="1"/>
  <c r="C354" i="7" s="1"/>
  <c r="C355" i="7" a="1"/>
  <c r="C355" i="7" s="1"/>
  <c r="C356" i="7" a="1"/>
  <c r="C356" i="7" s="1"/>
  <c r="C357" i="7" a="1"/>
  <c r="C357" i="7" s="1"/>
  <c r="C358" i="7" a="1"/>
  <c r="C358" i="7" s="1"/>
  <c r="C359" i="7" a="1"/>
  <c r="C359" i="7" s="1"/>
  <c r="C360" i="7" a="1"/>
  <c r="C360" i="7" s="1"/>
  <c r="C361" i="7" a="1"/>
  <c r="C361" i="7" s="1"/>
  <c r="C362" i="7" a="1"/>
  <c r="C362" i="7" s="1"/>
  <c r="C363" i="7" a="1"/>
  <c r="C363" i="7" s="1"/>
  <c r="C364" i="7" a="1"/>
  <c r="C364" i="7" s="1"/>
  <c r="C365" i="7" a="1"/>
  <c r="C365" i="7" s="1"/>
  <c r="C366" i="7" a="1"/>
  <c r="C366" i="7" s="1"/>
  <c r="C367" i="7" a="1"/>
  <c r="C367" i="7" s="1"/>
  <c r="C368" i="7" a="1"/>
  <c r="C368" i="7" s="1"/>
  <c r="C369" i="7" a="1"/>
  <c r="C369" i="7" s="1"/>
  <c r="C3" i="7" a="1"/>
  <c r="C3" i="7" s="1"/>
  <c r="B4" i="7" a="1"/>
  <c r="B4" i="7" s="1"/>
  <c r="B5" i="7" a="1"/>
  <c r="B5" i="7" s="1"/>
  <c r="B6" i="7" a="1"/>
  <c r="B6" i="7" s="1"/>
  <c r="B7" i="7" a="1"/>
  <c r="B7" i="7" s="1"/>
  <c r="B8" i="7" a="1"/>
  <c r="B8" i="7" s="1"/>
  <c r="B9" i="7" a="1"/>
  <c r="B9" i="7" s="1"/>
  <c r="B10" i="7" a="1"/>
  <c r="B10" i="7" s="1"/>
  <c r="B11" i="7" a="1"/>
  <c r="B11" i="7" s="1"/>
  <c r="B12" i="7" a="1"/>
  <c r="B12" i="7" s="1"/>
  <c r="B13" i="7" a="1"/>
  <c r="B13" i="7" s="1"/>
  <c r="B14" i="7" a="1"/>
  <c r="B14" i="7" s="1"/>
  <c r="B15" i="7" a="1"/>
  <c r="B15" i="7" s="1"/>
  <c r="B16" i="7" a="1"/>
  <c r="B16" i="7" s="1"/>
  <c r="B17" i="7" a="1"/>
  <c r="B17" i="7" s="1"/>
  <c r="B18" i="7" a="1"/>
  <c r="B18" i="7" s="1"/>
  <c r="B19" i="7" a="1"/>
  <c r="B19" i="7" s="1"/>
  <c r="B20" i="7" a="1"/>
  <c r="B20" i="7" s="1"/>
  <c r="B21" i="7" a="1"/>
  <c r="B21" i="7" s="1"/>
  <c r="B22" i="7" a="1"/>
  <c r="B22" i="7" s="1"/>
  <c r="B23" i="7" a="1"/>
  <c r="B23" i="7" s="1"/>
  <c r="B24" i="7" a="1"/>
  <c r="B24" i="7" s="1"/>
  <c r="B25" i="7" a="1"/>
  <c r="B25" i="7" s="1"/>
  <c r="B26" i="7" a="1"/>
  <c r="B26" i="7" s="1"/>
  <c r="B27" i="7" a="1"/>
  <c r="B27" i="7" s="1"/>
  <c r="B28" i="7" a="1"/>
  <c r="B28" i="7" s="1"/>
  <c r="B29" i="7" a="1"/>
  <c r="B29" i="7" s="1"/>
  <c r="B30" i="7" a="1"/>
  <c r="B30" i="7" s="1"/>
  <c r="B31" i="7" a="1"/>
  <c r="B31" i="7" s="1"/>
  <c r="B32" i="7" a="1"/>
  <c r="B32" i="7" s="1"/>
  <c r="B33" i="7" a="1"/>
  <c r="B33" i="7" s="1"/>
  <c r="B34" i="7" a="1"/>
  <c r="B34" i="7" s="1"/>
  <c r="B35" i="7" a="1"/>
  <c r="B35" i="7" s="1"/>
  <c r="B36" i="7" a="1"/>
  <c r="B36" i="7" s="1"/>
  <c r="B37" i="7" a="1"/>
  <c r="B37" i="7" s="1"/>
  <c r="B38" i="7" a="1"/>
  <c r="B38" i="7" s="1"/>
  <c r="B39" i="7" a="1"/>
  <c r="B39" i="7" s="1"/>
  <c r="B40" i="7" a="1"/>
  <c r="B40" i="7" s="1"/>
  <c r="B41" i="7" a="1"/>
  <c r="B41" i="7" s="1"/>
  <c r="B42" i="7" a="1"/>
  <c r="B42" i="7" s="1"/>
  <c r="B43" i="7" a="1"/>
  <c r="B43" i="7" s="1"/>
  <c r="B44" i="7" a="1"/>
  <c r="B44" i="7" s="1"/>
  <c r="B45" i="7" a="1"/>
  <c r="B45" i="7" s="1"/>
  <c r="B46" i="7" a="1"/>
  <c r="B46" i="7" s="1"/>
  <c r="B47" i="7" a="1"/>
  <c r="B47" i="7" s="1"/>
  <c r="B48" i="7" a="1"/>
  <c r="B48" i="7" s="1"/>
  <c r="B49" i="7" a="1"/>
  <c r="B49" i="7" s="1"/>
  <c r="B50" i="7" a="1"/>
  <c r="B50" i="7" s="1"/>
  <c r="B51" i="7" a="1"/>
  <c r="B51" i="7" s="1"/>
  <c r="B52" i="7" a="1"/>
  <c r="B52" i="7" s="1"/>
  <c r="B53" i="7" a="1"/>
  <c r="B53" i="7" s="1"/>
  <c r="B54" i="7" a="1"/>
  <c r="B54" i="7" s="1"/>
  <c r="B55" i="7" a="1"/>
  <c r="B55" i="7" s="1"/>
  <c r="B56" i="7" a="1"/>
  <c r="B56" i="7" s="1"/>
  <c r="B57" i="7" a="1"/>
  <c r="B57" i="7" s="1"/>
  <c r="B58" i="7" a="1"/>
  <c r="B58" i="7" s="1"/>
  <c r="B59" i="7" a="1"/>
  <c r="B59" i="7" s="1"/>
  <c r="B60" i="7" a="1"/>
  <c r="B60" i="7" s="1"/>
  <c r="B61" i="7" a="1"/>
  <c r="B61" i="7" s="1"/>
  <c r="B62" i="7" a="1"/>
  <c r="B62" i="7" s="1"/>
  <c r="B63" i="7" a="1"/>
  <c r="B63" i="7" s="1"/>
  <c r="B64" i="7" a="1"/>
  <c r="B64" i="7" s="1"/>
  <c r="B65" i="7" a="1"/>
  <c r="B65" i="7" s="1"/>
  <c r="B66" i="7" a="1"/>
  <c r="B66" i="7" s="1"/>
  <c r="B67" i="7" a="1"/>
  <c r="B67" i="7" s="1"/>
  <c r="B68" i="7" a="1"/>
  <c r="B68" i="7" s="1"/>
  <c r="B69" i="7" a="1"/>
  <c r="B69" i="7" s="1"/>
  <c r="B70" i="7" a="1"/>
  <c r="B70" i="7" s="1"/>
  <c r="B71" i="7" a="1"/>
  <c r="B71" i="7" s="1"/>
  <c r="B72" i="7" a="1"/>
  <c r="B72" i="7" s="1"/>
  <c r="B73" i="7" a="1"/>
  <c r="B73" i="7" s="1"/>
  <c r="B74" i="7" a="1"/>
  <c r="B74" i="7" s="1"/>
  <c r="B75" i="7" a="1"/>
  <c r="B75" i="7" s="1"/>
  <c r="B76" i="7" a="1"/>
  <c r="B76" i="7" s="1"/>
  <c r="B77" i="7" a="1"/>
  <c r="B77" i="7" s="1"/>
  <c r="B78" i="7" a="1"/>
  <c r="B78" i="7" s="1"/>
  <c r="B79" i="7" a="1"/>
  <c r="B79" i="7" s="1"/>
  <c r="B80" i="7" a="1"/>
  <c r="B80" i="7" s="1"/>
  <c r="B81" i="7" a="1"/>
  <c r="B81" i="7" s="1"/>
  <c r="B82" i="7" a="1"/>
  <c r="B82" i="7" s="1"/>
  <c r="B83" i="7" a="1"/>
  <c r="B83" i="7" s="1"/>
  <c r="B84" i="7" a="1"/>
  <c r="B84" i="7" s="1"/>
  <c r="B85" i="7" a="1"/>
  <c r="B85" i="7" s="1"/>
  <c r="B86" i="7" a="1"/>
  <c r="B86" i="7" s="1"/>
  <c r="B87" i="7" a="1"/>
  <c r="B87" i="7" s="1"/>
  <c r="B88" i="7" a="1"/>
  <c r="B88" i="7" s="1"/>
  <c r="B89" i="7" a="1"/>
  <c r="B89" i="7" s="1"/>
  <c r="B90" i="7" a="1"/>
  <c r="B90" i="7" s="1"/>
  <c r="B91" i="7" a="1"/>
  <c r="B91" i="7" s="1"/>
  <c r="B92" i="7" a="1"/>
  <c r="B92" i="7" s="1"/>
  <c r="B93" i="7" a="1"/>
  <c r="B93" i="7" s="1"/>
  <c r="B94" i="7" a="1"/>
  <c r="B94" i="7" s="1"/>
  <c r="B95" i="7" a="1"/>
  <c r="B95" i="7" s="1"/>
  <c r="B96" i="7" a="1"/>
  <c r="B96" i="7" s="1"/>
  <c r="B97" i="7" a="1"/>
  <c r="B97" i="7" s="1"/>
  <c r="B98" i="7" a="1"/>
  <c r="B98" i="7" s="1"/>
  <c r="B99" i="7" a="1"/>
  <c r="B99" i="7" s="1"/>
  <c r="B100" i="7" a="1"/>
  <c r="B100" i="7" s="1"/>
  <c r="B101" i="7" a="1"/>
  <c r="B101" i="7" s="1"/>
  <c r="B102" i="7" a="1"/>
  <c r="B102" i="7" s="1"/>
  <c r="B103" i="7" a="1"/>
  <c r="B103" i="7" s="1"/>
  <c r="B104" i="7" a="1"/>
  <c r="B104" i="7" s="1"/>
  <c r="B105" i="7" a="1"/>
  <c r="B105" i="7" s="1"/>
  <c r="B106" i="7" a="1"/>
  <c r="B106" i="7" s="1"/>
  <c r="B107" i="7" a="1"/>
  <c r="B107" i="7" s="1"/>
  <c r="B108" i="7" a="1"/>
  <c r="B108" i="7" s="1"/>
  <c r="B109" i="7" a="1"/>
  <c r="B109" i="7" s="1"/>
  <c r="B110" i="7" a="1"/>
  <c r="B110" i="7" s="1"/>
  <c r="B111" i="7" a="1"/>
  <c r="B111" i="7" s="1"/>
  <c r="B112" i="7" a="1"/>
  <c r="B112" i="7" s="1"/>
  <c r="B113" i="7" a="1"/>
  <c r="B113" i="7" s="1"/>
  <c r="B114" i="7" a="1"/>
  <c r="B114" i="7" s="1"/>
  <c r="B115" i="7" a="1"/>
  <c r="B115" i="7" s="1"/>
  <c r="B116" i="7" a="1"/>
  <c r="B116" i="7" s="1"/>
  <c r="B117" i="7" a="1"/>
  <c r="B117" i="7" s="1"/>
  <c r="B118" i="7" a="1"/>
  <c r="B118" i="7" s="1"/>
  <c r="B119" i="7" a="1"/>
  <c r="B119" i="7" s="1"/>
  <c r="B120" i="7" a="1"/>
  <c r="B120" i="7" s="1"/>
  <c r="B121" i="7" a="1"/>
  <c r="B121" i="7" s="1"/>
  <c r="B122" i="7" a="1"/>
  <c r="B122" i="7" s="1"/>
  <c r="B123" i="7" a="1"/>
  <c r="B123" i="7" s="1"/>
  <c r="B124" i="7" a="1"/>
  <c r="B124" i="7" s="1"/>
  <c r="B125" i="7" a="1"/>
  <c r="B125" i="7" s="1"/>
  <c r="B126" i="7" a="1"/>
  <c r="B126" i="7" s="1"/>
  <c r="B127" i="7" a="1"/>
  <c r="B127" i="7" s="1"/>
  <c r="B128" i="7" a="1"/>
  <c r="B128" i="7" s="1"/>
  <c r="B129" i="7" a="1"/>
  <c r="B129" i="7" s="1"/>
  <c r="B130" i="7" a="1"/>
  <c r="B130" i="7" s="1"/>
  <c r="B131" i="7" a="1"/>
  <c r="B131" i="7" s="1"/>
  <c r="B132" i="7" a="1"/>
  <c r="B132" i="7" s="1"/>
  <c r="B133" i="7" a="1"/>
  <c r="B133" i="7" s="1"/>
  <c r="B134" i="7" a="1"/>
  <c r="B134" i="7" s="1"/>
  <c r="B135" i="7" a="1"/>
  <c r="B135" i="7" s="1"/>
  <c r="B136" i="7" a="1"/>
  <c r="B136" i="7" s="1"/>
  <c r="B137" i="7" a="1"/>
  <c r="B137" i="7" s="1"/>
  <c r="B138" i="7" a="1"/>
  <c r="B138" i="7" s="1"/>
  <c r="B139" i="7" a="1"/>
  <c r="B139" i="7" s="1"/>
  <c r="B140" i="7" a="1"/>
  <c r="B140" i="7" s="1"/>
  <c r="B141" i="7" a="1"/>
  <c r="B141" i="7" s="1"/>
  <c r="B142" i="7" a="1"/>
  <c r="B142" i="7" s="1"/>
  <c r="B143" i="7" a="1"/>
  <c r="B143" i="7" s="1"/>
  <c r="B144" i="7" a="1"/>
  <c r="B144" i="7" s="1"/>
  <c r="B145" i="7" a="1"/>
  <c r="B145" i="7" s="1"/>
  <c r="B146" i="7" a="1"/>
  <c r="B146" i="7" s="1"/>
  <c r="B147" i="7" a="1"/>
  <c r="B147" i="7" s="1"/>
  <c r="B148" i="7" a="1"/>
  <c r="B148" i="7" s="1"/>
  <c r="B149" i="7" a="1"/>
  <c r="B149" i="7" s="1"/>
  <c r="B150" i="7" a="1"/>
  <c r="B150" i="7" s="1"/>
  <c r="B151" i="7" a="1"/>
  <c r="B151" i="7" s="1"/>
  <c r="B152" i="7" a="1"/>
  <c r="B152" i="7" s="1"/>
  <c r="B153" i="7" a="1"/>
  <c r="B153" i="7" s="1"/>
  <c r="B154" i="7" a="1"/>
  <c r="B154" i="7" s="1"/>
  <c r="B155" i="7" a="1"/>
  <c r="B155" i="7" s="1"/>
  <c r="B156" i="7" a="1"/>
  <c r="B156" i="7" s="1"/>
  <c r="B157" i="7" a="1"/>
  <c r="B157" i="7" s="1"/>
  <c r="B158" i="7" a="1"/>
  <c r="B158" i="7" s="1"/>
  <c r="B159" i="7" a="1"/>
  <c r="B159" i="7" s="1"/>
  <c r="B160" i="7" a="1"/>
  <c r="B160" i="7" s="1"/>
  <c r="B161" i="7" a="1"/>
  <c r="B161" i="7" s="1"/>
  <c r="B162" i="7" a="1"/>
  <c r="B162" i="7" s="1"/>
  <c r="B163" i="7" a="1"/>
  <c r="B163" i="7" s="1"/>
  <c r="B164" i="7" a="1"/>
  <c r="B164" i="7" s="1"/>
  <c r="B165" i="7" a="1"/>
  <c r="B165" i="7" s="1"/>
  <c r="B166" i="7" a="1"/>
  <c r="B166" i="7" s="1"/>
  <c r="B167" i="7" a="1"/>
  <c r="B167" i="7" s="1"/>
  <c r="B168" i="7" a="1"/>
  <c r="B168" i="7" s="1"/>
  <c r="B169" i="7" a="1"/>
  <c r="B169" i="7" s="1"/>
  <c r="B170" i="7" a="1"/>
  <c r="B170" i="7" s="1"/>
  <c r="B171" i="7" a="1"/>
  <c r="B171" i="7" s="1"/>
  <c r="B172" i="7" a="1"/>
  <c r="B172" i="7" s="1"/>
  <c r="B173" i="7" a="1"/>
  <c r="B173" i="7" s="1"/>
  <c r="B174" i="7" a="1"/>
  <c r="B174" i="7" s="1"/>
  <c r="B175" i="7" a="1"/>
  <c r="B175" i="7" s="1"/>
  <c r="B176" i="7" a="1"/>
  <c r="B176" i="7" s="1"/>
  <c r="B177" i="7" a="1"/>
  <c r="B177" i="7" s="1"/>
  <c r="B178" i="7" a="1"/>
  <c r="B178" i="7" s="1"/>
  <c r="B179" i="7" a="1"/>
  <c r="B179" i="7" s="1"/>
  <c r="B180" i="7" a="1"/>
  <c r="B180" i="7" s="1"/>
  <c r="B181" i="7" a="1"/>
  <c r="B181" i="7" s="1"/>
  <c r="B182" i="7" a="1"/>
  <c r="B182" i="7" s="1"/>
  <c r="B183" i="7" a="1"/>
  <c r="B183" i="7" s="1"/>
  <c r="B184" i="7" a="1"/>
  <c r="B184" i="7" s="1"/>
  <c r="B185" i="7" a="1"/>
  <c r="B185" i="7" s="1"/>
  <c r="B186" i="7" a="1"/>
  <c r="B186" i="7" s="1"/>
  <c r="B187" i="7" a="1"/>
  <c r="B187" i="7" s="1"/>
  <c r="B188" i="7" a="1"/>
  <c r="B188" i="7" s="1"/>
  <c r="B189" i="7" a="1"/>
  <c r="B189" i="7" s="1"/>
  <c r="B190" i="7" a="1"/>
  <c r="B190" i="7" s="1"/>
  <c r="B191" i="7" a="1"/>
  <c r="B191" i="7" s="1"/>
  <c r="B192" i="7" a="1"/>
  <c r="B192" i="7" s="1"/>
  <c r="B193" i="7" a="1"/>
  <c r="B193" i="7" s="1"/>
  <c r="B194" i="7" a="1"/>
  <c r="B194" i="7" s="1"/>
  <c r="B195" i="7" a="1"/>
  <c r="B195" i="7" s="1"/>
  <c r="B196" i="7" a="1"/>
  <c r="B196" i="7" s="1"/>
  <c r="B197" i="7" a="1"/>
  <c r="B197" i="7" s="1"/>
  <c r="B198" i="7" a="1"/>
  <c r="B198" i="7" s="1"/>
  <c r="B199" i="7" a="1"/>
  <c r="B199" i="7" s="1"/>
  <c r="B200" i="7" a="1"/>
  <c r="B200" i="7" s="1"/>
  <c r="B201" i="7" a="1"/>
  <c r="B201" i="7" s="1"/>
  <c r="B202" i="7" a="1"/>
  <c r="B202" i="7" s="1"/>
  <c r="B203" i="7" a="1"/>
  <c r="B203" i="7" s="1"/>
  <c r="B204" i="7" a="1"/>
  <c r="B204" i="7" s="1"/>
  <c r="B205" i="7" a="1"/>
  <c r="B205" i="7" s="1"/>
  <c r="B206" i="7" a="1"/>
  <c r="B206" i="7" s="1"/>
  <c r="B207" i="7" a="1"/>
  <c r="B207" i="7" s="1"/>
  <c r="B208" i="7" a="1"/>
  <c r="B208" i="7" s="1"/>
  <c r="B209" i="7" a="1"/>
  <c r="B209" i="7" s="1"/>
  <c r="B210" i="7" a="1"/>
  <c r="B210" i="7" s="1"/>
  <c r="B211" i="7" a="1"/>
  <c r="B211" i="7" s="1"/>
  <c r="B212" i="7" a="1"/>
  <c r="B212" i="7" s="1"/>
  <c r="B213" i="7" a="1"/>
  <c r="B213" i="7" s="1"/>
  <c r="B214" i="7" a="1"/>
  <c r="B214" i="7" s="1"/>
  <c r="B215" i="7" a="1"/>
  <c r="B215" i="7" s="1"/>
  <c r="B216" i="7" a="1"/>
  <c r="B216" i="7" s="1"/>
  <c r="B217" i="7" a="1"/>
  <c r="B217" i="7" s="1"/>
  <c r="B218" i="7" a="1"/>
  <c r="B218" i="7" s="1"/>
  <c r="B219" i="7" a="1"/>
  <c r="B219" i="7" s="1"/>
  <c r="B220" i="7" a="1"/>
  <c r="B220" i="7" s="1"/>
  <c r="B221" i="7" a="1"/>
  <c r="B221" i="7" s="1"/>
  <c r="B222" i="7" a="1"/>
  <c r="B222" i="7" s="1"/>
  <c r="B223" i="7" a="1"/>
  <c r="B223" i="7" s="1"/>
  <c r="B224" i="7" a="1"/>
  <c r="B224" i="7" s="1"/>
  <c r="B225" i="7" a="1"/>
  <c r="B225" i="7" s="1"/>
  <c r="B226" i="7" a="1"/>
  <c r="B226" i="7" s="1"/>
  <c r="B227" i="7" a="1"/>
  <c r="B227" i="7" s="1"/>
  <c r="B228" i="7" a="1"/>
  <c r="B228" i="7" s="1"/>
  <c r="B229" i="7" a="1"/>
  <c r="B229" i="7" s="1"/>
  <c r="B230" i="7" a="1"/>
  <c r="B230" i="7" s="1"/>
  <c r="B231" i="7" a="1"/>
  <c r="B231" i="7" s="1"/>
  <c r="B232" i="7" a="1"/>
  <c r="B232" i="7" s="1"/>
  <c r="B233" i="7" a="1"/>
  <c r="B233" i="7" s="1"/>
  <c r="B234" i="7" a="1"/>
  <c r="B234" i="7" s="1"/>
  <c r="B235" i="7" a="1"/>
  <c r="B235" i="7" s="1"/>
  <c r="B236" i="7" a="1"/>
  <c r="B236" i="7" s="1"/>
  <c r="B237" i="7" a="1"/>
  <c r="B237" i="7" s="1"/>
  <c r="B238" i="7" a="1"/>
  <c r="B238" i="7" s="1"/>
  <c r="B239" i="7" a="1"/>
  <c r="B239" i="7" s="1"/>
  <c r="B240" i="7" a="1"/>
  <c r="B240" i="7" s="1"/>
  <c r="B241" i="7" a="1"/>
  <c r="B241" i="7" s="1"/>
  <c r="B242" i="7" a="1"/>
  <c r="B242" i="7" s="1"/>
  <c r="B243" i="7" a="1"/>
  <c r="B243" i="7" s="1"/>
  <c r="B244" i="7" a="1"/>
  <c r="B244" i="7" s="1"/>
  <c r="B245" i="7" a="1"/>
  <c r="B245" i="7" s="1"/>
  <c r="B246" i="7" a="1"/>
  <c r="B246" i="7" s="1"/>
  <c r="B247" i="7" a="1"/>
  <c r="B247" i="7" s="1"/>
  <c r="B248" i="7" a="1"/>
  <c r="B248" i="7" s="1"/>
  <c r="B249" i="7" a="1"/>
  <c r="B249" i="7" s="1"/>
  <c r="B250" i="7" a="1"/>
  <c r="B250" i="7" s="1"/>
  <c r="B251" i="7" a="1"/>
  <c r="B251" i="7" s="1"/>
  <c r="B252" i="7" a="1"/>
  <c r="B252" i="7" s="1"/>
  <c r="B253" i="7" a="1"/>
  <c r="B253" i="7" s="1"/>
  <c r="B254" i="7" a="1"/>
  <c r="B254" i="7" s="1"/>
  <c r="B255" i="7" a="1"/>
  <c r="B255" i="7" s="1"/>
  <c r="B256" i="7" a="1"/>
  <c r="B256" i="7" s="1"/>
  <c r="B257" i="7" a="1"/>
  <c r="B257" i="7" s="1"/>
  <c r="B258" i="7" a="1"/>
  <c r="B258" i="7" s="1"/>
  <c r="B259" i="7" a="1"/>
  <c r="B259" i="7" s="1"/>
  <c r="B260" i="7" a="1"/>
  <c r="B260" i="7" s="1"/>
  <c r="B261" i="7" a="1"/>
  <c r="B261" i="7" s="1"/>
  <c r="B262" i="7" a="1"/>
  <c r="B262" i="7" s="1"/>
  <c r="B263" i="7" a="1"/>
  <c r="B263" i="7" s="1"/>
  <c r="B264" i="7" a="1"/>
  <c r="B264" i="7" s="1"/>
  <c r="B265" i="7" a="1"/>
  <c r="B265" i="7" s="1"/>
  <c r="B266" i="7" a="1"/>
  <c r="B266" i="7" s="1"/>
  <c r="B267" i="7" a="1"/>
  <c r="B267" i="7" s="1"/>
  <c r="B268" i="7" a="1"/>
  <c r="B268" i="7" s="1"/>
  <c r="B269" i="7" a="1"/>
  <c r="B269" i="7" s="1"/>
  <c r="B270" i="7" a="1"/>
  <c r="B270" i="7" s="1"/>
  <c r="B271" i="7" a="1"/>
  <c r="B271" i="7" s="1"/>
  <c r="B272" i="7" a="1"/>
  <c r="B272" i="7" s="1"/>
  <c r="B273" i="7" a="1"/>
  <c r="B273" i="7" s="1"/>
  <c r="B274" i="7" a="1"/>
  <c r="B274" i="7" s="1"/>
  <c r="B275" i="7" a="1"/>
  <c r="B275" i="7" s="1"/>
  <c r="B276" i="7" a="1"/>
  <c r="B276" i="7" s="1"/>
  <c r="B277" i="7" a="1"/>
  <c r="B277" i="7" s="1"/>
  <c r="B278" i="7" a="1"/>
  <c r="B278" i="7" s="1"/>
  <c r="B279" i="7" a="1"/>
  <c r="B279" i="7" s="1"/>
  <c r="B280" i="7" a="1"/>
  <c r="B280" i="7" s="1"/>
  <c r="B281" i="7" a="1"/>
  <c r="B281" i="7" s="1"/>
  <c r="B282" i="7" a="1"/>
  <c r="B282" i="7" s="1"/>
  <c r="B283" i="7" a="1"/>
  <c r="B283" i="7" s="1"/>
  <c r="B284" i="7" a="1"/>
  <c r="B284" i="7" s="1"/>
  <c r="B285" i="7" a="1"/>
  <c r="B285" i="7" s="1"/>
  <c r="B286" i="7" a="1"/>
  <c r="B286" i="7" s="1"/>
  <c r="B287" i="7" a="1"/>
  <c r="B287" i="7" s="1"/>
  <c r="B288" i="7" a="1"/>
  <c r="B288" i="7" s="1"/>
  <c r="B289" i="7" a="1"/>
  <c r="B289" i="7" s="1"/>
  <c r="B290" i="7" a="1"/>
  <c r="B290" i="7" s="1"/>
  <c r="B291" i="7" a="1"/>
  <c r="B291" i="7" s="1"/>
  <c r="B292" i="7" a="1"/>
  <c r="B292" i="7" s="1"/>
  <c r="B293" i="7" a="1"/>
  <c r="B293" i="7" s="1"/>
  <c r="B294" i="7" a="1"/>
  <c r="B294" i="7" s="1"/>
  <c r="B295" i="7" a="1"/>
  <c r="B295" i="7" s="1"/>
  <c r="B296" i="7" a="1"/>
  <c r="B296" i="7" s="1"/>
  <c r="B297" i="7" a="1"/>
  <c r="B297" i="7" s="1"/>
  <c r="B298" i="7" a="1"/>
  <c r="B298" i="7" s="1"/>
  <c r="B299" i="7" a="1"/>
  <c r="B299" i="7" s="1"/>
  <c r="B300" i="7" a="1"/>
  <c r="B300" i="7" s="1"/>
  <c r="B301" i="7" a="1"/>
  <c r="B301" i="7" s="1"/>
  <c r="B302" i="7" a="1"/>
  <c r="B302" i="7" s="1"/>
  <c r="B303" i="7" a="1"/>
  <c r="B303" i="7" s="1"/>
  <c r="B304" i="7" a="1"/>
  <c r="B304" i="7" s="1"/>
  <c r="B305" i="7" a="1"/>
  <c r="B305" i="7" s="1"/>
  <c r="B306" i="7" a="1"/>
  <c r="B306" i="7" s="1"/>
  <c r="B307" i="7" a="1"/>
  <c r="B307" i="7" s="1"/>
  <c r="B308" i="7" a="1"/>
  <c r="B308" i="7" s="1"/>
  <c r="B309" i="7" a="1"/>
  <c r="B309" i="7" s="1"/>
  <c r="B310" i="7" a="1"/>
  <c r="B310" i="7" s="1"/>
  <c r="B311" i="7" a="1"/>
  <c r="B311" i="7" s="1"/>
  <c r="B312" i="7" a="1"/>
  <c r="B312" i="7" s="1"/>
  <c r="B313" i="7" a="1"/>
  <c r="B313" i="7" s="1"/>
  <c r="B314" i="7" a="1"/>
  <c r="B314" i="7" s="1"/>
  <c r="B315" i="7" a="1"/>
  <c r="B315" i="7" s="1"/>
  <c r="B316" i="7" a="1"/>
  <c r="B316" i="7" s="1"/>
  <c r="B317" i="7" a="1"/>
  <c r="B317" i="7" s="1"/>
  <c r="B318" i="7" a="1"/>
  <c r="B318" i="7" s="1"/>
  <c r="B319" i="7" a="1"/>
  <c r="B319" i="7" s="1"/>
  <c r="B320" i="7" a="1"/>
  <c r="B320" i="7" s="1"/>
  <c r="B321" i="7" a="1"/>
  <c r="B321" i="7" s="1"/>
  <c r="B322" i="7" a="1"/>
  <c r="B322" i="7" s="1"/>
  <c r="B323" i="7" a="1"/>
  <c r="B323" i="7" s="1"/>
  <c r="B324" i="7" a="1"/>
  <c r="B324" i="7" s="1"/>
  <c r="B325" i="7" a="1"/>
  <c r="B325" i="7" s="1"/>
  <c r="B326" i="7" a="1"/>
  <c r="B326" i="7" s="1"/>
  <c r="B327" i="7" a="1"/>
  <c r="B327" i="7" s="1"/>
  <c r="B328" i="7" a="1"/>
  <c r="B328" i="7" s="1"/>
  <c r="B329" i="7" a="1"/>
  <c r="B329" i="7" s="1"/>
  <c r="B330" i="7" a="1"/>
  <c r="B330" i="7" s="1"/>
  <c r="B331" i="7" a="1"/>
  <c r="B331" i="7" s="1"/>
  <c r="B332" i="7" a="1"/>
  <c r="B332" i="7" s="1"/>
  <c r="B333" i="7" a="1"/>
  <c r="B333" i="7" s="1"/>
  <c r="B334" i="7" a="1"/>
  <c r="B334" i="7" s="1"/>
  <c r="B335" i="7" a="1"/>
  <c r="B335" i="7" s="1"/>
  <c r="B336" i="7" a="1"/>
  <c r="B336" i="7" s="1"/>
  <c r="B337" i="7" a="1"/>
  <c r="B337" i="7" s="1"/>
  <c r="B338" i="7" a="1"/>
  <c r="B338" i="7" s="1"/>
  <c r="B339" i="7" a="1"/>
  <c r="B339" i="7" s="1"/>
  <c r="B340" i="7" a="1"/>
  <c r="B340" i="7" s="1"/>
  <c r="B341" i="7" a="1"/>
  <c r="B341" i="7" s="1"/>
  <c r="B342" i="7" a="1"/>
  <c r="B342" i="7" s="1"/>
  <c r="B343" i="7" a="1"/>
  <c r="B343" i="7" s="1"/>
  <c r="B344" i="7" a="1"/>
  <c r="B344" i="7" s="1"/>
  <c r="B345" i="7" a="1"/>
  <c r="B345" i="7" s="1"/>
  <c r="B346" i="7" a="1"/>
  <c r="B346" i="7" s="1"/>
  <c r="B347" i="7" a="1"/>
  <c r="B347" i="7" s="1"/>
  <c r="B348" i="7" a="1"/>
  <c r="B348" i="7" s="1"/>
  <c r="B349" i="7" a="1"/>
  <c r="B349" i="7" s="1"/>
  <c r="B350" i="7" a="1"/>
  <c r="B350" i="7" s="1"/>
  <c r="B351" i="7" a="1"/>
  <c r="B351" i="7" s="1"/>
  <c r="B352" i="7" a="1"/>
  <c r="B352" i="7" s="1"/>
  <c r="B353" i="7" a="1"/>
  <c r="B353" i="7" s="1"/>
  <c r="B354" i="7" a="1"/>
  <c r="B354" i="7" s="1"/>
  <c r="B355" i="7" a="1"/>
  <c r="B355" i="7" s="1"/>
  <c r="B356" i="7" a="1"/>
  <c r="B356" i="7" s="1"/>
  <c r="B357" i="7" a="1"/>
  <c r="B357" i="7" s="1"/>
  <c r="B358" i="7" a="1"/>
  <c r="B358" i="7" s="1"/>
  <c r="B359" i="7" a="1"/>
  <c r="B359" i="7" s="1"/>
  <c r="B360" i="7" a="1"/>
  <c r="B360" i="7" s="1"/>
  <c r="B361" i="7" a="1"/>
  <c r="B361" i="7" s="1"/>
  <c r="B362" i="7" a="1"/>
  <c r="B362" i="7" s="1"/>
  <c r="B363" i="7" a="1"/>
  <c r="B363" i="7" s="1"/>
  <c r="B364" i="7" a="1"/>
  <c r="B364" i="7" s="1"/>
  <c r="B365" i="7" a="1"/>
  <c r="B365" i="7" s="1"/>
  <c r="B366" i="7" a="1"/>
  <c r="B366" i="7" s="1"/>
  <c r="B367" i="7" a="1"/>
  <c r="B367" i="7" s="1"/>
  <c r="B368" i="7" a="1"/>
  <c r="B368" i="7" s="1"/>
  <c r="B369" i="7" a="1"/>
  <c r="B369" i="7" s="1"/>
  <c r="B3" i="7" a="1"/>
  <c r="B3" i="7" s="1"/>
  <c r="W72" i="6" l="1"/>
  <c r="J50" i="1" s="1"/>
  <c r="V72" i="6"/>
  <c r="J49" i="1" s="1"/>
  <c r="H72" i="6"/>
  <c r="F49" i="1" s="1"/>
  <c r="V32" i="6"/>
  <c r="D49" i="1" s="1"/>
  <c r="W32" i="6"/>
  <c r="D50" i="1" s="1"/>
  <c r="F477" i="2"/>
  <c r="F305" i="2" l="1"/>
  <c r="B150" i="6"/>
  <c r="B151" i="6"/>
  <c r="F2611" i="2" l="1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 l="1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 l="1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 l="1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 l="1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 l="1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43" i="2" l="1"/>
  <c r="F2141" i="2"/>
  <c r="F2188" i="2" l="1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2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22" i="2" l="1"/>
  <c r="F2018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1" i="2"/>
  <c r="F2020" i="2"/>
  <c r="F2019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871" i="2" l="1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870" i="2"/>
  <c r="F1866" i="2"/>
  <c r="F1867" i="2"/>
  <c r="F1868" i="2"/>
  <c r="F1869" i="2"/>
  <c r="F1865" i="2"/>
  <c r="F1864" i="2" l="1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 l="1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 l="1"/>
  <c r="F1785" i="2"/>
  <c r="F1784" i="2"/>
  <c r="F1783" i="2"/>
  <c r="F1782" i="2" l="1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49" i="2"/>
  <c r="F1733" i="2"/>
  <c r="F1732" i="2"/>
  <c r="F1708" i="2" l="1"/>
  <c r="F1664" i="2" l="1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50" i="2"/>
  <c r="F1190" i="2" l="1"/>
  <c r="F1029" i="2" l="1"/>
  <c r="F1028" i="2"/>
  <c r="F1027" i="2"/>
  <c r="F1026" i="2"/>
  <c r="F958" i="2"/>
  <c r="F957" i="2"/>
  <c r="F804" i="2" l="1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645" i="2" l="1"/>
  <c r="F644" i="2" l="1"/>
  <c r="Y7" i="1" l="1"/>
  <c r="F580" i="2" l="1"/>
  <c r="F581" i="2"/>
  <c r="F582" i="2"/>
  <c r="F583" i="2"/>
  <c r="F509" i="2" l="1"/>
  <c r="F406" i="2"/>
  <c r="F358" i="2" l="1"/>
  <c r="F344" i="2" l="1"/>
  <c r="F339" i="2" l="1"/>
  <c r="F279" i="2" l="1"/>
  <c r="F270" i="2" l="1"/>
  <c r="F269" i="2"/>
  <c r="F268" i="2"/>
  <c r="F266" i="2"/>
  <c r="F267" i="2"/>
  <c r="F265" i="2"/>
  <c r="F191" i="2" l="1"/>
  <c r="N187" i="6" l="1"/>
  <c r="N186" i="6"/>
  <c r="N185" i="6"/>
  <c r="N184" i="6"/>
  <c r="N183" i="6"/>
  <c r="K187" i="6"/>
  <c r="K186" i="6"/>
  <c r="K185" i="6"/>
  <c r="K184" i="6"/>
  <c r="K183" i="6"/>
  <c r="H187" i="6"/>
  <c r="H186" i="6"/>
  <c r="H185" i="6"/>
  <c r="H184" i="6"/>
  <c r="H183" i="6"/>
  <c r="E187" i="6"/>
  <c r="E186" i="6"/>
  <c r="E185" i="6"/>
  <c r="E184" i="6"/>
  <c r="E183" i="6"/>
  <c r="Q178" i="6"/>
  <c r="Q177" i="6"/>
  <c r="Q176" i="6"/>
  <c r="Q175" i="6"/>
  <c r="Q174" i="6"/>
  <c r="N178" i="6"/>
  <c r="N177" i="6"/>
  <c r="N176" i="6"/>
  <c r="N175" i="6"/>
  <c r="N174" i="6"/>
  <c r="K178" i="6"/>
  <c r="K177" i="6"/>
  <c r="K176" i="6"/>
  <c r="K175" i="6"/>
  <c r="K174" i="6"/>
  <c r="H178" i="6"/>
  <c r="H177" i="6"/>
  <c r="H176" i="6"/>
  <c r="H175" i="6"/>
  <c r="H174" i="6"/>
  <c r="E178" i="6"/>
  <c r="E177" i="6"/>
  <c r="E176" i="6"/>
  <c r="E175" i="6"/>
  <c r="E174" i="6"/>
  <c r="B178" i="6"/>
  <c r="B177" i="6"/>
  <c r="B176" i="6"/>
  <c r="B175" i="6"/>
  <c r="B174" i="6"/>
  <c r="Q169" i="6"/>
  <c r="Q168" i="6"/>
  <c r="Q167" i="6"/>
  <c r="Q166" i="6"/>
  <c r="Q165" i="6"/>
  <c r="N169" i="6"/>
  <c r="N168" i="6"/>
  <c r="N167" i="6"/>
  <c r="N166" i="6"/>
  <c r="N165" i="6"/>
  <c r="K169" i="6"/>
  <c r="K168" i="6"/>
  <c r="K167" i="6"/>
  <c r="K166" i="6"/>
  <c r="K165" i="6"/>
  <c r="H169" i="6"/>
  <c r="H168" i="6"/>
  <c r="H167" i="6"/>
  <c r="H166" i="6"/>
  <c r="H165" i="6"/>
  <c r="E169" i="6"/>
  <c r="E168" i="6"/>
  <c r="E167" i="6"/>
  <c r="E166" i="6"/>
  <c r="E165" i="6"/>
  <c r="B169" i="6"/>
  <c r="B168" i="6"/>
  <c r="B167" i="6"/>
  <c r="B166" i="6"/>
  <c r="B165" i="6"/>
  <c r="N160" i="6"/>
  <c r="N159" i="6"/>
  <c r="N158" i="6"/>
  <c r="N157" i="6"/>
  <c r="N156" i="6"/>
  <c r="Q160" i="6"/>
  <c r="Q159" i="6"/>
  <c r="Q158" i="6"/>
  <c r="Q157" i="6"/>
  <c r="Q156" i="6"/>
  <c r="K160" i="6"/>
  <c r="K159" i="6"/>
  <c r="E151" i="6"/>
  <c r="Q124" i="6"/>
  <c r="F3" i="7"/>
  <c r="G3" i="7"/>
  <c r="H3" i="7"/>
  <c r="I3" i="7"/>
  <c r="J3" i="7"/>
  <c r="F4" i="7"/>
  <c r="G4" i="7"/>
  <c r="H4" i="7"/>
  <c r="I4" i="7"/>
  <c r="J4" i="7"/>
  <c r="K4" i="7"/>
  <c r="F5" i="7"/>
  <c r="G5" i="7"/>
  <c r="H5" i="7"/>
  <c r="I5" i="7"/>
  <c r="K5" i="7"/>
  <c r="F7" i="7"/>
  <c r="F9" i="7"/>
  <c r="G9" i="7"/>
  <c r="F10" i="7"/>
  <c r="F11" i="7"/>
  <c r="G11" i="7"/>
  <c r="H11" i="7"/>
  <c r="I11" i="7"/>
  <c r="J11" i="7"/>
  <c r="K11" i="7"/>
  <c r="F12" i="7"/>
  <c r="G12" i="7"/>
  <c r="H12" i="7"/>
  <c r="I12" i="7"/>
  <c r="J12" i="7"/>
  <c r="K12" i="7"/>
  <c r="F13" i="7"/>
  <c r="F14" i="7"/>
  <c r="G15" i="7"/>
  <c r="H15" i="7"/>
  <c r="J15" i="7"/>
  <c r="F16" i="7"/>
  <c r="G16" i="7"/>
  <c r="K16" i="7"/>
  <c r="F17" i="7"/>
  <c r="F18" i="7"/>
  <c r="G18" i="7"/>
  <c r="H18" i="7"/>
  <c r="I18" i="7"/>
  <c r="J18" i="7"/>
  <c r="K18" i="7"/>
  <c r="F19" i="7"/>
  <c r="G19" i="7"/>
  <c r="H19" i="7"/>
  <c r="F20" i="7"/>
  <c r="H20" i="7"/>
  <c r="G21" i="7"/>
  <c r="F22" i="7"/>
  <c r="K22" i="7"/>
  <c r="F23" i="7"/>
  <c r="F24" i="7"/>
  <c r="G24" i="7"/>
  <c r="H24" i="7"/>
  <c r="I24" i="7"/>
  <c r="J24" i="7"/>
  <c r="K24" i="7"/>
  <c r="F25" i="7"/>
  <c r="G25" i="7"/>
  <c r="H25" i="7"/>
  <c r="I25" i="7"/>
  <c r="J25" i="7"/>
  <c r="K25" i="7"/>
  <c r="F26" i="7"/>
  <c r="F27" i="7"/>
  <c r="G28" i="7"/>
  <c r="F32" i="7"/>
  <c r="G32" i="7"/>
  <c r="H32" i="7"/>
  <c r="I32" i="7"/>
  <c r="J32" i="7"/>
  <c r="K32" i="7"/>
  <c r="F35" i="7"/>
  <c r="K35" i="7"/>
  <c r="F36" i="7"/>
  <c r="G36" i="7"/>
  <c r="H36" i="7"/>
  <c r="I36" i="7"/>
  <c r="J36" i="7"/>
  <c r="K36" i="7"/>
  <c r="F38" i="7"/>
  <c r="F39" i="7"/>
  <c r="G39" i="7"/>
  <c r="H39" i="7"/>
  <c r="I39" i="7"/>
  <c r="J39" i="7"/>
  <c r="K39" i="7"/>
  <c r="F40" i="7"/>
  <c r="K40" i="7"/>
  <c r="F44" i="7"/>
  <c r="F46" i="7"/>
  <c r="G46" i="7"/>
  <c r="H46" i="7"/>
  <c r="I46" i="7"/>
  <c r="J46" i="7"/>
  <c r="K46" i="7"/>
  <c r="F47" i="7"/>
  <c r="K47" i="7"/>
  <c r="K48" i="7"/>
  <c r="F49" i="7"/>
  <c r="F51" i="7"/>
  <c r="F53" i="7"/>
  <c r="G53" i="7"/>
  <c r="H53" i="7"/>
  <c r="I53" i="7"/>
  <c r="J53" i="7"/>
  <c r="K53" i="7"/>
  <c r="F54" i="7"/>
  <c r="F56" i="7"/>
  <c r="K59" i="7"/>
  <c r="F60" i="7"/>
  <c r="G60" i="7"/>
  <c r="H60" i="7"/>
  <c r="I60" i="7"/>
  <c r="J60" i="7"/>
  <c r="K60" i="7"/>
  <c r="F61" i="7"/>
  <c r="G61" i="7"/>
  <c r="F62" i="7"/>
  <c r="F63" i="7"/>
  <c r="F64" i="7"/>
  <c r="F67" i="7"/>
  <c r="G67" i="7"/>
  <c r="H67" i="7"/>
  <c r="I67" i="7"/>
  <c r="J67" i="7"/>
  <c r="K67" i="7"/>
  <c r="F68" i="7"/>
  <c r="K73" i="7"/>
  <c r="F74" i="7"/>
  <c r="G74" i="7"/>
  <c r="H74" i="7"/>
  <c r="I74" i="7"/>
  <c r="J74" i="7"/>
  <c r="K74" i="7"/>
  <c r="F75" i="7"/>
  <c r="H79" i="7"/>
  <c r="K80" i="7"/>
  <c r="F81" i="7"/>
  <c r="G81" i="7"/>
  <c r="H81" i="7"/>
  <c r="I81" i="7"/>
  <c r="J81" i="7"/>
  <c r="K81" i="7"/>
  <c r="F82" i="7"/>
  <c r="G82" i="7"/>
  <c r="H82" i="7"/>
  <c r="K83" i="7"/>
  <c r="F85" i="7"/>
  <c r="G85" i="7"/>
  <c r="F88" i="7"/>
  <c r="G88" i="7"/>
  <c r="H88" i="7"/>
  <c r="I88" i="7"/>
  <c r="J88" i="7"/>
  <c r="K88" i="7"/>
  <c r="AA31" i="6" a="1"/>
  <c r="AA31" i="6" s="1"/>
  <c r="Z31" i="6" a="1"/>
  <c r="Z31" i="6" s="1"/>
  <c r="Q31" i="6"/>
  <c r="P31" i="6"/>
  <c r="AA30" i="6" a="1"/>
  <c r="AA30" i="6" s="1"/>
  <c r="Z30" i="6" a="1"/>
  <c r="Z30" i="6" s="1"/>
  <c r="U30" i="6"/>
  <c r="T30" i="6"/>
  <c r="S30" i="6"/>
  <c r="R30" i="6"/>
  <c r="Q30" i="6"/>
  <c r="P30" i="6"/>
  <c r="AA29" i="6" a="1"/>
  <c r="AA29" i="6" s="1"/>
  <c r="Z29" i="6" a="1"/>
  <c r="Z29" i="6" s="1"/>
  <c r="U29" i="6"/>
  <c r="AA28" i="6" a="1"/>
  <c r="AA28" i="6" s="1"/>
  <c r="Z28" i="6" a="1"/>
  <c r="Z28" i="6" s="1"/>
  <c r="AA27" i="6" a="1"/>
  <c r="AA27" i="6" s="1"/>
  <c r="Z27" i="6" a="1"/>
  <c r="Z27" i="6" s="1"/>
  <c r="AA26" i="6" a="1"/>
  <c r="AA26" i="6" s="1"/>
  <c r="Z26" i="6" a="1"/>
  <c r="Z26" i="6" s="1"/>
  <c r="P26" i="6"/>
  <c r="AA25" i="6" a="1"/>
  <c r="AA25" i="6" s="1"/>
  <c r="Z25" i="6" a="1"/>
  <c r="Z25" i="6" s="1"/>
  <c r="AA24" i="6" a="1"/>
  <c r="AA24" i="6" s="1"/>
  <c r="Z24" i="6" a="1"/>
  <c r="Z24" i="6" s="1"/>
  <c r="P24" i="6"/>
  <c r="AA23" i="6" a="1"/>
  <c r="AA23" i="6" s="1"/>
  <c r="Z23" i="6" a="1"/>
  <c r="Z23" i="6" s="1"/>
  <c r="U23" i="6"/>
  <c r="T23" i="6"/>
  <c r="S23" i="6"/>
  <c r="R23" i="6"/>
  <c r="Q23" i="6"/>
  <c r="P23" i="6"/>
  <c r="AA22" i="6" a="1"/>
  <c r="AA22" i="6" s="1"/>
  <c r="Z22" i="6" a="1"/>
  <c r="Z22" i="6" s="1"/>
  <c r="AA21" i="6" a="1"/>
  <c r="AA21" i="6" s="1"/>
  <c r="Z21" i="6" a="1"/>
  <c r="Z21" i="6" s="1"/>
  <c r="P21" i="6"/>
  <c r="AA20" i="6" a="1"/>
  <c r="AA20" i="6" s="1"/>
  <c r="Z20" i="6" a="1"/>
  <c r="Z20" i="6" s="1"/>
  <c r="AA19" i="6" a="1"/>
  <c r="AA19" i="6" s="1"/>
  <c r="Z19" i="6" a="1"/>
  <c r="Z19" i="6" s="1"/>
  <c r="P19" i="6"/>
  <c r="AA18" i="6" a="1"/>
  <c r="AA18" i="6" s="1"/>
  <c r="Z18" i="6" a="1"/>
  <c r="Z18" i="6" s="1"/>
  <c r="U18" i="6"/>
  <c r="AA17" i="6" a="1"/>
  <c r="AA17" i="6" s="1"/>
  <c r="Z17" i="6" a="1"/>
  <c r="Z17" i="6" s="1"/>
  <c r="U17" i="6"/>
  <c r="P17" i="6"/>
  <c r="AA16" i="6" a="1"/>
  <c r="AA16" i="6" s="1"/>
  <c r="Z16" i="6" a="1"/>
  <c r="Z16" i="6" s="1"/>
  <c r="U16" i="6"/>
  <c r="T16" i="6"/>
  <c r="S16" i="6"/>
  <c r="R16" i="6"/>
  <c r="Q16" i="6"/>
  <c r="P16" i="6"/>
  <c r="AA15" i="6" a="1"/>
  <c r="AA15" i="6" s="1"/>
  <c r="Z15" i="6" a="1"/>
  <c r="Z15" i="6" s="1"/>
  <c r="AA14" i="6" a="1"/>
  <c r="AA14" i="6" s="1"/>
  <c r="Z14" i="6" a="1"/>
  <c r="Z14" i="6" s="1"/>
  <c r="P14" i="6"/>
  <c r="AA13" i="6" a="1"/>
  <c r="AA13" i="6" s="1"/>
  <c r="Z13" i="6" a="1"/>
  <c r="Z13" i="6" s="1"/>
  <c r="AA12" i="6" a="1"/>
  <c r="AA12" i="6" s="1"/>
  <c r="Z12" i="6" a="1"/>
  <c r="Z12" i="6" s="1"/>
  <c r="AA11" i="6" a="1"/>
  <c r="AA11" i="6" s="1"/>
  <c r="Z11" i="6" a="1"/>
  <c r="Z11" i="6" s="1"/>
  <c r="AA10" i="6" a="1"/>
  <c r="AA10" i="6" s="1"/>
  <c r="Z10" i="6" a="1"/>
  <c r="Z10" i="6" s="1"/>
  <c r="U10" i="6"/>
  <c r="P10" i="6"/>
  <c r="AA9" i="6" a="1"/>
  <c r="AA9" i="6" s="1"/>
  <c r="Z9" i="6" a="1"/>
  <c r="Z9" i="6" s="1"/>
  <c r="U9" i="6"/>
  <c r="T9" i="6"/>
  <c r="S9" i="6"/>
  <c r="R9" i="6"/>
  <c r="Q9" i="6"/>
  <c r="P9" i="6"/>
  <c r="AA8" i="6" a="1"/>
  <c r="AA8" i="6" s="1"/>
  <c r="Z8" i="6" a="1"/>
  <c r="Z8" i="6" s="1"/>
  <c r="P8" i="6"/>
  <c r="AA7" i="6" a="1"/>
  <c r="AA7" i="6" s="1"/>
  <c r="Z7" i="6" a="1"/>
  <c r="Z7" i="6" s="1"/>
  <c r="AA6" i="6" a="1"/>
  <c r="AA6" i="6" s="1"/>
  <c r="Z6" i="6" a="1"/>
  <c r="Z6" i="6" s="1"/>
  <c r="U6" i="6"/>
  <c r="T6" i="6"/>
  <c r="S6" i="6"/>
  <c r="R6" i="6"/>
  <c r="Q6" i="6"/>
  <c r="P6" i="6"/>
  <c r="AA5" i="6" a="1"/>
  <c r="AA5" i="6" s="1"/>
  <c r="Z5" i="6" a="1"/>
  <c r="Z5" i="6" s="1"/>
  <c r="U5" i="6"/>
  <c r="P5" i="6"/>
  <c r="AA4" i="6" a="1"/>
  <c r="AA4" i="6" s="1"/>
  <c r="Z4" i="6" a="1"/>
  <c r="Z4" i="6" s="1"/>
  <c r="M34" i="6" a="1"/>
  <c r="M34" i="6" s="1"/>
  <c r="M33" i="6" a="1"/>
  <c r="M33" i="6" s="1"/>
  <c r="L33" i="6" a="1"/>
  <c r="L33" i="6" s="1"/>
  <c r="G33" i="6"/>
  <c r="F33" i="6"/>
  <c r="E33" i="6"/>
  <c r="D33" i="6"/>
  <c r="C33" i="6"/>
  <c r="B33" i="6"/>
  <c r="M32" i="6" a="1"/>
  <c r="M32" i="6" s="1"/>
  <c r="L32" i="6" a="1"/>
  <c r="L32" i="6" s="1"/>
  <c r="M31" i="6" a="1"/>
  <c r="M31" i="6" s="1"/>
  <c r="L31" i="6" a="1"/>
  <c r="L31" i="6" s="1"/>
  <c r="M30" i="6" a="1"/>
  <c r="M30" i="6" s="1"/>
  <c r="L30" i="6" a="1"/>
  <c r="L30" i="6" s="1"/>
  <c r="M29" i="6" a="1"/>
  <c r="M29" i="6" s="1"/>
  <c r="L29" i="6" a="1"/>
  <c r="L29" i="6" s="1"/>
  <c r="C29" i="6"/>
  <c r="M28" i="6" a="1"/>
  <c r="M28" i="6" s="1"/>
  <c r="L28" i="6" a="1"/>
  <c r="L28" i="6" s="1"/>
  <c r="B28" i="6"/>
  <c r="M27" i="6" a="1"/>
  <c r="M27" i="6" s="1"/>
  <c r="L27" i="6" a="1"/>
  <c r="L27" i="6" s="1"/>
  <c r="B27" i="6"/>
  <c r="M26" i="6" a="1"/>
  <c r="M26" i="6" s="1"/>
  <c r="L26" i="6" a="1"/>
  <c r="L26" i="6" s="1"/>
  <c r="G26" i="6"/>
  <c r="F26" i="6"/>
  <c r="E26" i="6"/>
  <c r="D26" i="6"/>
  <c r="C26" i="6"/>
  <c r="B26" i="6"/>
  <c r="M25" i="6" a="1"/>
  <c r="M25" i="6" s="1"/>
  <c r="L25" i="6" a="1"/>
  <c r="L25" i="6" s="1"/>
  <c r="G25" i="6"/>
  <c r="F25" i="6"/>
  <c r="E25" i="6"/>
  <c r="D25" i="6"/>
  <c r="C25" i="6"/>
  <c r="B25" i="6"/>
  <c r="M24" i="6" a="1"/>
  <c r="M24" i="6" s="1"/>
  <c r="L24" i="6" a="1"/>
  <c r="L24" i="6" s="1"/>
  <c r="B24" i="6"/>
  <c r="M23" i="6" a="1"/>
  <c r="M23" i="6" s="1"/>
  <c r="L23" i="6" a="1"/>
  <c r="L23" i="6" s="1"/>
  <c r="G23" i="6"/>
  <c r="B23" i="6"/>
  <c r="M22" i="6" a="1"/>
  <c r="M22" i="6" s="1"/>
  <c r="L22" i="6" a="1"/>
  <c r="L22" i="6" s="1"/>
  <c r="C22" i="6"/>
  <c r="M21" i="6" a="1"/>
  <c r="M21" i="6" s="1"/>
  <c r="L21" i="6" a="1"/>
  <c r="L21" i="6" s="1"/>
  <c r="D21" i="6"/>
  <c r="B21" i="6"/>
  <c r="M20" i="6" a="1"/>
  <c r="M20" i="6" s="1"/>
  <c r="L20" i="6" a="1"/>
  <c r="L20" i="6" s="1"/>
  <c r="D20" i="6"/>
  <c r="C20" i="6"/>
  <c r="B20" i="6"/>
  <c r="M19" i="6" a="1"/>
  <c r="M19" i="6" s="1"/>
  <c r="L19" i="6" a="1"/>
  <c r="L19" i="6" s="1"/>
  <c r="G19" i="6"/>
  <c r="F19" i="6"/>
  <c r="E19" i="6"/>
  <c r="D19" i="6"/>
  <c r="C19" i="6"/>
  <c r="B19" i="6"/>
  <c r="M18" i="6" a="1"/>
  <c r="M18" i="6" s="1"/>
  <c r="L18" i="6" a="1"/>
  <c r="L18" i="6" s="1"/>
  <c r="B18" i="6"/>
  <c r="M17" i="6" a="1"/>
  <c r="M17" i="6" s="1"/>
  <c r="L17" i="6" a="1"/>
  <c r="L17" i="6" s="1"/>
  <c r="G17" i="6"/>
  <c r="C17" i="6"/>
  <c r="B17" i="6"/>
  <c r="M16" i="6" a="1"/>
  <c r="M16" i="6" s="1"/>
  <c r="L16" i="6" a="1"/>
  <c r="L16" i="6" s="1"/>
  <c r="F16" i="6"/>
  <c r="D16" i="6"/>
  <c r="C16" i="6"/>
  <c r="M15" i="6" a="1"/>
  <c r="M15" i="6" s="1"/>
  <c r="L15" i="6" a="1"/>
  <c r="L15" i="6" s="1"/>
  <c r="B15" i="6"/>
  <c r="M14" i="6" a="1"/>
  <c r="M14" i="6" s="1"/>
  <c r="L14" i="6" a="1"/>
  <c r="L14" i="6" s="1"/>
  <c r="B14" i="6"/>
  <c r="M13" i="6" a="1"/>
  <c r="M13" i="6" s="1"/>
  <c r="L13" i="6" a="1"/>
  <c r="L13" i="6" s="1"/>
  <c r="G13" i="6"/>
  <c r="F13" i="6"/>
  <c r="E13" i="6"/>
  <c r="D13" i="6"/>
  <c r="C13" i="6"/>
  <c r="B13" i="6"/>
  <c r="M12" i="6" a="1"/>
  <c r="M12" i="6" s="1"/>
  <c r="L12" i="6" a="1"/>
  <c r="L12" i="6" s="1"/>
  <c r="G12" i="6"/>
  <c r="F12" i="6"/>
  <c r="E12" i="6"/>
  <c r="D12" i="6"/>
  <c r="C12" i="6"/>
  <c r="B12" i="6"/>
  <c r="M11" i="6" a="1"/>
  <c r="M11" i="6" s="1"/>
  <c r="L11" i="6" a="1"/>
  <c r="L11" i="6" s="1"/>
  <c r="B11" i="6"/>
  <c r="M10" i="6" a="1"/>
  <c r="M10" i="6" s="1"/>
  <c r="L10" i="6" a="1"/>
  <c r="L10" i="6" s="1"/>
  <c r="C10" i="6"/>
  <c r="B10" i="6"/>
  <c r="M9" i="6" a="1"/>
  <c r="M9" i="6" s="1"/>
  <c r="L9" i="6" a="1"/>
  <c r="L9" i="6" s="1"/>
  <c r="M8" i="6" a="1"/>
  <c r="M8" i="6" s="1"/>
  <c r="L8" i="6" a="1"/>
  <c r="L8" i="6" s="1"/>
  <c r="B8" i="6"/>
  <c r="M7" i="6" a="1"/>
  <c r="M7" i="6" s="1"/>
  <c r="L7" i="6" a="1"/>
  <c r="L7" i="6" s="1"/>
  <c r="M6" i="6" a="1"/>
  <c r="M6" i="6" s="1"/>
  <c r="L6" i="6" a="1"/>
  <c r="L6" i="6" s="1"/>
  <c r="G6" i="6"/>
  <c r="E6" i="6"/>
  <c r="D6" i="6"/>
  <c r="C6" i="6"/>
  <c r="B6" i="6"/>
  <c r="M5" i="6" a="1"/>
  <c r="M5" i="6" s="1"/>
  <c r="L5" i="6" a="1"/>
  <c r="L5" i="6" s="1"/>
  <c r="G5" i="6"/>
  <c r="F5" i="6"/>
  <c r="E5" i="6"/>
  <c r="D5" i="6"/>
  <c r="C5" i="6"/>
  <c r="B5" i="6"/>
  <c r="M4" i="6" a="1"/>
  <c r="M4" i="6" s="1"/>
  <c r="L4" i="6" a="1"/>
  <c r="L4" i="6" s="1"/>
  <c r="F4" i="6"/>
  <c r="E4" i="6"/>
  <c r="D4" i="6"/>
  <c r="C4" i="6"/>
  <c r="B4" i="6"/>
  <c r="Y16" i="6" l="1"/>
  <c r="Y30" i="6"/>
  <c r="Y9" i="6"/>
  <c r="Y23" i="6"/>
  <c r="K5" i="6"/>
  <c r="Y6" i="6"/>
  <c r="K12" i="6"/>
  <c r="K13" i="6"/>
  <c r="K19" i="6"/>
  <c r="K33" i="6"/>
  <c r="K25" i="6"/>
  <c r="K26" i="6"/>
  <c r="C88" i="1"/>
  <c r="N161" i="6"/>
  <c r="T144" i="6" s="1"/>
  <c r="N188" i="6"/>
  <c r="T162" i="6" s="1"/>
  <c r="K188" i="6"/>
  <c r="T161" i="6" s="1"/>
  <c r="H188" i="6"/>
  <c r="T160" i="6" s="1"/>
  <c r="E188" i="6"/>
  <c r="T159" i="6" s="1"/>
  <c r="Q179" i="6"/>
  <c r="T157" i="6" s="1"/>
  <c r="N179" i="6"/>
  <c r="T156" i="6" s="1"/>
  <c r="K179" i="6"/>
  <c r="T155" i="6" s="1"/>
  <c r="H179" i="6"/>
  <c r="T154" i="6" s="1"/>
  <c r="E179" i="6"/>
  <c r="T153" i="6" s="1"/>
  <c r="B179" i="6"/>
  <c r="T152" i="6" s="1"/>
  <c r="Q170" i="6"/>
  <c r="T151" i="6" s="1"/>
  <c r="N170" i="6"/>
  <c r="T150" i="6" s="1"/>
  <c r="K170" i="6"/>
  <c r="T149" i="6" s="1"/>
  <c r="H170" i="6"/>
  <c r="T148" i="6" s="1"/>
  <c r="E170" i="6"/>
  <c r="T147" i="6" s="1"/>
  <c r="B170" i="6"/>
  <c r="T146" i="6" s="1"/>
  <c r="Q161" i="6"/>
  <c r="T145" i="6" s="1"/>
  <c r="C87" i="1"/>
  <c r="E88" i="1"/>
  <c r="E87" i="1"/>
  <c r="O4" i="7"/>
  <c r="O3" i="7"/>
  <c r="O12" i="7"/>
  <c r="O11" i="7"/>
  <c r="O18" i="7"/>
  <c r="O24" i="7"/>
  <c r="O25" i="7"/>
  <c r="O39" i="7"/>
  <c r="O74" i="7"/>
  <c r="O67" i="7"/>
  <c r="O46" i="7"/>
  <c r="O32" i="7"/>
  <c r="O81" i="7"/>
  <c r="O60" i="7"/>
  <c r="O53" i="7"/>
  <c r="O36" i="7"/>
  <c r="O88" i="7"/>
  <c r="AA32" i="6"/>
  <c r="Z32" i="6"/>
  <c r="M35" i="6"/>
  <c r="L35" i="6"/>
  <c r="B42" i="6"/>
  <c r="L42" i="6" a="1"/>
  <c r="L42" i="6" s="1"/>
  <c r="M42" i="6" a="1"/>
  <c r="M42" i="6" s="1"/>
  <c r="B43" i="6"/>
  <c r="L43" i="6" a="1"/>
  <c r="L43" i="6" s="1"/>
  <c r="M43" i="6" a="1"/>
  <c r="M43" i="6" s="1"/>
  <c r="L44" i="6" a="1"/>
  <c r="L44" i="6" s="1"/>
  <c r="M44" i="6" a="1"/>
  <c r="M44" i="6" s="1"/>
  <c r="L45" i="6" a="1"/>
  <c r="L45" i="6" s="1"/>
  <c r="M45" i="6" a="1"/>
  <c r="M45" i="6" s="1"/>
  <c r="B46" i="6"/>
  <c r="C46" i="6"/>
  <c r="D46" i="6"/>
  <c r="E46" i="6"/>
  <c r="F46" i="6"/>
  <c r="G46" i="6"/>
  <c r="L46" i="6" a="1"/>
  <c r="L46" i="6" s="1"/>
  <c r="M46" i="6" a="1"/>
  <c r="M46" i="6" s="1"/>
  <c r="B47" i="6"/>
  <c r="L47" i="6" a="1"/>
  <c r="L47" i="6" s="1"/>
  <c r="M47" i="6" a="1"/>
  <c r="M47" i="6" s="1"/>
  <c r="L48" i="6" a="1"/>
  <c r="L48" i="6" s="1"/>
  <c r="M48" i="6" a="1"/>
  <c r="M48" i="6" s="1"/>
  <c r="L49" i="6" a="1"/>
  <c r="L49" i="6" s="1"/>
  <c r="M49" i="6" a="1"/>
  <c r="M49" i="6" s="1"/>
  <c r="L50" i="6" a="1"/>
  <c r="L50" i="6" s="1"/>
  <c r="M50" i="6" a="1"/>
  <c r="M50" i="6" s="1"/>
  <c r="L51" i="6" a="1"/>
  <c r="L51" i="6" s="1"/>
  <c r="M51" i="6" a="1"/>
  <c r="M51" i="6" s="1"/>
  <c r="G52" i="6"/>
  <c r="L52" i="6" a="1"/>
  <c r="L52" i="6" s="1"/>
  <c r="M52" i="6" a="1"/>
  <c r="M52" i="6" s="1"/>
  <c r="B53" i="6"/>
  <c r="C53" i="6"/>
  <c r="D53" i="6"/>
  <c r="E53" i="6"/>
  <c r="F53" i="6"/>
  <c r="G53" i="6"/>
  <c r="L53" i="6" a="1"/>
  <c r="L53" i="6" s="1"/>
  <c r="M53" i="6" a="1"/>
  <c r="M53" i="6" s="1"/>
  <c r="B54" i="6"/>
  <c r="L54" i="6" a="1"/>
  <c r="L54" i="6" s="1"/>
  <c r="M54" i="6" a="1"/>
  <c r="M54" i="6" s="1"/>
  <c r="L55" i="6" a="1"/>
  <c r="L55" i="6" s="1"/>
  <c r="M55" i="6" a="1"/>
  <c r="M55" i="6" s="1"/>
  <c r="L56" i="6" a="1"/>
  <c r="L56" i="6" s="1"/>
  <c r="M56" i="6" a="1"/>
  <c r="M56" i="6" s="1"/>
  <c r="L57" i="6" a="1"/>
  <c r="L57" i="6" s="1"/>
  <c r="M57" i="6" a="1"/>
  <c r="M57" i="6" s="1"/>
  <c r="D58" i="6"/>
  <c r="L58" i="6" a="1"/>
  <c r="L58" i="6" s="1"/>
  <c r="M58" i="6" a="1"/>
  <c r="M58" i="6" s="1"/>
  <c r="G59" i="6"/>
  <c r="L59" i="6" a="1"/>
  <c r="L59" i="6" s="1"/>
  <c r="M59" i="6" a="1"/>
  <c r="M59" i="6" s="1"/>
  <c r="B60" i="6"/>
  <c r="C60" i="6"/>
  <c r="D60" i="6"/>
  <c r="E60" i="6"/>
  <c r="F60" i="6"/>
  <c r="G60" i="6"/>
  <c r="L60" i="6" a="1"/>
  <c r="L60" i="6" s="1"/>
  <c r="M60" i="6" a="1"/>
  <c r="M60" i="6" s="1"/>
  <c r="B61" i="6"/>
  <c r="C61" i="6"/>
  <c r="D61" i="6"/>
  <c r="L61" i="6" a="1"/>
  <c r="L61" i="6" s="1"/>
  <c r="M61" i="6" a="1"/>
  <c r="M61" i="6" s="1"/>
  <c r="G62" i="6"/>
  <c r="L62" i="6" a="1"/>
  <c r="L62" i="6" s="1"/>
  <c r="M62" i="6" a="1"/>
  <c r="M62" i="6" s="1"/>
  <c r="L63" i="6" a="1"/>
  <c r="L63" i="6" s="1"/>
  <c r="M63" i="6" a="1"/>
  <c r="M63" i="6" s="1"/>
  <c r="B64" i="6"/>
  <c r="C64" i="6"/>
  <c r="L64" i="6" a="1"/>
  <c r="L64" i="6" s="1"/>
  <c r="M64" i="6" a="1"/>
  <c r="M64" i="6" s="1"/>
  <c r="L65" i="6" a="1"/>
  <c r="L65" i="6" s="1"/>
  <c r="M65" i="6" a="1"/>
  <c r="M65" i="6" s="1"/>
  <c r="L66" i="6" a="1"/>
  <c r="L66" i="6" s="1"/>
  <c r="M66" i="6" a="1"/>
  <c r="M66" i="6" s="1"/>
  <c r="B67" i="6"/>
  <c r="C67" i="6"/>
  <c r="D67" i="6"/>
  <c r="E67" i="6"/>
  <c r="F67" i="6"/>
  <c r="G67" i="6"/>
  <c r="L67" i="6" a="1"/>
  <c r="L67" i="6" s="1"/>
  <c r="M67" i="6" a="1"/>
  <c r="M67" i="6" s="1"/>
  <c r="B68" i="6"/>
  <c r="C68" i="6"/>
  <c r="D68" i="6"/>
  <c r="E68" i="6"/>
  <c r="F68" i="6"/>
  <c r="G68" i="6"/>
  <c r="L68" i="6" a="1"/>
  <c r="L68" i="6" s="1"/>
  <c r="M68" i="6" a="1"/>
  <c r="M68" i="6" s="1"/>
  <c r="L69" i="6" a="1"/>
  <c r="L69" i="6" s="1"/>
  <c r="M69" i="6" a="1"/>
  <c r="M69" i="6" s="1"/>
  <c r="L70" i="6" a="1"/>
  <c r="L70" i="6" s="1"/>
  <c r="M70" i="6" a="1"/>
  <c r="M70" i="6" s="1"/>
  <c r="C71" i="6"/>
  <c r="L71" i="6" a="1"/>
  <c r="L71" i="6" s="1"/>
  <c r="M71" i="6" a="1"/>
  <c r="M71" i="6" s="1"/>
  <c r="M41" i="6" a="1"/>
  <c r="M41" i="6" s="1"/>
  <c r="L41" i="6" a="1"/>
  <c r="L41" i="6" s="1"/>
  <c r="B41" i="6"/>
  <c r="K46" i="6" l="1"/>
  <c r="K68" i="6"/>
  <c r="K53" i="6"/>
  <c r="K60" i="6"/>
  <c r="E89" i="1"/>
  <c r="M72" i="6"/>
  <c r="C89" i="1"/>
  <c r="L72" i="6"/>
  <c r="F109" i="2" l="1"/>
  <c r="F105" i="2"/>
  <c r="F108" i="2"/>
  <c r="F103" i="2"/>
  <c r="F62" i="2" l="1"/>
  <c r="F1663" i="2" l="1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D71" i="6" s="1"/>
  <c r="F626" i="2"/>
  <c r="B71" i="6" s="1"/>
  <c r="F625" i="2"/>
  <c r="G71" i="6" s="1"/>
  <c r="F624" i="2"/>
  <c r="F623" i="2"/>
  <c r="F622" i="2"/>
  <c r="F621" i="2"/>
  <c r="F620" i="2"/>
  <c r="F619" i="2"/>
  <c r="F618" i="2"/>
  <c r="F617" i="2"/>
  <c r="D70" i="6" s="1"/>
  <c r="F616" i="2"/>
  <c r="F615" i="2"/>
  <c r="B70" i="6" s="1"/>
  <c r="F614" i="2"/>
  <c r="F613" i="2"/>
  <c r="F612" i="2"/>
  <c r="F611" i="2"/>
  <c r="F610" i="2"/>
  <c r="F609" i="2"/>
  <c r="F608" i="2"/>
  <c r="C70" i="6" s="1"/>
  <c r="F607" i="2"/>
  <c r="F606" i="2"/>
  <c r="F605" i="2"/>
  <c r="F604" i="2"/>
  <c r="D69" i="6" s="1"/>
  <c r="F603" i="2"/>
  <c r="F602" i="2"/>
  <c r="F601" i="2"/>
  <c r="F600" i="2"/>
  <c r="F599" i="2"/>
  <c r="F598" i="2"/>
  <c r="F597" i="2"/>
  <c r="G69" i="6" s="1"/>
  <c r="F596" i="2"/>
  <c r="B69" i="6" s="1"/>
  <c r="F595" i="2"/>
  <c r="F594" i="2"/>
  <c r="F593" i="2"/>
  <c r="F592" i="2"/>
  <c r="F591" i="2"/>
  <c r="F590" i="2"/>
  <c r="F589" i="2"/>
  <c r="F588" i="2"/>
  <c r="F587" i="2"/>
  <c r="F586" i="2"/>
  <c r="F585" i="2"/>
  <c r="F584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3" i="2"/>
  <c r="F342" i="2"/>
  <c r="F341" i="2"/>
  <c r="F340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8" i="2"/>
  <c r="F277" i="2"/>
  <c r="F276" i="2"/>
  <c r="F275" i="2"/>
  <c r="F274" i="2"/>
  <c r="F273" i="2"/>
  <c r="F272" i="2"/>
  <c r="F271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7" i="2"/>
  <c r="F106" i="2"/>
  <c r="F104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I26" i="7" s="1"/>
  <c r="F66" i="2"/>
  <c r="F65" i="2"/>
  <c r="F64" i="2"/>
  <c r="F63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M106" i="7" l="1"/>
  <c r="I89" i="6"/>
  <c r="L104" i="7"/>
  <c r="H87" i="6"/>
  <c r="L97" i="7"/>
  <c r="H80" i="6"/>
  <c r="M105" i="7"/>
  <c r="I88" i="6"/>
  <c r="L106" i="7"/>
  <c r="H89" i="6"/>
  <c r="L98" i="7"/>
  <c r="H81" i="6"/>
  <c r="Q113" i="6"/>
  <c r="I78" i="6"/>
  <c r="I106" i="6" s="1"/>
  <c r="H50" i="1" s="1"/>
  <c r="M95" i="7"/>
  <c r="G20" i="6"/>
  <c r="L96" i="7"/>
  <c r="H79" i="6"/>
  <c r="H106" i="6" s="1"/>
  <c r="H49" i="1" s="1"/>
  <c r="F6" i="6"/>
  <c r="J5" i="7"/>
  <c r="O5" i="7" s="1"/>
  <c r="I6" i="6"/>
  <c r="M5" i="7"/>
  <c r="I4" i="6"/>
  <c r="K4" i="6" s="1"/>
  <c r="M3" i="7"/>
  <c r="H30" i="6"/>
  <c r="L29" i="7"/>
  <c r="H31" i="6"/>
  <c r="L30" i="7"/>
  <c r="M88" i="7"/>
  <c r="I67" i="6"/>
  <c r="I29" i="6"/>
  <c r="M28" i="7"/>
  <c r="I30" i="6"/>
  <c r="M29" i="7"/>
  <c r="H34" i="6"/>
  <c r="L33" i="7"/>
  <c r="K82" i="7"/>
  <c r="G61" i="6"/>
  <c r="J82" i="7"/>
  <c r="F61" i="6"/>
  <c r="I82" i="7"/>
  <c r="E61" i="6"/>
  <c r="G79" i="7"/>
  <c r="C58" i="6"/>
  <c r="G78" i="7"/>
  <c r="C57" i="6"/>
  <c r="F65" i="7"/>
  <c r="B44" i="6"/>
  <c r="K76" i="7"/>
  <c r="G55" i="6"/>
  <c r="K75" i="7"/>
  <c r="G54" i="6"/>
  <c r="G75" i="7"/>
  <c r="C54" i="6"/>
  <c r="H75" i="7"/>
  <c r="D54" i="6"/>
  <c r="J75" i="7"/>
  <c r="F54" i="6"/>
  <c r="I75" i="7"/>
  <c r="E54" i="6"/>
  <c r="G72" i="7"/>
  <c r="C51" i="6"/>
  <c r="H72" i="7"/>
  <c r="D51" i="6"/>
  <c r="G71" i="7"/>
  <c r="C50" i="6"/>
  <c r="K70" i="7"/>
  <c r="G49" i="6"/>
  <c r="H68" i="7"/>
  <c r="D47" i="6"/>
  <c r="K68" i="7"/>
  <c r="G47" i="6"/>
  <c r="G68" i="7"/>
  <c r="C47" i="6"/>
  <c r="I68" i="7"/>
  <c r="E47" i="6"/>
  <c r="J68" i="7"/>
  <c r="F47" i="6"/>
  <c r="H65" i="7"/>
  <c r="D44" i="6"/>
  <c r="G65" i="7"/>
  <c r="C44" i="6"/>
  <c r="H62" i="7"/>
  <c r="D41" i="6"/>
  <c r="T31" i="6"/>
  <c r="J61" i="7"/>
  <c r="I61" i="7"/>
  <c r="S31" i="6"/>
  <c r="H61" i="7"/>
  <c r="R31" i="6"/>
  <c r="U31" i="6"/>
  <c r="K61" i="7"/>
  <c r="G57" i="7"/>
  <c r="Q27" i="6"/>
  <c r="P25" i="6"/>
  <c r="F55" i="7"/>
  <c r="H54" i="7"/>
  <c r="R24" i="6"/>
  <c r="I54" i="7"/>
  <c r="S24" i="6"/>
  <c r="K54" i="7"/>
  <c r="U24" i="6"/>
  <c r="T24" i="6"/>
  <c r="J54" i="7"/>
  <c r="G54" i="7"/>
  <c r="Q24" i="6"/>
  <c r="H48" i="7"/>
  <c r="R18" i="6"/>
  <c r="F48" i="7"/>
  <c r="P18" i="6"/>
  <c r="G48" i="7"/>
  <c r="Q18" i="6"/>
  <c r="G47" i="7"/>
  <c r="Q17" i="6"/>
  <c r="H47" i="7"/>
  <c r="R17" i="6"/>
  <c r="S17" i="6"/>
  <c r="I47" i="7"/>
  <c r="T17" i="6"/>
  <c r="J47" i="7"/>
  <c r="H43" i="7"/>
  <c r="R13" i="6"/>
  <c r="P13" i="6"/>
  <c r="F43" i="7"/>
  <c r="R10" i="6"/>
  <c r="H40" i="7"/>
  <c r="G40" i="7"/>
  <c r="Q10" i="6"/>
  <c r="S10" i="6"/>
  <c r="I40" i="7"/>
  <c r="T10" i="6"/>
  <c r="J40" i="7"/>
  <c r="E122" i="6"/>
  <c r="R4" i="6"/>
  <c r="H34" i="7"/>
  <c r="D24" i="6"/>
  <c r="H23" i="7"/>
  <c r="E27" i="6"/>
  <c r="D34" i="6"/>
  <c r="H33" i="7"/>
  <c r="E34" i="6"/>
  <c r="I33" i="7"/>
  <c r="K33" i="7"/>
  <c r="G34" i="6"/>
  <c r="F33" i="7"/>
  <c r="B34" i="6"/>
  <c r="C34" i="6"/>
  <c r="G33" i="7"/>
  <c r="F34" i="6"/>
  <c r="J33" i="7"/>
  <c r="F29" i="7"/>
  <c r="B30" i="6"/>
  <c r="D29" i="6"/>
  <c r="H28" i="7"/>
  <c r="F29" i="6"/>
  <c r="J28" i="7"/>
  <c r="F28" i="7"/>
  <c r="B29" i="6"/>
  <c r="I28" i="7"/>
  <c r="E29" i="6"/>
  <c r="K28" i="7"/>
  <c r="G29" i="6"/>
  <c r="H27" i="7"/>
  <c r="D28" i="6"/>
  <c r="K27" i="7"/>
  <c r="G28" i="6"/>
  <c r="C28" i="6"/>
  <c r="G27" i="7"/>
  <c r="I27" i="7"/>
  <c r="E28" i="6"/>
  <c r="B121" i="6"/>
  <c r="F28" i="6"/>
  <c r="J27" i="7"/>
  <c r="H26" i="7"/>
  <c r="D27" i="6"/>
  <c r="G26" i="7"/>
  <c r="C27" i="6"/>
  <c r="K26" i="7"/>
  <c r="G27" i="6"/>
  <c r="B120" i="6"/>
  <c r="F27" i="6"/>
  <c r="J26" i="7"/>
  <c r="G24" i="6"/>
  <c r="K23" i="7"/>
  <c r="E24" i="6"/>
  <c r="I23" i="7"/>
  <c r="G23" i="7"/>
  <c r="C24" i="6"/>
  <c r="H115" i="6"/>
  <c r="J23" i="7"/>
  <c r="F24" i="6"/>
  <c r="D23" i="6"/>
  <c r="H22" i="7"/>
  <c r="C23" i="6"/>
  <c r="G22" i="7"/>
  <c r="F23" i="6"/>
  <c r="J22" i="7"/>
  <c r="H114" i="6"/>
  <c r="E23" i="6"/>
  <c r="I22" i="7"/>
  <c r="K21" i="7"/>
  <c r="G22" i="6"/>
  <c r="F21" i="7"/>
  <c r="B22" i="6"/>
  <c r="H21" i="7"/>
  <c r="D22" i="6"/>
  <c r="F22" i="6"/>
  <c r="J21" i="7"/>
  <c r="E22" i="6"/>
  <c r="H113" i="6"/>
  <c r="I21" i="7"/>
  <c r="G21" i="6"/>
  <c r="K20" i="7"/>
  <c r="C21" i="6"/>
  <c r="G20" i="7"/>
  <c r="J20" i="7"/>
  <c r="F21" i="6"/>
  <c r="E21" i="6"/>
  <c r="I20" i="7"/>
  <c r="H112" i="6"/>
  <c r="K19" i="7"/>
  <c r="F20" i="6"/>
  <c r="J19" i="7"/>
  <c r="E20" i="6"/>
  <c r="I19" i="7"/>
  <c r="H111" i="6"/>
  <c r="K158" i="6"/>
  <c r="K157" i="6"/>
  <c r="K156" i="6"/>
  <c r="H160" i="6"/>
  <c r="E158" i="6"/>
  <c r="K151" i="6"/>
  <c r="H159" i="6"/>
  <c r="H158" i="6"/>
  <c r="H157" i="6"/>
  <c r="H156" i="6"/>
  <c r="E160" i="6"/>
  <c r="E159" i="6"/>
  <c r="E157" i="6"/>
  <c r="E156" i="6"/>
  <c r="B160" i="6"/>
  <c r="B159" i="6"/>
  <c r="B158" i="6"/>
  <c r="B157" i="6"/>
  <c r="B156" i="6"/>
  <c r="Q151" i="6"/>
  <c r="N151" i="6"/>
  <c r="H151" i="6"/>
  <c r="Q150" i="6"/>
  <c r="N150" i="6"/>
  <c r="K150" i="6"/>
  <c r="H150" i="6"/>
  <c r="Q149" i="6"/>
  <c r="H149" i="6"/>
  <c r="N149" i="6"/>
  <c r="K149" i="6"/>
  <c r="Q148" i="6"/>
  <c r="K148" i="6"/>
  <c r="N148" i="6"/>
  <c r="H148" i="6"/>
  <c r="N147" i="6"/>
  <c r="H147" i="6"/>
  <c r="Q147" i="6"/>
  <c r="K147" i="6"/>
  <c r="N141" i="6"/>
  <c r="E150" i="6"/>
  <c r="Q141" i="6"/>
  <c r="Q142" i="6"/>
  <c r="N142" i="6"/>
  <c r="B149" i="6"/>
  <c r="Q140" i="6"/>
  <c r="E149" i="6"/>
  <c r="N140" i="6"/>
  <c r="B148" i="6"/>
  <c r="N139" i="6"/>
  <c r="E148" i="6"/>
  <c r="Q139" i="6"/>
  <c r="Q133" i="6"/>
  <c r="N129" i="6"/>
  <c r="K132" i="6"/>
  <c r="N130" i="6"/>
  <c r="Q138" i="6"/>
  <c r="B147" i="6"/>
  <c r="N138" i="6"/>
  <c r="E147" i="6"/>
  <c r="K142" i="6"/>
  <c r="K141" i="6"/>
  <c r="K140" i="6"/>
  <c r="K139" i="6"/>
  <c r="K138" i="6"/>
  <c r="Q132" i="6"/>
  <c r="Q131" i="6"/>
  <c r="Q130" i="6"/>
  <c r="Q129" i="6"/>
  <c r="N133" i="6"/>
  <c r="N132" i="6"/>
  <c r="N131" i="6"/>
  <c r="K133" i="6"/>
  <c r="G70" i="6"/>
  <c r="E11" i="6"/>
  <c r="F69" i="6"/>
  <c r="Q111" i="6"/>
  <c r="F71" i="6"/>
  <c r="Q114" i="6"/>
  <c r="Q112" i="6"/>
  <c r="K123" i="6"/>
  <c r="K129" i="6"/>
  <c r="K131" i="6"/>
  <c r="K130" i="6"/>
  <c r="N124" i="6"/>
  <c r="Q123" i="6"/>
  <c r="N123" i="6"/>
  <c r="N122" i="6"/>
  <c r="Q122" i="6"/>
  <c r="N121" i="6"/>
  <c r="Q121" i="6"/>
  <c r="N120" i="6"/>
  <c r="Q120" i="6"/>
  <c r="K124" i="6"/>
  <c r="K122" i="6"/>
  <c r="K121" i="6"/>
  <c r="K120" i="6"/>
  <c r="Q115" i="6"/>
  <c r="E69" i="6"/>
  <c r="E71" i="6"/>
  <c r="K69" i="7"/>
  <c r="G48" i="6"/>
  <c r="I69" i="7"/>
  <c r="E48" i="6"/>
  <c r="E70" i="6"/>
  <c r="J69" i="7"/>
  <c r="F48" i="6"/>
  <c r="K79" i="7"/>
  <c r="G58" i="6"/>
  <c r="C69" i="6"/>
  <c r="F69" i="7"/>
  <c r="B48" i="6"/>
  <c r="G69" i="7"/>
  <c r="C48" i="6"/>
  <c r="F70" i="6"/>
  <c r="H87" i="7"/>
  <c r="D66" i="6"/>
  <c r="G87" i="7"/>
  <c r="C66" i="6"/>
  <c r="F87" i="7"/>
  <c r="B66" i="6"/>
  <c r="K87" i="7"/>
  <c r="G66" i="6"/>
  <c r="J87" i="7"/>
  <c r="F66" i="6"/>
  <c r="I87" i="7"/>
  <c r="K115" i="6"/>
  <c r="E66" i="6"/>
  <c r="H86" i="7"/>
  <c r="D65" i="6"/>
  <c r="F86" i="7"/>
  <c r="B65" i="6"/>
  <c r="K86" i="7"/>
  <c r="G65" i="6"/>
  <c r="G86" i="7"/>
  <c r="C65" i="6"/>
  <c r="J86" i="7"/>
  <c r="F65" i="6"/>
  <c r="K114" i="6"/>
  <c r="I86" i="7"/>
  <c r="E65" i="6"/>
  <c r="H85" i="7"/>
  <c r="D64" i="6"/>
  <c r="K85" i="7"/>
  <c r="G64" i="6"/>
  <c r="J85" i="7"/>
  <c r="F64" i="6"/>
  <c r="K113" i="6"/>
  <c r="I85" i="7"/>
  <c r="E64" i="6"/>
  <c r="H84" i="7"/>
  <c r="D63" i="6"/>
  <c r="K84" i="7"/>
  <c r="G63" i="6"/>
  <c r="G84" i="7"/>
  <c r="C63" i="6"/>
  <c r="F84" i="7"/>
  <c r="B63" i="6"/>
  <c r="J84" i="7"/>
  <c r="F63" i="6"/>
  <c r="K112" i="6"/>
  <c r="I84" i="7"/>
  <c r="E63" i="6"/>
  <c r="G83" i="7"/>
  <c r="C62" i="6"/>
  <c r="H83" i="7"/>
  <c r="D62" i="6"/>
  <c r="F83" i="7"/>
  <c r="B62" i="6"/>
  <c r="J83" i="7"/>
  <c r="F62" i="6"/>
  <c r="K111" i="6"/>
  <c r="I83" i="7"/>
  <c r="E62" i="6"/>
  <c r="H80" i="7"/>
  <c r="D59" i="6"/>
  <c r="F80" i="7"/>
  <c r="B59" i="6"/>
  <c r="G80" i="7"/>
  <c r="C59" i="6"/>
  <c r="J80" i="7"/>
  <c r="F59" i="6"/>
  <c r="I80" i="7"/>
  <c r="H142" i="6"/>
  <c r="E59" i="6"/>
  <c r="F79" i="7"/>
  <c r="B58" i="6"/>
  <c r="J79" i="7"/>
  <c r="F58" i="6"/>
  <c r="I79" i="7"/>
  <c r="H141" i="6"/>
  <c r="E58" i="6"/>
  <c r="H78" i="7"/>
  <c r="D57" i="6"/>
  <c r="F78" i="7"/>
  <c r="B57" i="6"/>
  <c r="K78" i="7"/>
  <c r="G57" i="6"/>
  <c r="J78" i="7"/>
  <c r="F57" i="6"/>
  <c r="I78" i="7"/>
  <c r="H140" i="6"/>
  <c r="E57" i="6"/>
  <c r="H77" i="7"/>
  <c r="D56" i="6"/>
  <c r="G77" i="7"/>
  <c r="C56" i="6"/>
  <c r="K77" i="7"/>
  <c r="G56" i="6"/>
  <c r="F77" i="7"/>
  <c r="B56" i="6"/>
  <c r="J77" i="7"/>
  <c r="F56" i="6"/>
  <c r="I77" i="7"/>
  <c r="H139" i="6"/>
  <c r="E56" i="6"/>
  <c r="H76" i="7"/>
  <c r="D55" i="6"/>
  <c r="G76" i="7"/>
  <c r="C55" i="6"/>
  <c r="F76" i="7"/>
  <c r="B55" i="6"/>
  <c r="J76" i="7"/>
  <c r="F55" i="6"/>
  <c r="H138" i="6"/>
  <c r="I76" i="7"/>
  <c r="E55" i="6"/>
  <c r="H73" i="7"/>
  <c r="D52" i="6"/>
  <c r="G73" i="7"/>
  <c r="C52" i="6"/>
  <c r="F73" i="7"/>
  <c r="B52" i="6"/>
  <c r="I73" i="7"/>
  <c r="E52" i="6"/>
  <c r="J73" i="7"/>
  <c r="E142" i="6"/>
  <c r="F52" i="6"/>
  <c r="F72" i="7"/>
  <c r="B51" i="6"/>
  <c r="K72" i="7"/>
  <c r="G51" i="6"/>
  <c r="J72" i="7"/>
  <c r="F51" i="6"/>
  <c r="E141" i="6"/>
  <c r="I72" i="7"/>
  <c r="E51" i="6"/>
  <c r="H71" i="7"/>
  <c r="D50" i="6"/>
  <c r="F71" i="7"/>
  <c r="B50" i="6"/>
  <c r="K71" i="7"/>
  <c r="G50" i="6"/>
  <c r="J71" i="7"/>
  <c r="F50" i="6"/>
  <c r="I71" i="7"/>
  <c r="E140" i="6"/>
  <c r="E50" i="6"/>
  <c r="H70" i="7"/>
  <c r="D49" i="6"/>
  <c r="G70" i="7"/>
  <c r="C49" i="6"/>
  <c r="F70" i="7"/>
  <c r="B49" i="6"/>
  <c r="J70" i="7"/>
  <c r="F49" i="6"/>
  <c r="E139" i="6"/>
  <c r="I70" i="7"/>
  <c r="E49" i="6"/>
  <c r="H69" i="7"/>
  <c r="E138" i="6"/>
  <c r="D48" i="6"/>
  <c r="H66" i="7"/>
  <c r="D45" i="6"/>
  <c r="G66" i="7"/>
  <c r="C45" i="6"/>
  <c r="F66" i="7"/>
  <c r="B45" i="6"/>
  <c r="K66" i="7"/>
  <c r="G45" i="6"/>
  <c r="J66" i="7"/>
  <c r="F45" i="6"/>
  <c r="I66" i="7"/>
  <c r="E45" i="6"/>
  <c r="K65" i="7"/>
  <c r="G44" i="6"/>
  <c r="J65" i="7"/>
  <c r="F44" i="6"/>
  <c r="I65" i="7"/>
  <c r="E44" i="6"/>
  <c r="H64" i="7"/>
  <c r="D43" i="6"/>
  <c r="K64" i="7"/>
  <c r="G43" i="6"/>
  <c r="F52" i="7"/>
  <c r="P22" i="6"/>
  <c r="Q21" i="6"/>
  <c r="G51" i="7"/>
  <c r="F57" i="7"/>
  <c r="P27" i="6"/>
  <c r="G64" i="7"/>
  <c r="C43" i="6"/>
  <c r="I64" i="7"/>
  <c r="E43" i="6"/>
  <c r="J64" i="7"/>
  <c r="F43" i="6"/>
  <c r="H63" i="7"/>
  <c r="D42" i="6"/>
  <c r="G63" i="7"/>
  <c r="C42" i="6"/>
  <c r="K63" i="7"/>
  <c r="G42" i="6"/>
  <c r="J63" i="7"/>
  <c r="F42" i="6"/>
  <c r="I63" i="7"/>
  <c r="E42" i="6"/>
  <c r="K62" i="7"/>
  <c r="G41" i="6"/>
  <c r="G62" i="7"/>
  <c r="C41" i="6"/>
  <c r="J62" i="7"/>
  <c r="F41" i="6"/>
  <c r="I62" i="7"/>
  <c r="E41" i="6"/>
  <c r="R29" i="6"/>
  <c r="H59" i="7"/>
  <c r="P29" i="6"/>
  <c r="F59" i="7"/>
  <c r="G59" i="7"/>
  <c r="Q29" i="6"/>
  <c r="J59" i="7"/>
  <c r="T29" i="6"/>
  <c r="S29" i="6"/>
  <c r="I59" i="7"/>
  <c r="H133" i="6"/>
  <c r="R28" i="6"/>
  <c r="H58" i="7"/>
  <c r="Q28" i="6"/>
  <c r="G58" i="7"/>
  <c r="U28" i="6"/>
  <c r="K58" i="7"/>
  <c r="F58" i="7"/>
  <c r="P28" i="6"/>
  <c r="J58" i="7"/>
  <c r="T28" i="6"/>
  <c r="I58" i="7"/>
  <c r="H132" i="6"/>
  <c r="S28" i="6"/>
  <c r="R27" i="6"/>
  <c r="H57" i="7"/>
  <c r="U27" i="6"/>
  <c r="K57" i="7"/>
  <c r="S27" i="6"/>
  <c r="I57" i="7"/>
  <c r="H131" i="6"/>
  <c r="J57" i="7"/>
  <c r="T27" i="6"/>
  <c r="H56" i="7"/>
  <c r="R26" i="6"/>
  <c r="K56" i="7"/>
  <c r="U26" i="6"/>
  <c r="Q26" i="6"/>
  <c r="G56" i="7"/>
  <c r="T26" i="6"/>
  <c r="J56" i="7"/>
  <c r="H130" i="6"/>
  <c r="S26" i="6"/>
  <c r="I56" i="7"/>
  <c r="H55" i="7"/>
  <c r="R25" i="6"/>
  <c r="K55" i="7"/>
  <c r="U25" i="6"/>
  <c r="G55" i="7"/>
  <c r="Q25" i="6"/>
  <c r="J55" i="7"/>
  <c r="T25" i="6"/>
  <c r="H129" i="6"/>
  <c r="S25" i="6"/>
  <c r="I55" i="7"/>
  <c r="R22" i="6"/>
  <c r="H52" i="7"/>
  <c r="Q22" i="6"/>
  <c r="G52" i="7"/>
  <c r="I52" i="7"/>
  <c r="S22" i="6"/>
  <c r="K52" i="7"/>
  <c r="U22" i="6"/>
  <c r="T22" i="6"/>
  <c r="E133" i="6"/>
  <c r="J52" i="7"/>
  <c r="B133" i="6"/>
  <c r="R21" i="6"/>
  <c r="H51" i="7"/>
  <c r="H16" i="7"/>
  <c r="D17" i="6"/>
  <c r="D7" i="6"/>
  <c r="H6" i="7"/>
  <c r="E18" i="6"/>
  <c r="I17" i="7"/>
  <c r="E115" i="6"/>
  <c r="C7" i="6"/>
  <c r="G6" i="7"/>
  <c r="G16" i="6"/>
  <c r="K15" i="7"/>
  <c r="E113" i="6"/>
  <c r="J17" i="7"/>
  <c r="F18" i="6"/>
  <c r="J29" i="7"/>
  <c r="F30" i="6"/>
  <c r="F7" i="6"/>
  <c r="J6" i="7"/>
  <c r="B115" i="6"/>
  <c r="F11" i="6"/>
  <c r="J10" i="7"/>
  <c r="F8" i="6"/>
  <c r="B112" i="6"/>
  <c r="J7" i="7"/>
  <c r="G9" i="6"/>
  <c r="K8" i="7"/>
  <c r="E111" i="6"/>
  <c r="E14" i="6"/>
  <c r="I13" i="7"/>
  <c r="H13" i="7"/>
  <c r="D14" i="6"/>
  <c r="E17" i="6"/>
  <c r="I16" i="7"/>
  <c r="E114" i="6"/>
  <c r="G8" i="6"/>
  <c r="K7" i="7"/>
  <c r="D9" i="6"/>
  <c r="H8" i="7"/>
  <c r="G11" i="6"/>
  <c r="K10" i="7"/>
  <c r="F14" i="6"/>
  <c r="J13" i="7"/>
  <c r="E112" i="6"/>
  <c r="E15" i="6"/>
  <c r="I14" i="7"/>
  <c r="F17" i="6"/>
  <c r="J16" i="7"/>
  <c r="G31" i="6"/>
  <c r="K30" i="7"/>
  <c r="E7" i="6"/>
  <c r="I6" i="7"/>
  <c r="B111" i="6"/>
  <c r="G17" i="7"/>
  <c r="C18" i="6"/>
  <c r="H9" i="7"/>
  <c r="D10" i="6"/>
  <c r="F8" i="7"/>
  <c r="B9" i="6"/>
  <c r="G13" i="7"/>
  <c r="C14" i="6"/>
  <c r="E9" i="6"/>
  <c r="I8" i="7"/>
  <c r="E10" i="6"/>
  <c r="B114" i="6"/>
  <c r="I9" i="7"/>
  <c r="G10" i="7"/>
  <c r="C11" i="6"/>
  <c r="G14" i="6"/>
  <c r="K13" i="7"/>
  <c r="J14" i="7"/>
  <c r="F15" i="6"/>
  <c r="F15" i="7"/>
  <c r="B16" i="6"/>
  <c r="G10" i="6"/>
  <c r="K9" i="7"/>
  <c r="G14" i="7"/>
  <c r="C15" i="6"/>
  <c r="H10" i="7"/>
  <c r="D11" i="6"/>
  <c r="H14" i="7"/>
  <c r="D15" i="6"/>
  <c r="G7" i="7"/>
  <c r="C8" i="6"/>
  <c r="H7" i="7"/>
  <c r="D8" i="6"/>
  <c r="B113" i="6"/>
  <c r="F9" i="6"/>
  <c r="J8" i="7"/>
  <c r="K29" i="7"/>
  <c r="G30" i="6"/>
  <c r="G7" i="6"/>
  <c r="K6" i="7"/>
  <c r="G8" i="7"/>
  <c r="C9" i="6"/>
  <c r="F6" i="7"/>
  <c r="B7" i="6"/>
  <c r="F10" i="6"/>
  <c r="J9" i="7"/>
  <c r="H17" i="7"/>
  <c r="D18" i="6"/>
  <c r="E8" i="6"/>
  <c r="I7" i="7"/>
  <c r="G15" i="6"/>
  <c r="K14" i="7"/>
  <c r="E16" i="6"/>
  <c r="I15" i="7"/>
  <c r="G18" i="6"/>
  <c r="K17" i="7"/>
  <c r="I10" i="7"/>
  <c r="J51" i="7"/>
  <c r="T21" i="6"/>
  <c r="I51" i="7"/>
  <c r="S21" i="6"/>
  <c r="U21" i="6"/>
  <c r="E132" i="6"/>
  <c r="B132" i="6"/>
  <c r="K51" i="7"/>
  <c r="R20" i="6"/>
  <c r="H50" i="7"/>
  <c r="Q20" i="6"/>
  <c r="G50" i="7"/>
  <c r="P20" i="6"/>
  <c r="F50" i="7"/>
  <c r="J50" i="7"/>
  <c r="T20" i="6"/>
  <c r="K50" i="7"/>
  <c r="U20" i="6"/>
  <c r="B131" i="6"/>
  <c r="S20" i="6"/>
  <c r="I50" i="7"/>
  <c r="E131" i="6"/>
  <c r="R19" i="6"/>
  <c r="H49" i="7"/>
  <c r="K49" i="7"/>
  <c r="U19" i="6"/>
  <c r="Q19" i="6"/>
  <c r="G49" i="7"/>
  <c r="J49" i="7"/>
  <c r="T19" i="6"/>
  <c r="S19" i="6"/>
  <c r="B130" i="6"/>
  <c r="I49" i="7"/>
  <c r="E130" i="6"/>
  <c r="T18" i="6"/>
  <c r="J48" i="7"/>
  <c r="B129" i="6"/>
  <c r="I48" i="7"/>
  <c r="S18" i="6"/>
  <c r="E129" i="6"/>
  <c r="H45" i="7"/>
  <c r="R15" i="6"/>
  <c r="K45" i="7"/>
  <c r="U15" i="6"/>
  <c r="Q15" i="6"/>
  <c r="G45" i="7"/>
  <c r="F45" i="7"/>
  <c r="P15" i="6"/>
  <c r="T15" i="6"/>
  <c r="J45" i="7"/>
  <c r="S15" i="6"/>
  <c r="H124" i="6"/>
  <c r="I45" i="7"/>
  <c r="H44" i="7"/>
  <c r="R14" i="6"/>
  <c r="G44" i="7"/>
  <c r="Q14" i="6"/>
  <c r="I44" i="7"/>
  <c r="S14" i="6"/>
  <c r="J44" i="7"/>
  <c r="T14" i="6"/>
  <c r="H123" i="6"/>
  <c r="K44" i="7"/>
  <c r="U14" i="6"/>
  <c r="Q13" i="6"/>
  <c r="G43" i="7"/>
  <c r="K43" i="7"/>
  <c r="U13" i="6"/>
  <c r="I43" i="7"/>
  <c r="S13" i="6"/>
  <c r="J43" i="7"/>
  <c r="H122" i="6"/>
  <c r="T13" i="6"/>
  <c r="H42" i="7"/>
  <c r="R12" i="6"/>
  <c r="U12" i="6"/>
  <c r="K42" i="7"/>
  <c r="T12" i="6"/>
  <c r="J42" i="7"/>
  <c r="F42" i="7"/>
  <c r="P12" i="6"/>
  <c r="G42" i="7"/>
  <c r="Q12" i="6"/>
  <c r="H121" i="6"/>
  <c r="S12" i="6"/>
  <c r="I42" i="7"/>
  <c r="H41" i="7"/>
  <c r="R11" i="6"/>
  <c r="K41" i="7"/>
  <c r="U11" i="6"/>
  <c r="P11" i="6"/>
  <c r="F41" i="7"/>
  <c r="Q11" i="6"/>
  <c r="G41" i="7"/>
  <c r="T11" i="6"/>
  <c r="J41" i="7"/>
  <c r="H120" i="6"/>
  <c r="S11" i="6"/>
  <c r="I41" i="7"/>
  <c r="F34" i="7"/>
  <c r="P4" i="6"/>
  <c r="H38" i="7"/>
  <c r="R8" i="6"/>
  <c r="I38" i="7"/>
  <c r="S8" i="6"/>
  <c r="Q8" i="6"/>
  <c r="G38" i="7"/>
  <c r="U8" i="6"/>
  <c r="K38" i="7"/>
  <c r="E124" i="6"/>
  <c r="T8" i="6"/>
  <c r="J38" i="7"/>
  <c r="H37" i="7"/>
  <c r="R7" i="6"/>
  <c r="G37" i="7"/>
  <c r="Q7" i="6"/>
  <c r="P7" i="6"/>
  <c r="F37" i="7"/>
  <c r="K37" i="7"/>
  <c r="U7" i="6"/>
  <c r="T7" i="6"/>
  <c r="J37" i="7"/>
  <c r="E123" i="6"/>
  <c r="S7" i="6"/>
  <c r="I37" i="7"/>
  <c r="R5" i="6"/>
  <c r="H35" i="7"/>
  <c r="Q5" i="6"/>
  <c r="G35" i="7"/>
  <c r="J35" i="7"/>
  <c r="T5" i="6"/>
  <c r="S5" i="6"/>
  <c r="E121" i="6"/>
  <c r="I35" i="7"/>
  <c r="Q4" i="6"/>
  <c r="G34" i="7"/>
  <c r="U4" i="6"/>
  <c r="K34" i="7"/>
  <c r="T4" i="6"/>
  <c r="J34" i="7"/>
  <c r="E120" i="6"/>
  <c r="S4" i="6"/>
  <c r="I34" i="7"/>
  <c r="H31" i="7"/>
  <c r="D32" i="6"/>
  <c r="G31" i="7"/>
  <c r="C32" i="6"/>
  <c r="B32" i="6"/>
  <c r="F31" i="7"/>
  <c r="G32" i="6"/>
  <c r="K31" i="7"/>
  <c r="F32" i="6"/>
  <c r="J31" i="7"/>
  <c r="E32" i="6"/>
  <c r="I31" i="7"/>
  <c r="B124" i="6"/>
  <c r="H30" i="7"/>
  <c r="D31" i="6"/>
  <c r="F30" i="7"/>
  <c r="B31" i="6"/>
  <c r="I30" i="7"/>
  <c r="E31" i="6"/>
  <c r="C31" i="6"/>
  <c r="G30" i="7"/>
  <c r="F31" i="6"/>
  <c r="J30" i="7"/>
  <c r="B123" i="6"/>
  <c r="E30" i="6"/>
  <c r="I29" i="7"/>
  <c r="H29" i="7"/>
  <c r="D30" i="6"/>
  <c r="C30" i="6"/>
  <c r="G29" i="7"/>
  <c r="B122" i="6"/>
  <c r="K6" i="6" l="1"/>
  <c r="D35" i="1"/>
  <c r="K71" i="6"/>
  <c r="K70" i="6"/>
  <c r="Y10" i="6"/>
  <c r="Y5" i="6"/>
  <c r="Y15" i="6"/>
  <c r="K42" i="6"/>
  <c r="K43" i="6"/>
  <c r="K45" i="6"/>
  <c r="K55" i="6"/>
  <c r="K63" i="6"/>
  <c r="K69" i="6"/>
  <c r="Y18" i="6"/>
  <c r="K54" i="6"/>
  <c r="Y27" i="6"/>
  <c r="K57" i="6"/>
  <c r="K65" i="6"/>
  <c r="Y7" i="6"/>
  <c r="Y4" i="6"/>
  <c r="Y20" i="6"/>
  <c r="K50" i="6"/>
  <c r="K56" i="6"/>
  <c r="K58" i="6"/>
  <c r="Y25" i="6"/>
  <c r="Y26" i="6"/>
  <c r="K59" i="6"/>
  <c r="Y13" i="6"/>
  <c r="I35" i="6"/>
  <c r="B50" i="1" s="1"/>
  <c r="Y11" i="6"/>
  <c r="Y19" i="6"/>
  <c r="Y21" i="6"/>
  <c r="K52" i="6"/>
  <c r="K62" i="6"/>
  <c r="K66" i="6"/>
  <c r="K34" i="6"/>
  <c r="Y17" i="6"/>
  <c r="Y24" i="6"/>
  <c r="Y31" i="6"/>
  <c r="K47" i="6"/>
  <c r="K61" i="6"/>
  <c r="Y8" i="6"/>
  <c r="K41" i="6"/>
  <c r="Y22" i="6"/>
  <c r="K49" i="6"/>
  <c r="K51" i="6"/>
  <c r="K48" i="6"/>
  <c r="Y12" i="6"/>
  <c r="Y14" i="6"/>
  <c r="Y28" i="6"/>
  <c r="Y29" i="6"/>
  <c r="K64" i="6"/>
  <c r="K44" i="6"/>
  <c r="I72" i="6"/>
  <c r="F50" i="1" s="1"/>
  <c r="K67" i="6"/>
  <c r="D34" i="1"/>
  <c r="M370" i="7"/>
  <c r="B34" i="1" s="1"/>
  <c r="L370" i="7"/>
  <c r="B33" i="1" s="1"/>
  <c r="D33" i="1"/>
  <c r="H35" i="6"/>
  <c r="B49" i="1" s="1"/>
  <c r="K9" i="6"/>
  <c r="K17" i="6"/>
  <c r="K22" i="6"/>
  <c r="K24" i="6"/>
  <c r="K7" i="6"/>
  <c r="K10" i="6"/>
  <c r="K23" i="6"/>
  <c r="K27" i="6"/>
  <c r="K16" i="6"/>
  <c r="K18" i="6"/>
  <c r="K20" i="6"/>
  <c r="K30" i="6"/>
  <c r="K31" i="6"/>
  <c r="K15" i="6"/>
  <c r="K28" i="6"/>
  <c r="K14" i="6"/>
  <c r="K21" i="6"/>
  <c r="K29" i="6"/>
  <c r="K32" i="6"/>
  <c r="K11" i="6"/>
  <c r="O82" i="7"/>
  <c r="O75" i="7"/>
  <c r="O68" i="7"/>
  <c r="O61" i="7"/>
  <c r="O54" i="7"/>
  <c r="O47" i="7"/>
  <c r="O40" i="7"/>
  <c r="O33" i="7"/>
  <c r="O28" i="7"/>
  <c r="O27" i="7"/>
  <c r="O26" i="7"/>
  <c r="O23" i="7"/>
  <c r="O22" i="7"/>
  <c r="O21" i="7"/>
  <c r="O20" i="7"/>
  <c r="H116" i="6"/>
  <c r="T113" i="6" s="1"/>
  <c r="O19" i="7"/>
  <c r="K161" i="6"/>
  <c r="T143" i="6" s="1"/>
  <c r="H161" i="6"/>
  <c r="T142" i="6" s="1"/>
  <c r="E161" i="6"/>
  <c r="T141" i="6" s="1"/>
  <c r="B161" i="6"/>
  <c r="T140" i="6" s="1"/>
  <c r="Q152" i="6"/>
  <c r="T139" i="6" s="1"/>
  <c r="H152" i="6"/>
  <c r="T136" i="6" s="1"/>
  <c r="K152" i="6"/>
  <c r="T137" i="6" s="1"/>
  <c r="N152" i="6"/>
  <c r="T138" i="6" s="1"/>
  <c r="B152" i="6"/>
  <c r="T134" i="6" s="1"/>
  <c r="Q143" i="6"/>
  <c r="T133" i="6" s="1"/>
  <c r="N143" i="6"/>
  <c r="T132" i="6" s="1"/>
  <c r="E152" i="6"/>
  <c r="T135" i="6" s="1"/>
  <c r="K143" i="6"/>
  <c r="T131" i="6" s="1"/>
  <c r="Q134" i="6"/>
  <c r="T130" i="6" s="1"/>
  <c r="N134" i="6"/>
  <c r="T129" i="6" s="1"/>
  <c r="Q116" i="6"/>
  <c r="T124" i="6" s="1"/>
  <c r="K134" i="6"/>
  <c r="T128" i="6" s="1"/>
  <c r="N125" i="6"/>
  <c r="T126" i="6" s="1"/>
  <c r="Q125" i="6"/>
  <c r="T127" i="6" s="1"/>
  <c r="K125" i="6"/>
  <c r="T125" i="6" s="1"/>
  <c r="O69" i="7"/>
  <c r="O87" i="7"/>
  <c r="O86" i="7"/>
  <c r="O85" i="7"/>
  <c r="K116" i="6"/>
  <c r="T122" i="6" s="1"/>
  <c r="O84" i="7"/>
  <c r="O83" i="7"/>
  <c r="O80" i="7"/>
  <c r="O79" i="7"/>
  <c r="O78" i="7"/>
  <c r="H143" i="6"/>
  <c r="T121" i="6" s="1"/>
  <c r="O77" i="7"/>
  <c r="O76" i="7"/>
  <c r="O73" i="7"/>
  <c r="O72" i="7"/>
  <c r="O71" i="7"/>
  <c r="B72" i="6"/>
  <c r="O70" i="7"/>
  <c r="E143" i="6"/>
  <c r="T120" i="6" s="1"/>
  <c r="D72" i="6"/>
  <c r="O66" i="7"/>
  <c r="F72" i="6"/>
  <c r="O65" i="7"/>
  <c r="O64" i="7"/>
  <c r="C72" i="6"/>
  <c r="G72" i="6"/>
  <c r="O63" i="7"/>
  <c r="O62" i="7"/>
  <c r="E72" i="6"/>
  <c r="O59" i="7"/>
  <c r="O58" i="7"/>
  <c r="O57" i="7"/>
  <c r="H134" i="6"/>
  <c r="T118" i="6" s="1"/>
  <c r="O56" i="7"/>
  <c r="O55" i="7"/>
  <c r="G35" i="6"/>
  <c r="B44" i="1" s="1"/>
  <c r="O52" i="7"/>
  <c r="O6" i="7"/>
  <c r="O15" i="7"/>
  <c r="O9" i="7"/>
  <c r="O17" i="7"/>
  <c r="O14" i="7"/>
  <c r="B116" i="6"/>
  <c r="T111" i="6" s="1"/>
  <c r="O13" i="7"/>
  <c r="E116" i="6"/>
  <c r="T112" i="6" s="1"/>
  <c r="O7" i="7"/>
  <c r="O10" i="7"/>
  <c r="O8" i="7"/>
  <c r="O16" i="7"/>
  <c r="O51" i="7"/>
  <c r="O50" i="7"/>
  <c r="E134" i="6"/>
  <c r="O49" i="7"/>
  <c r="B134" i="6"/>
  <c r="T117" i="6" s="1"/>
  <c r="O48" i="7"/>
  <c r="O45" i="7"/>
  <c r="O44" i="7"/>
  <c r="O43" i="7"/>
  <c r="H125" i="6"/>
  <c r="T116" i="6" s="1"/>
  <c r="P32" i="6"/>
  <c r="D43" i="1" s="1"/>
  <c r="O42" i="7"/>
  <c r="O41" i="7"/>
  <c r="O38" i="7"/>
  <c r="R32" i="6"/>
  <c r="D47" i="1" s="1"/>
  <c r="T32" i="6"/>
  <c r="D46" i="1" s="1"/>
  <c r="U32" i="6"/>
  <c r="D44" i="1" s="1"/>
  <c r="E125" i="6"/>
  <c r="T115" i="6" s="1"/>
  <c r="O37" i="7"/>
  <c r="Q32" i="6"/>
  <c r="D45" i="1" s="1"/>
  <c r="O35" i="7"/>
  <c r="O34" i="7"/>
  <c r="S32" i="6"/>
  <c r="D48" i="1" s="1"/>
  <c r="B35" i="6"/>
  <c r="B43" i="1" s="1"/>
  <c r="D35" i="6"/>
  <c r="B47" i="1" s="1"/>
  <c r="O31" i="7"/>
  <c r="B125" i="6"/>
  <c r="T114" i="6" s="1"/>
  <c r="E35" i="6"/>
  <c r="B48" i="1" s="1"/>
  <c r="O30" i="7"/>
  <c r="F35" i="6"/>
  <c r="B46" i="1" s="1"/>
  <c r="O29" i="7"/>
  <c r="C35" i="6"/>
  <c r="B45" i="1" s="1"/>
  <c r="D52" i="1" l="1"/>
  <c r="E43" i="1" s="1"/>
  <c r="B52" i="1"/>
  <c r="C43" i="1" s="1"/>
  <c r="K8" i="6"/>
  <c r="K35" i="6" s="1"/>
  <c r="N21" i="1" s="1"/>
  <c r="F53" i="1"/>
  <c r="K72" i="6"/>
  <c r="D53" i="1"/>
  <c r="C72" i="1" s="1"/>
  <c r="Y32" i="6"/>
  <c r="N22" i="1" s="1"/>
  <c r="F90" i="7"/>
  <c r="G90" i="7"/>
  <c r="H90" i="7"/>
  <c r="I90" i="7"/>
  <c r="J90" i="7"/>
  <c r="K90" i="7"/>
  <c r="F91" i="7"/>
  <c r="G91" i="7"/>
  <c r="H91" i="7"/>
  <c r="I91" i="7"/>
  <c r="J91" i="7"/>
  <c r="K91" i="7"/>
  <c r="F92" i="7"/>
  <c r="G92" i="7"/>
  <c r="H92" i="7"/>
  <c r="I92" i="7"/>
  <c r="J92" i="7"/>
  <c r="K92" i="7"/>
  <c r="F93" i="7"/>
  <c r="G93" i="7"/>
  <c r="H93" i="7"/>
  <c r="I93" i="7"/>
  <c r="J93" i="7"/>
  <c r="K93" i="7"/>
  <c r="F94" i="7"/>
  <c r="G94" i="7"/>
  <c r="H94" i="7"/>
  <c r="I94" i="7"/>
  <c r="J94" i="7"/>
  <c r="K94" i="7"/>
  <c r="F95" i="7"/>
  <c r="G95" i="7"/>
  <c r="H95" i="7"/>
  <c r="I95" i="7"/>
  <c r="J95" i="7"/>
  <c r="K95" i="7"/>
  <c r="F96" i="7"/>
  <c r="G96" i="7"/>
  <c r="H96" i="7"/>
  <c r="I96" i="7"/>
  <c r="J96" i="7"/>
  <c r="K96" i="7"/>
  <c r="F97" i="7"/>
  <c r="G97" i="7"/>
  <c r="H97" i="7"/>
  <c r="I97" i="7"/>
  <c r="J97" i="7"/>
  <c r="K97" i="7"/>
  <c r="F98" i="7"/>
  <c r="G98" i="7"/>
  <c r="H98" i="7"/>
  <c r="I98" i="7"/>
  <c r="J98" i="7"/>
  <c r="K98" i="7"/>
  <c r="F99" i="7"/>
  <c r="G99" i="7"/>
  <c r="H99" i="7"/>
  <c r="I99" i="7"/>
  <c r="J99" i="7"/>
  <c r="K99" i="7"/>
  <c r="F100" i="7"/>
  <c r="G100" i="7"/>
  <c r="H100" i="7"/>
  <c r="I100" i="7"/>
  <c r="J100" i="7"/>
  <c r="K100" i="7"/>
  <c r="F101" i="7"/>
  <c r="G101" i="7"/>
  <c r="H101" i="7"/>
  <c r="I101" i="7"/>
  <c r="J101" i="7"/>
  <c r="K101" i="7"/>
  <c r="F102" i="7"/>
  <c r="G102" i="7"/>
  <c r="H102" i="7"/>
  <c r="I102" i="7"/>
  <c r="J102" i="7"/>
  <c r="K102" i="7"/>
  <c r="F103" i="7"/>
  <c r="G103" i="7"/>
  <c r="H103" i="7"/>
  <c r="I103" i="7"/>
  <c r="J103" i="7"/>
  <c r="K103" i="7"/>
  <c r="F104" i="7"/>
  <c r="G104" i="7"/>
  <c r="H104" i="7"/>
  <c r="I104" i="7"/>
  <c r="J104" i="7"/>
  <c r="K104" i="7"/>
  <c r="F105" i="7"/>
  <c r="G105" i="7"/>
  <c r="H105" i="7"/>
  <c r="I105" i="7"/>
  <c r="J105" i="7"/>
  <c r="K105" i="7"/>
  <c r="F106" i="7"/>
  <c r="G106" i="7"/>
  <c r="H106" i="7"/>
  <c r="I106" i="7"/>
  <c r="J106" i="7"/>
  <c r="K106" i="7"/>
  <c r="F107" i="7"/>
  <c r="G107" i="7"/>
  <c r="H107" i="7"/>
  <c r="I107" i="7"/>
  <c r="J107" i="7"/>
  <c r="K107" i="7"/>
  <c r="F108" i="7"/>
  <c r="G108" i="7"/>
  <c r="H108" i="7"/>
  <c r="I108" i="7"/>
  <c r="J108" i="7"/>
  <c r="K108" i="7"/>
  <c r="F109" i="7"/>
  <c r="G109" i="7"/>
  <c r="H109" i="7"/>
  <c r="I109" i="7"/>
  <c r="J109" i="7"/>
  <c r="K109" i="7"/>
  <c r="F110" i="7"/>
  <c r="G110" i="7"/>
  <c r="H110" i="7"/>
  <c r="I110" i="7"/>
  <c r="J110" i="7"/>
  <c r="K110" i="7"/>
  <c r="F111" i="7"/>
  <c r="G111" i="7"/>
  <c r="H111" i="7"/>
  <c r="I111" i="7"/>
  <c r="J111" i="7"/>
  <c r="K111" i="7"/>
  <c r="F112" i="7"/>
  <c r="G112" i="7"/>
  <c r="H112" i="7"/>
  <c r="I112" i="7"/>
  <c r="J112" i="7"/>
  <c r="K112" i="7"/>
  <c r="F113" i="7"/>
  <c r="G113" i="7"/>
  <c r="H113" i="7"/>
  <c r="I113" i="7"/>
  <c r="J113" i="7"/>
  <c r="K113" i="7"/>
  <c r="F114" i="7"/>
  <c r="G114" i="7"/>
  <c r="H114" i="7"/>
  <c r="I114" i="7"/>
  <c r="J114" i="7"/>
  <c r="K114" i="7"/>
  <c r="F115" i="7"/>
  <c r="G115" i="7"/>
  <c r="H115" i="7"/>
  <c r="I115" i="7"/>
  <c r="J115" i="7"/>
  <c r="K115" i="7"/>
  <c r="F116" i="7"/>
  <c r="G116" i="7"/>
  <c r="H116" i="7"/>
  <c r="I116" i="7"/>
  <c r="J116" i="7"/>
  <c r="K116" i="7"/>
  <c r="F117" i="7"/>
  <c r="G117" i="7"/>
  <c r="H117" i="7"/>
  <c r="I117" i="7"/>
  <c r="J117" i="7"/>
  <c r="K117" i="7"/>
  <c r="F118" i="7"/>
  <c r="G118" i="7"/>
  <c r="H118" i="7"/>
  <c r="I118" i="7"/>
  <c r="J118" i="7"/>
  <c r="K118" i="7"/>
  <c r="F119" i="7"/>
  <c r="G119" i="7"/>
  <c r="H119" i="7"/>
  <c r="I119" i="7"/>
  <c r="J119" i="7"/>
  <c r="K119" i="7"/>
  <c r="F120" i="7"/>
  <c r="G120" i="7"/>
  <c r="H120" i="7"/>
  <c r="I120" i="7"/>
  <c r="J120" i="7"/>
  <c r="K120" i="7"/>
  <c r="F121" i="7"/>
  <c r="G121" i="7"/>
  <c r="H121" i="7"/>
  <c r="I121" i="7"/>
  <c r="J121" i="7"/>
  <c r="K121" i="7"/>
  <c r="F122" i="7"/>
  <c r="G122" i="7"/>
  <c r="H122" i="7"/>
  <c r="I122" i="7"/>
  <c r="J122" i="7"/>
  <c r="K122" i="7"/>
  <c r="F123" i="7"/>
  <c r="G123" i="7"/>
  <c r="H123" i="7"/>
  <c r="I123" i="7"/>
  <c r="J123" i="7"/>
  <c r="K123" i="7"/>
  <c r="F124" i="7"/>
  <c r="G124" i="7"/>
  <c r="H124" i="7"/>
  <c r="I124" i="7"/>
  <c r="J124" i="7"/>
  <c r="K124" i="7"/>
  <c r="F125" i="7"/>
  <c r="G125" i="7"/>
  <c r="H125" i="7"/>
  <c r="I125" i="7"/>
  <c r="J125" i="7"/>
  <c r="K125" i="7"/>
  <c r="F126" i="7"/>
  <c r="G126" i="7"/>
  <c r="H126" i="7"/>
  <c r="I126" i="7"/>
  <c r="J126" i="7"/>
  <c r="K126" i="7"/>
  <c r="F127" i="7"/>
  <c r="G127" i="7"/>
  <c r="H127" i="7"/>
  <c r="I127" i="7"/>
  <c r="J127" i="7"/>
  <c r="K127" i="7"/>
  <c r="F128" i="7"/>
  <c r="G128" i="7"/>
  <c r="H128" i="7"/>
  <c r="I128" i="7"/>
  <c r="J128" i="7"/>
  <c r="K128" i="7"/>
  <c r="F129" i="7"/>
  <c r="G129" i="7"/>
  <c r="H129" i="7"/>
  <c r="I129" i="7"/>
  <c r="J129" i="7"/>
  <c r="K129" i="7"/>
  <c r="F130" i="7"/>
  <c r="G130" i="7"/>
  <c r="H130" i="7"/>
  <c r="I130" i="7"/>
  <c r="J130" i="7"/>
  <c r="K130" i="7"/>
  <c r="F131" i="7"/>
  <c r="G131" i="7"/>
  <c r="H131" i="7"/>
  <c r="I131" i="7"/>
  <c r="J131" i="7"/>
  <c r="K131" i="7"/>
  <c r="F132" i="7"/>
  <c r="G132" i="7"/>
  <c r="H132" i="7"/>
  <c r="I132" i="7"/>
  <c r="J132" i="7"/>
  <c r="K132" i="7"/>
  <c r="F133" i="7"/>
  <c r="G133" i="7"/>
  <c r="H133" i="7"/>
  <c r="I133" i="7"/>
  <c r="J133" i="7"/>
  <c r="K133" i="7"/>
  <c r="F134" i="7"/>
  <c r="G134" i="7"/>
  <c r="H134" i="7"/>
  <c r="I134" i="7"/>
  <c r="J134" i="7"/>
  <c r="K134" i="7"/>
  <c r="F135" i="7"/>
  <c r="G135" i="7"/>
  <c r="H135" i="7"/>
  <c r="I135" i="7"/>
  <c r="J135" i="7"/>
  <c r="K135" i="7"/>
  <c r="F136" i="7"/>
  <c r="G136" i="7"/>
  <c r="H136" i="7"/>
  <c r="I136" i="7"/>
  <c r="J136" i="7"/>
  <c r="K136" i="7"/>
  <c r="F137" i="7"/>
  <c r="G137" i="7"/>
  <c r="H137" i="7"/>
  <c r="I137" i="7"/>
  <c r="J137" i="7"/>
  <c r="K137" i="7"/>
  <c r="F138" i="7"/>
  <c r="G138" i="7"/>
  <c r="H138" i="7"/>
  <c r="I138" i="7"/>
  <c r="J138" i="7"/>
  <c r="K138" i="7"/>
  <c r="F139" i="7"/>
  <c r="G139" i="7"/>
  <c r="H139" i="7"/>
  <c r="I139" i="7"/>
  <c r="J139" i="7"/>
  <c r="K139" i="7"/>
  <c r="F140" i="7"/>
  <c r="G140" i="7"/>
  <c r="H140" i="7"/>
  <c r="I140" i="7"/>
  <c r="J140" i="7"/>
  <c r="K140" i="7"/>
  <c r="F141" i="7"/>
  <c r="G141" i="7"/>
  <c r="H141" i="7"/>
  <c r="I141" i="7"/>
  <c r="J141" i="7"/>
  <c r="K141" i="7"/>
  <c r="F142" i="7"/>
  <c r="G142" i="7"/>
  <c r="H142" i="7"/>
  <c r="I142" i="7"/>
  <c r="J142" i="7"/>
  <c r="K142" i="7"/>
  <c r="F143" i="7"/>
  <c r="G143" i="7"/>
  <c r="H143" i="7"/>
  <c r="I143" i="7"/>
  <c r="J143" i="7"/>
  <c r="K143" i="7"/>
  <c r="F144" i="7"/>
  <c r="G144" i="7"/>
  <c r="H144" i="7"/>
  <c r="I144" i="7"/>
  <c r="J144" i="7"/>
  <c r="K144" i="7"/>
  <c r="F145" i="7"/>
  <c r="G145" i="7"/>
  <c r="H145" i="7"/>
  <c r="I145" i="7"/>
  <c r="J145" i="7"/>
  <c r="K145" i="7"/>
  <c r="F146" i="7"/>
  <c r="G146" i="7"/>
  <c r="H146" i="7"/>
  <c r="I146" i="7"/>
  <c r="J146" i="7"/>
  <c r="K146" i="7"/>
  <c r="F147" i="7"/>
  <c r="G147" i="7"/>
  <c r="H147" i="7"/>
  <c r="I147" i="7"/>
  <c r="J147" i="7"/>
  <c r="K147" i="7"/>
  <c r="F148" i="7"/>
  <c r="G148" i="7"/>
  <c r="H148" i="7"/>
  <c r="I148" i="7"/>
  <c r="J148" i="7"/>
  <c r="K148" i="7"/>
  <c r="F149" i="7"/>
  <c r="G149" i="7"/>
  <c r="H149" i="7"/>
  <c r="I149" i="7"/>
  <c r="J149" i="7"/>
  <c r="K149" i="7"/>
  <c r="F150" i="7"/>
  <c r="G150" i="7"/>
  <c r="H150" i="7"/>
  <c r="I150" i="7"/>
  <c r="J150" i="7"/>
  <c r="K150" i="7"/>
  <c r="F151" i="7"/>
  <c r="G151" i="7"/>
  <c r="H151" i="7"/>
  <c r="I151" i="7"/>
  <c r="J151" i="7"/>
  <c r="K151" i="7"/>
  <c r="F152" i="7"/>
  <c r="G152" i="7"/>
  <c r="H152" i="7"/>
  <c r="I152" i="7"/>
  <c r="J152" i="7"/>
  <c r="K152" i="7"/>
  <c r="F153" i="7"/>
  <c r="G153" i="7"/>
  <c r="H153" i="7"/>
  <c r="I153" i="7"/>
  <c r="J153" i="7"/>
  <c r="K153" i="7"/>
  <c r="F154" i="7"/>
  <c r="G154" i="7"/>
  <c r="H154" i="7"/>
  <c r="I154" i="7"/>
  <c r="J154" i="7"/>
  <c r="K154" i="7"/>
  <c r="F155" i="7"/>
  <c r="G155" i="7"/>
  <c r="H155" i="7"/>
  <c r="I155" i="7"/>
  <c r="J155" i="7"/>
  <c r="K155" i="7"/>
  <c r="F156" i="7"/>
  <c r="G156" i="7"/>
  <c r="H156" i="7"/>
  <c r="I156" i="7"/>
  <c r="J156" i="7"/>
  <c r="K156" i="7"/>
  <c r="F157" i="7"/>
  <c r="G157" i="7"/>
  <c r="H157" i="7"/>
  <c r="I157" i="7"/>
  <c r="J157" i="7"/>
  <c r="K157" i="7"/>
  <c r="F158" i="7"/>
  <c r="G158" i="7"/>
  <c r="H158" i="7"/>
  <c r="I158" i="7"/>
  <c r="J158" i="7"/>
  <c r="K158" i="7"/>
  <c r="F159" i="7"/>
  <c r="G159" i="7"/>
  <c r="H159" i="7"/>
  <c r="I159" i="7"/>
  <c r="J159" i="7"/>
  <c r="K159" i="7"/>
  <c r="F160" i="7"/>
  <c r="G160" i="7"/>
  <c r="H160" i="7"/>
  <c r="I160" i="7"/>
  <c r="J160" i="7"/>
  <c r="K160" i="7"/>
  <c r="F161" i="7"/>
  <c r="G161" i="7"/>
  <c r="H161" i="7"/>
  <c r="I161" i="7"/>
  <c r="J161" i="7"/>
  <c r="K161" i="7"/>
  <c r="F162" i="7"/>
  <c r="G162" i="7"/>
  <c r="H162" i="7"/>
  <c r="I162" i="7"/>
  <c r="J162" i="7"/>
  <c r="K162" i="7"/>
  <c r="F163" i="7"/>
  <c r="G163" i="7"/>
  <c r="H163" i="7"/>
  <c r="I163" i="7"/>
  <c r="J163" i="7"/>
  <c r="K163" i="7"/>
  <c r="F164" i="7"/>
  <c r="G164" i="7"/>
  <c r="H164" i="7"/>
  <c r="I164" i="7"/>
  <c r="J164" i="7"/>
  <c r="K164" i="7"/>
  <c r="F165" i="7"/>
  <c r="G165" i="7"/>
  <c r="H165" i="7"/>
  <c r="I165" i="7"/>
  <c r="J165" i="7"/>
  <c r="K165" i="7"/>
  <c r="F166" i="7"/>
  <c r="G166" i="7"/>
  <c r="H166" i="7"/>
  <c r="I166" i="7"/>
  <c r="J166" i="7"/>
  <c r="K166" i="7"/>
  <c r="F167" i="7"/>
  <c r="G167" i="7"/>
  <c r="H167" i="7"/>
  <c r="I167" i="7"/>
  <c r="J167" i="7"/>
  <c r="K167" i="7"/>
  <c r="F168" i="7"/>
  <c r="G168" i="7"/>
  <c r="H168" i="7"/>
  <c r="I168" i="7"/>
  <c r="J168" i="7"/>
  <c r="K168" i="7"/>
  <c r="F169" i="7"/>
  <c r="G169" i="7"/>
  <c r="H169" i="7"/>
  <c r="I169" i="7"/>
  <c r="J169" i="7"/>
  <c r="K169" i="7"/>
  <c r="F170" i="7"/>
  <c r="G170" i="7"/>
  <c r="H170" i="7"/>
  <c r="I170" i="7"/>
  <c r="J170" i="7"/>
  <c r="K170" i="7"/>
  <c r="F171" i="7"/>
  <c r="G171" i="7"/>
  <c r="H171" i="7"/>
  <c r="I171" i="7"/>
  <c r="J171" i="7"/>
  <c r="K171" i="7"/>
  <c r="F172" i="7"/>
  <c r="G172" i="7"/>
  <c r="H172" i="7"/>
  <c r="I172" i="7"/>
  <c r="J172" i="7"/>
  <c r="K172" i="7"/>
  <c r="F173" i="7"/>
  <c r="G173" i="7"/>
  <c r="H173" i="7"/>
  <c r="I173" i="7"/>
  <c r="J173" i="7"/>
  <c r="K173" i="7"/>
  <c r="F174" i="7"/>
  <c r="G174" i="7"/>
  <c r="H174" i="7"/>
  <c r="I174" i="7"/>
  <c r="J174" i="7"/>
  <c r="K174" i="7"/>
  <c r="F175" i="7"/>
  <c r="G175" i="7"/>
  <c r="H175" i="7"/>
  <c r="I175" i="7"/>
  <c r="J175" i="7"/>
  <c r="K175" i="7"/>
  <c r="F176" i="7"/>
  <c r="G176" i="7"/>
  <c r="H176" i="7"/>
  <c r="I176" i="7"/>
  <c r="J176" i="7"/>
  <c r="K176" i="7"/>
  <c r="F177" i="7"/>
  <c r="G177" i="7"/>
  <c r="H177" i="7"/>
  <c r="I177" i="7"/>
  <c r="J177" i="7"/>
  <c r="K177" i="7"/>
  <c r="F178" i="7"/>
  <c r="G178" i="7"/>
  <c r="H178" i="7"/>
  <c r="I178" i="7"/>
  <c r="J178" i="7"/>
  <c r="K178" i="7"/>
  <c r="F179" i="7"/>
  <c r="G179" i="7"/>
  <c r="H179" i="7"/>
  <c r="I179" i="7"/>
  <c r="J179" i="7"/>
  <c r="K179" i="7"/>
  <c r="F180" i="7"/>
  <c r="G180" i="7"/>
  <c r="H180" i="7"/>
  <c r="I180" i="7"/>
  <c r="J180" i="7"/>
  <c r="K180" i="7"/>
  <c r="F181" i="7"/>
  <c r="G181" i="7"/>
  <c r="H181" i="7"/>
  <c r="I181" i="7"/>
  <c r="J181" i="7"/>
  <c r="K181" i="7"/>
  <c r="F182" i="7"/>
  <c r="G182" i="7"/>
  <c r="H182" i="7"/>
  <c r="I182" i="7"/>
  <c r="J182" i="7"/>
  <c r="K182" i="7"/>
  <c r="F183" i="7"/>
  <c r="G183" i="7"/>
  <c r="H183" i="7"/>
  <c r="I183" i="7"/>
  <c r="J183" i="7"/>
  <c r="K183" i="7"/>
  <c r="F184" i="7"/>
  <c r="G184" i="7"/>
  <c r="H184" i="7"/>
  <c r="I184" i="7"/>
  <c r="J184" i="7"/>
  <c r="K184" i="7"/>
  <c r="F185" i="7"/>
  <c r="G185" i="7"/>
  <c r="H185" i="7"/>
  <c r="I185" i="7"/>
  <c r="J185" i="7"/>
  <c r="K185" i="7"/>
  <c r="F186" i="7"/>
  <c r="G186" i="7"/>
  <c r="H186" i="7"/>
  <c r="I186" i="7"/>
  <c r="J186" i="7"/>
  <c r="K186" i="7"/>
  <c r="F187" i="7"/>
  <c r="G187" i="7"/>
  <c r="H187" i="7"/>
  <c r="I187" i="7"/>
  <c r="J187" i="7"/>
  <c r="K187" i="7"/>
  <c r="F188" i="7"/>
  <c r="G188" i="7"/>
  <c r="H188" i="7"/>
  <c r="I188" i="7"/>
  <c r="J188" i="7"/>
  <c r="K188" i="7"/>
  <c r="F189" i="7"/>
  <c r="G189" i="7"/>
  <c r="H189" i="7"/>
  <c r="I189" i="7"/>
  <c r="J189" i="7"/>
  <c r="K189" i="7"/>
  <c r="F190" i="7"/>
  <c r="G190" i="7"/>
  <c r="H190" i="7"/>
  <c r="I190" i="7"/>
  <c r="J190" i="7"/>
  <c r="K190" i="7"/>
  <c r="F191" i="7"/>
  <c r="G191" i="7"/>
  <c r="H191" i="7"/>
  <c r="I191" i="7"/>
  <c r="J191" i="7"/>
  <c r="K191" i="7"/>
  <c r="F192" i="7"/>
  <c r="G192" i="7"/>
  <c r="H192" i="7"/>
  <c r="I192" i="7"/>
  <c r="J192" i="7"/>
  <c r="K192" i="7"/>
  <c r="F193" i="7"/>
  <c r="G193" i="7"/>
  <c r="H193" i="7"/>
  <c r="I193" i="7"/>
  <c r="J193" i="7"/>
  <c r="K193" i="7"/>
  <c r="F194" i="7"/>
  <c r="G194" i="7"/>
  <c r="H194" i="7"/>
  <c r="I194" i="7"/>
  <c r="J194" i="7"/>
  <c r="K194" i="7"/>
  <c r="F195" i="7"/>
  <c r="G195" i="7"/>
  <c r="H195" i="7"/>
  <c r="I195" i="7"/>
  <c r="J195" i="7"/>
  <c r="K195" i="7"/>
  <c r="F196" i="7"/>
  <c r="G196" i="7"/>
  <c r="H196" i="7"/>
  <c r="I196" i="7"/>
  <c r="J196" i="7"/>
  <c r="K196" i="7"/>
  <c r="F197" i="7"/>
  <c r="G197" i="7"/>
  <c r="H197" i="7"/>
  <c r="I197" i="7"/>
  <c r="J197" i="7"/>
  <c r="K197" i="7"/>
  <c r="F198" i="7"/>
  <c r="G198" i="7"/>
  <c r="H198" i="7"/>
  <c r="I198" i="7"/>
  <c r="J198" i="7"/>
  <c r="K198" i="7"/>
  <c r="F199" i="7"/>
  <c r="G199" i="7"/>
  <c r="H199" i="7"/>
  <c r="I199" i="7"/>
  <c r="J199" i="7"/>
  <c r="K199" i="7"/>
  <c r="F200" i="7"/>
  <c r="G200" i="7"/>
  <c r="H200" i="7"/>
  <c r="I200" i="7"/>
  <c r="J200" i="7"/>
  <c r="K200" i="7"/>
  <c r="F201" i="7"/>
  <c r="G201" i="7"/>
  <c r="H201" i="7"/>
  <c r="I201" i="7"/>
  <c r="J201" i="7"/>
  <c r="K201" i="7"/>
  <c r="F202" i="7"/>
  <c r="G202" i="7"/>
  <c r="H202" i="7"/>
  <c r="I202" i="7"/>
  <c r="J202" i="7"/>
  <c r="K202" i="7"/>
  <c r="F203" i="7"/>
  <c r="G203" i="7"/>
  <c r="H203" i="7"/>
  <c r="I203" i="7"/>
  <c r="J203" i="7"/>
  <c r="K203" i="7"/>
  <c r="F204" i="7"/>
  <c r="G204" i="7"/>
  <c r="H204" i="7"/>
  <c r="I204" i="7"/>
  <c r="J204" i="7"/>
  <c r="K204" i="7"/>
  <c r="F205" i="7"/>
  <c r="G205" i="7"/>
  <c r="H205" i="7"/>
  <c r="I205" i="7"/>
  <c r="J205" i="7"/>
  <c r="K205" i="7"/>
  <c r="F206" i="7"/>
  <c r="G206" i="7"/>
  <c r="H206" i="7"/>
  <c r="I206" i="7"/>
  <c r="J206" i="7"/>
  <c r="K206" i="7"/>
  <c r="F207" i="7"/>
  <c r="G207" i="7"/>
  <c r="H207" i="7"/>
  <c r="I207" i="7"/>
  <c r="J207" i="7"/>
  <c r="K207" i="7"/>
  <c r="F208" i="7"/>
  <c r="G208" i="7"/>
  <c r="H208" i="7"/>
  <c r="I208" i="7"/>
  <c r="J208" i="7"/>
  <c r="K208" i="7"/>
  <c r="F209" i="7"/>
  <c r="G209" i="7"/>
  <c r="H209" i="7"/>
  <c r="I209" i="7"/>
  <c r="J209" i="7"/>
  <c r="K209" i="7"/>
  <c r="F210" i="7"/>
  <c r="G210" i="7"/>
  <c r="H210" i="7"/>
  <c r="I210" i="7"/>
  <c r="J210" i="7"/>
  <c r="K210" i="7"/>
  <c r="F211" i="7"/>
  <c r="G211" i="7"/>
  <c r="H211" i="7"/>
  <c r="I211" i="7"/>
  <c r="J211" i="7"/>
  <c r="K211" i="7"/>
  <c r="F212" i="7"/>
  <c r="G212" i="7"/>
  <c r="H212" i="7"/>
  <c r="I212" i="7"/>
  <c r="J212" i="7"/>
  <c r="K212" i="7"/>
  <c r="F213" i="7"/>
  <c r="G213" i="7"/>
  <c r="H213" i="7"/>
  <c r="I213" i="7"/>
  <c r="J213" i="7"/>
  <c r="K213" i="7"/>
  <c r="F214" i="7"/>
  <c r="G214" i="7"/>
  <c r="H214" i="7"/>
  <c r="I214" i="7"/>
  <c r="J214" i="7"/>
  <c r="K214" i="7"/>
  <c r="F215" i="7"/>
  <c r="G215" i="7"/>
  <c r="H215" i="7"/>
  <c r="I215" i="7"/>
  <c r="J215" i="7"/>
  <c r="K215" i="7"/>
  <c r="F216" i="7"/>
  <c r="G216" i="7"/>
  <c r="H216" i="7"/>
  <c r="I216" i="7"/>
  <c r="J216" i="7"/>
  <c r="K216" i="7"/>
  <c r="F217" i="7"/>
  <c r="G217" i="7"/>
  <c r="H217" i="7"/>
  <c r="I217" i="7"/>
  <c r="J217" i="7"/>
  <c r="K217" i="7"/>
  <c r="F218" i="7"/>
  <c r="G218" i="7"/>
  <c r="H218" i="7"/>
  <c r="I218" i="7"/>
  <c r="J218" i="7"/>
  <c r="K218" i="7"/>
  <c r="F219" i="7"/>
  <c r="G219" i="7"/>
  <c r="H219" i="7"/>
  <c r="I219" i="7"/>
  <c r="J219" i="7"/>
  <c r="K219" i="7"/>
  <c r="F220" i="7"/>
  <c r="G220" i="7"/>
  <c r="H220" i="7"/>
  <c r="I220" i="7"/>
  <c r="J220" i="7"/>
  <c r="K220" i="7"/>
  <c r="F221" i="7"/>
  <c r="G221" i="7"/>
  <c r="H221" i="7"/>
  <c r="I221" i="7"/>
  <c r="J221" i="7"/>
  <c r="K221" i="7"/>
  <c r="F222" i="7"/>
  <c r="G222" i="7"/>
  <c r="H222" i="7"/>
  <c r="I222" i="7"/>
  <c r="J222" i="7"/>
  <c r="K222" i="7"/>
  <c r="F223" i="7"/>
  <c r="G223" i="7"/>
  <c r="H223" i="7"/>
  <c r="I223" i="7"/>
  <c r="J223" i="7"/>
  <c r="K223" i="7"/>
  <c r="F224" i="7"/>
  <c r="G224" i="7"/>
  <c r="H224" i="7"/>
  <c r="I224" i="7"/>
  <c r="J224" i="7"/>
  <c r="K224" i="7"/>
  <c r="F225" i="7"/>
  <c r="G225" i="7"/>
  <c r="H225" i="7"/>
  <c r="I225" i="7"/>
  <c r="J225" i="7"/>
  <c r="K225" i="7"/>
  <c r="F226" i="7"/>
  <c r="G226" i="7"/>
  <c r="H226" i="7"/>
  <c r="I226" i="7"/>
  <c r="J226" i="7"/>
  <c r="K226" i="7"/>
  <c r="F227" i="7"/>
  <c r="G227" i="7"/>
  <c r="H227" i="7"/>
  <c r="I227" i="7"/>
  <c r="J227" i="7"/>
  <c r="K227" i="7"/>
  <c r="F228" i="7"/>
  <c r="G228" i="7"/>
  <c r="H228" i="7"/>
  <c r="I228" i="7"/>
  <c r="J228" i="7"/>
  <c r="K228" i="7"/>
  <c r="F229" i="7"/>
  <c r="G229" i="7"/>
  <c r="H229" i="7"/>
  <c r="I229" i="7"/>
  <c r="J229" i="7"/>
  <c r="K229" i="7"/>
  <c r="F230" i="7"/>
  <c r="G230" i="7"/>
  <c r="H230" i="7"/>
  <c r="I230" i="7"/>
  <c r="J230" i="7"/>
  <c r="K230" i="7"/>
  <c r="F231" i="7"/>
  <c r="G231" i="7"/>
  <c r="H231" i="7"/>
  <c r="I231" i="7"/>
  <c r="J231" i="7"/>
  <c r="K231" i="7"/>
  <c r="F232" i="7"/>
  <c r="G232" i="7"/>
  <c r="H232" i="7"/>
  <c r="I232" i="7"/>
  <c r="J232" i="7"/>
  <c r="K232" i="7"/>
  <c r="F233" i="7"/>
  <c r="G233" i="7"/>
  <c r="H233" i="7"/>
  <c r="I233" i="7"/>
  <c r="J233" i="7"/>
  <c r="K233" i="7"/>
  <c r="F234" i="7"/>
  <c r="G234" i="7"/>
  <c r="H234" i="7"/>
  <c r="I234" i="7"/>
  <c r="J234" i="7"/>
  <c r="K234" i="7"/>
  <c r="F235" i="7"/>
  <c r="G235" i="7"/>
  <c r="H235" i="7"/>
  <c r="I235" i="7"/>
  <c r="J235" i="7"/>
  <c r="K235" i="7"/>
  <c r="F236" i="7"/>
  <c r="G236" i="7"/>
  <c r="H236" i="7"/>
  <c r="I236" i="7"/>
  <c r="J236" i="7"/>
  <c r="K236" i="7"/>
  <c r="F237" i="7"/>
  <c r="G237" i="7"/>
  <c r="H237" i="7"/>
  <c r="I237" i="7"/>
  <c r="J237" i="7"/>
  <c r="K237" i="7"/>
  <c r="F238" i="7"/>
  <c r="G238" i="7"/>
  <c r="H238" i="7"/>
  <c r="I238" i="7"/>
  <c r="J238" i="7"/>
  <c r="K238" i="7"/>
  <c r="F239" i="7"/>
  <c r="G239" i="7"/>
  <c r="H239" i="7"/>
  <c r="I239" i="7"/>
  <c r="J239" i="7"/>
  <c r="K239" i="7"/>
  <c r="F240" i="7"/>
  <c r="G240" i="7"/>
  <c r="H240" i="7"/>
  <c r="I240" i="7"/>
  <c r="J240" i="7"/>
  <c r="K240" i="7"/>
  <c r="F241" i="7"/>
  <c r="G241" i="7"/>
  <c r="H241" i="7"/>
  <c r="I241" i="7"/>
  <c r="J241" i="7"/>
  <c r="K241" i="7"/>
  <c r="F242" i="7"/>
  <c r="G242" i="7"/>
  <c r="H242" i="7"/>
  <c r="I242" i="7"/>
  <c r="J242" i="7"/>
  <c r="K242" i="7"/>
  <c r="F243" i="7"/>
  <c r="G243" i="7"/>
  <c r="H243" i="7"/>
  <c r="I243" i="7"/>
  <c r="J243" i="7"/>
  <c r="K243" i="7"/>
  <c r="F244" i="7"/>
  <c r="G244" i="7"/>
  <c r="H244" i="7"/>
  <c r="I244" i="7"/>
  <c r="J244" i="7"/>
  <c r="K244" i="7"/>
  <c r="F245" i="7"/>
  <c r="G245" i="7"/>
  <c r="H245" i="7"/>
  <c r="I245" i="7"/>
  <c r="J245" i="7"/>
  <c r="K245" i="7"/>
  <c r="F246" i="7"/>
  <c r="G246" i="7"/>
  <c r="H246" i="7"/>
  <c r="I246" i="7"/>
  <c r="J246" i="7"/>
  <c r="K246" i="7"/>
  <c r="F247" i="7"/>
  <c r="G247" i="7"/>
  <c r="H247" i="7"/>
  <c r="I247" i="7"/>
  <c r="J247" i="7"/>
  <c r="K247" i="7"/>
  <c r="F248" i="7"/>
  <c r="G248" i="7"/>
  <c r="H248" i="7"/>
  <c r="I248" i="7"/>
  <c r="J248" i="7"/>
  <c r="K248" i="7"/>
  <c r="F249" i="7"/>
  <c r="G249" i="7"/>
  <c r="H249" i="7"/>
  <c r="I249" i="7"/>
  <c r="J249" i="7"/>
  <c r="K249" i="7"/>
  <c r="F250" i="7"/>
  <c r="G250" i="7"/>
  <c r="H250" i="7"/>
  <c r="I250" i="7"/>
  <c r="J250" i="7"/>
  <c r="K250" i="7"/>
  <c r="F251" i="7"/>
  <c r="G251" i="7"/>
  <c r="H251" i="7"/>
  <c r="I251" i="7"/>
  <c r="J251" i="7"/>
  <c r="K251" i="7"/>
  <c r="F252" i="7"/>
  <c r="G252" i="7"/>
  <c r="H252" i="7"/>
  <c r="I252" i="7"/>
  <c r="J252" i="7"/>
  <c r="K252" i="7"/>
  <c r="F253" i="7"/>
  <c r="G253" i="7"/>
  <c r="H253" i="7"/>
  <c r="I253" i="7"/>
  <c r="J253" i="7"/>
  <c r="K253" i="7"/>
  <c r="F254" i="7"/>
  <c r="G254" i="7"/>
  <c r="H254" i="7"/>
  <c r="I254" i="7"/>
  <c r="J254" i="7"/>
  <c r="K254" i="7"/>
  <c r="F255" i="7"/>
  <c r="G255" i="7"/>
  <c r="H255" i="7"/>
  <c r="I255" i="7"/>
  <c r="J255" i="7"/>
  <c r="K255" i="7"/>
  <c r="F256" i="7"/>
  <c r="G256" i="7"/>
  <c r="H256" i="7"/>
  <c r="I256" i="7"/>
  <c r="J256" i="7"/>
  <c r="K256" i="7"/>
  <c r="F257" i="7"/>
  <c r="G257" i="7"/>
  <c r="H257" i="7"/>
  <c r="I257" i="7"/>
  <c r="J257" i="7"/>
  <c r="K257" i="7"/>
  <c r="F258" i="7"/>
  <c r="G258" i="7"/>
  <c r="H258" i="7"/>
  <c r="I258" i="7"/>
  <c r="J258" i="7"/>
  <c r="K258" i="7"/>
  <c r="F259" i="7"/>
  <c r="G259" i="7"/>
  <c r="H259" i="7"/>
  <c r="I259" i="7"/>
  <c r="J259" i="7"/>
  <c r="K259" i="7"/>
  <c r="F260" i="7"/>
  <c r="G260" i="7"/>
  <c r="H260" i="7"/>
  <c r="I260" i="7"/>
  <c r="J260" i="7"/>
  <c r="K260" i="7"/>
  <c r="F261" i="7"/>
  <c r="G261" i="7"/>
  <c r="H261" i="7"/>
  <c r="I261" i="7"/>
  <c r="J261" i="7"/>
  <c r="K261" i="7"/>
  <c r="F262" i="7"/>
  <c r="G262" i="7"/>
  <c r="H262" i="7"/>
  <c r="I262" i="7"/>
  <c r="J262" i="7"/>
  <c r="K262" i="7"/>
  <c r="F263" i="7"/>
  <c r="G263" i="7"/>
  <c r="H263" i="7"/>
  <c r="I263" i="7"/>
  <c r="J263" i="7"/>
  <c r="K263" i="7"/>
  <c r="F264" i="7"/>
  <c r="G264" i="7"/>
  <c r="H264" i="7"/>
  <c r="I264" i="7"/>
  <c r="J264" i="7"/>
  <c r="K264" i="7"/>
  <c r="F265" i="7"/>
  <c r="G265" i="7"/>
  <c r="H265" i="7"/>
  <c r="I265" i="7"/>
  <c r="J265" i="7"/>
  <c r="K265" i="7"/>
  <c r="F266" i="7"/>
  <c r="G266" i="7"/>
  <c r="H266" i="7"/>
  <c r="I266" i="7"/>
  <c r="J266" i="7"/>
  <c r="K266" i="7"/>
  <c r="F267" i="7"/>
  <c r="G267" i="7"/>
  <c r="H267" i="7"/>
  <c r="I267" i="7"/>
  <c r="J267" i="7"/>
  <c r="K267" i="7"/>
  <c r="F268" i="7"/>
  <c r="G268" i="7"/>
  <c r="H268" i="7"/>
  <c r="I268" i="7"/>
  <c r="J268" i="7"/>
  <c r="K268" i="7"/>
  <c r="F269" i="7"/>
  <c r="G269" i="7"/>
  <c r="H269" i="7"/>
  <c r="I269" i="7"/>
  <c r="J269" i="7"/>
  <c r="K269" i="7"/>
  <c r="F270" i="7"/>
  <c r="G270" i="7"/>
  <c r="H270" i="7"/>
  <c r="I270" i="7"/>
  <c r="J270" i="7"/>
  <c r="K270" i="7"/>
  <c r="F271" i="7"/>
  <c r="G271" i="7"/>
  <c r="H271" i="7"/>
  <c r="I271" i="7"/>
  <c r="J271" i="7"/>
  <c r="K271" i="7"/>
  <c r="F272" i="7"/>
  <c r="G272" i="7"/>
  <c r="H272" i="7"/>
  <c r="I272" i="7"/>
  <c r="J272" i="7"/>
  <c r="K272" i="7"/>
  <c r="F273" i="7"/>
  <c r="G273" i="7"/>
  <c r="H273" i="7"/>
  <c r="I273" i="7"/>
  <c r="J273" i="7"/>
  <c r="K273" i="7"/>
  <c r="F274" i="7"/>
  <c r="G274" i="7"/>
  <c r="H274" i="7"/>
  <c r="I274" i="7"/>
  <c r="J274" i="7"/>
  <c r="K274" i="7"/>
  <c r="F275" i="7"/>
  <c r="G275" i="7"/>
  <c r="H275" i="7"/>
  <c r="I275" i="7"/>
  <c r="J275" i="7"/>
  <c r="K275" i="7"/>
  <c r="F276" i="7"/>
  <c r="G276" i="7"/>
  <c r="H276" i="7"/>
  <c r="I276" i="7"/>
  <c r="J276" i="7"/>
  <c r="K276" i="7"/>
  <c r="F277" i="7"/>
  <c r="G277" i="7"/>
  <c r="H277" i="7"/>
  <c r="I277" i="7"/>
  <c r="J277" i="7"/>
  <c r="K277" i="7"/>
  <c r="F278" i="7"/>
  <c r="G278" i="7"/>
  <c r="H278" i="7"/>
  <c r="I278" i="7"/>
  <c r="J278" i="7"/>
  <c r="K278" i="7"/>
  <c r="F279" i="7"/>
  <c r="G279" i="7"/>
  <c r="H279" i="7"/>
  <c r="I279" i="7"/>
  <c r="J279" i="7"/>
  <c r="K279" i="7"/>
  <c r="F280" i="7"/>
  <c r="G280" i="7"/>
  <c r="H280" i="7"/>
  <c r="I280" i="7"/>
  <c r="J280" i="7"/>
  <c r="K280" i="7"/>
  <c r="F281" i="7"/>
  <c r="G281" i="7"/>
  <c r="H281" i="7"/>
  <c r="I281" i="7"/>
  <c r="J281" i="7"/>
  <c r="K281" i="7"/>
  <c r="F282" i="7"/>
  <c r="G282" i="7"/>
  <c r="H282" i="7"/>
  <c r="I282" i="7"/>
  <c r="J282" i="7"/>
  <c r="K282" i="7"/>
  <c r="F283" i="7"/>
  <c r="G283" i="7"/>
  <c r="H283" i="7"/>
  <c r="I283" i="7"/>
  <c r="J283" i="7"/>
  <c r="K283" i="7"/>
  <c r="F284" i="7"/>
  <c r="G284" i="7"/>
  <c r="H284" i="7"/>
  <c r="I284" i="7"/>
  <c r="J284" i="7"/>
  <c r="K284" i="7"/>
  <c r="F285" i="7"/>
  <c r="G285" i="7"/>
  <c r="H285" i="7"/>
  <c r="I285" i="7"/>
  <c r="J285" i="7"/>
  <c r="K285" i="7"/>
  <c r="F286" i="7"/>
  <c r="G286" i="7"/>
  <c r="H286" i="7"/>
  <c r="I286" i="7"/>
  <c r="J286" i="7"/>
  <c r="K286" i="7"/>
  <c r="F287" i="7"/>
  <c r="G287" i="7"/>
  <c r="H287" i="7"/>
  <c r="I287" i="7"/>
  <c r="J287" i="7"/>
  <c r="K287" i="7"/>
  <c r="F288" i="7"/>
  <c r="G288" i="7"/>
  <c r="H288" i="7"/>
  <c r="I288" i="7"/>
  <c r="J288" i="7"/>
  <c r="K288" i="7"/>
  <c r="F289" i="7"/>
  <c r="G289" i="7"/>
  <c r="H289" i="7"/>
  <c r="I289" i="7"/>
  <c r="J289" i="7"/>
  <c r="K289" i="7"/>
  <c r="F290" i="7"/>
  <c r="G290" i="7"/>
  <c r="H290" i="7"/>
  <c r="I290" i="7"/>
  <c r="J290" i="7"/>
  <c r="K290" i="7"/>
  <c r="F291" i="7"/>
  <c r="G291" i="7"/>
  <c r="H291" i="7"/>
  <c r="I291" i="7"/>
  <c r="J291" i="7"/>
  <c r="K291" i="7"/>
  <c r="F292" i="7"/>
  <c r="G292" i="7"/>
  <c r="H292" i="7"/>
  <c r="I292" i="7"/>
  <c r="J292" i="7"/>
  <c r="K292" i="7"/>
  <c r="F293" i="7"/>
  <c r="G293" i="7"/>
  <c r="H293" i="7"/>
  <c r="I293" i="7"/>
  <c r="J293" i="7"/>
  <c r="K293" i="7"/>
  <c r="F294" i="7"/>
  <c r="G294" i="7"/>
  <c r="H294" i="7"/>
  <c r="I294" i="7"/>
  <c r="J294" i="7"/>
  <c r="K294" i="7"/>
  <c r="F295" i="7"/>
  <c r="G295" i="7"/>
  <c r="H295" i="7"/>
  <c r="I295" i="7"/>
  <c r="J295" i="7"/>
  <c r="K295" i="7"/>
  <c r="F296" i="7"/>
  <c r="G296" i="7"/>
  <c r="H296" i="7"/>
  <c r="I296" i="7"/>
  <c r="J296" i="7"/>
  <c r="K296" i="7"/>
  <c r="F297" i="7"/>
  <c r="G297" i="7"/>
  <c r="H297" i="7"/>
  <c r="I297" i="7"/>
  <c r="J297" i="7"/>
  <c r="K297" i="7"/>
  <c r="F298" i="7"/>
  <c r="G298" i="7"/>
  <c r="H298" i="7"/>
  <c r="I298" i="7"/>
  <c r="J298" i="7"/>
  <c r="K298" i="7"/>
  <c r="F299" i="7"/>
  <c r="G299" i="7"/>
  <c r="H299" i="7"/>
  <c r="I299" i="7"/>
  <c r="J299" i="7"/>
  <c r="K299" i="7"/>
  <c r="F300" i="7"/>
  <c r="G300" i="7"/>
  <c r="H300" i="7"/>
  <c r="I300" i="7"/>
  <c r="J300" i="7"/>
  <c r="K300" i="7"/>
  <c r="F301" i="7"/>
  <c r="G301" i="7"/>
  <c r="H301" i="7"/>
  <c r="I301" i="7"/>
  <c r="J301" i="7"/>
  <c r="K301" i="7"/>
  <c r="F302" i="7"/>
  <c r="G302" i="7"/>
  <c r="H302" i="7"/>
  <c r="I302" i="7"/>
  <c r="J302" i="7"/>
  <c r="K302" i="7"/>
  <c r="F303" i="7"/>
  <c r="G303" i="7"/>
  <c r="H303" i="7"/>
  <c r="I303" i="7"/>
  <c r="J303" i="7"/>
  <c r="K303" i="7"/>
  <c r="F304" i="7"/>
  <c r="G304" i="7"/>
  <c r="H304" i="7"/>
  <c r="I304" i="7"/>
  <c r="J304" i="7"/>
  <c r="K304" i="7"/>
  <c r="F305" i="7"/>
  <c r="G305" i="7"/>
  <c r="H305" i="7"/>
  <c r="I305" i="7"/>
  <c r="J305" i="7"/>
  <c r="K305" i="7"/>
  <c r="F306" i="7"/>
  <c r="G306" i="7"/>
  <c r="H306" i="7"/>
  <c r="I306" i="7"/>
  <c r="J306" i="7"/>
  <c r="K306" i="7"/>
  <c r="F307" i="7"/>
  <c r="G307" i="7"/>
  <c r="H307" i="7"/>
  <c r="I307" i="7"/>
  <c r="J307" i="7"/>
  <c r="K307" i="7"/>
  <c r="F308" i="7"/>
  <c r="G308" i="7"/>
  <c r="H308" i="7"/>
  <c r="I308" i="7"/>
  <c r="J308" i="7"/>
  <c r="K308" i="7"/>
  <c r="F309" i="7"/>
  <c r="G309" i="7"/>
  <c r="H309" i="7"/>
  <c r="I309" i="7"/>
  <c r="J309" i="7"/>
  <c r="K309" i="7"/>
  <c r="F310" i="7"/>
  <c r="G310" i="7"/>
  <c r="H310" i="7"/>
  <c r="I310" i="7"/>
  <c r="J310" i="7"/>
  <c r="K310" i="7"/>
  <c r="F311" i="7"/>
  <c r="G311" i="7"/>
  <c r="H311" i="7"/>
  <c r="I311" i="7"/>
  <c r="J311" i="7"/>
  <c r="K311" i="7"/>
  <c r="F312" i="7"/>
  <c r="G312" i="7"/>
  <c r="H312" i="7"/>
  <c r="I312" i="7"/>
  <c r="J312" i="7"/>
  <c r="K312" i="7"/>
  <c r="F313" i="7"/>
  <c r="G313" i="7"/>
  <c r="H313" i="7"/>
  <c r="I313" i="7"/>
  <c r="J313" i="7"/>
  <c r="K313" i="7"/>
  <c r="F314" i="7"/>
  <c r="G314" i="7"/>
  <c r="H314" i="7"/>
  <c r="I314" i="7"/>
  <c r="J314" i="7"/>
  <c r="K314" i="7"/>
  <c r="F315" i="7"/>
  <c r="G315" i="7"/>
  <c r="H315" i="7"/>
  <c r="I315" i="7"/>
  <c r="J315" i="7"/>
  <c r="K315" i="7"/>
  <c r="F316" i="7"/>
  <c r="G316" i="7"/>
  <c r="H316" i="7"/>
  <c r="I316" i="7"/>
  <c r="J316" i="7"/>
  <c r="K316" i="7"/>
  <c r="F317" i="7"/>
  <c r="G317" i="7"/>
  <c r="H317" i="7"/>
  <c r="I317" i="7"/>
  <c r="J317" i="7"/>
  <c r="K317" i="7"/>
  <c r="F318" i="7"/>
  <c r="G318" i="7"/>
  <c r="H318" i="7"/>
  <c r="I318" i="7"/>
  <c r="J318" i="7"/>
  <c r="K318" i="7"/>
  <c r="F319" i="7"/>
  <c r="G319" i="7"/>
  <c r="H319" i="7"/>
  <c r="I319" i="7"/>
  <c r="J319" i="7"/>
  <c r="K319" i="7"/>
  <c r="F320" i="7"/>
  <c r="G320" i="7"/>
  <c r="H320" i="7"/>
  <c r="I320" i="7"/>
  <c r="J320" i="7"/>
  <c r="K320" i="7"/>
  <c r="F321" i="7"/>
  <c r="G321" i="7"/>
  <c r="H321" i="7"/>
  <c r="I321" i="7"/>
  <c r="J321" i="7"/>
  <c r="K321" i="7"/>
  <c r="F322" i="7"/>
  <c r="G322" i="7"/>
  <c r="H322" i="7"/>
  <c r="I322" i="7"/>
  <c r="J322" i="7"/>
  <c r="K322" i="7"/>
  <c r="F323" i="7"/>
  <c r="G323" i="7"/>
  <c r="H323" i="7"/>
  <c r="I323" i="7"/>
  <c r="J323" i="7"/>
  <c r="K323" i="7"/>
  <c r="F324" i="7"/>
  <c r="G324" i="7"/>
  <c r="H324" i="7"/>
  <c r="I324" i="7"/>
  <c r="J324" i="7"/>
  <c r="K324" i="7"/>
  <c r="F325" i="7"/>
  <c r="G325" i="7"/>
  <c r="H325" i="7"/>
  <c r="I325" i="7"/>
  <c r="J325" i="7"/>
  <c r="K325" i="7"/>
  <c r="F326" i="7"/>
  <c r="G326" i="7"/>
  <c r="H326" i="7"/>
  <c r="I326" i="7"/>
  <c r="J326" i="7"/>
  <c r="K326" i="7"/>
  <c r="F327" i="7"/>
  <c r="G327" i="7"/>
  <c r="H327" i="7"/>
  <c r="I327" i="7"/>
  <c r="J327" i="7"/>
  <c r="K327" i="7"/>
  <c r="F328" i="7"/>
  <c r="G328" i="7"/>
  <c r="H328" i="7"/>
  <c r="I328" i="7"/>
  <c r="J328" i="7"/>
  <c r="K328" i="7"/>
  <c r="F329" i="7"/>
  <c r="G329" i="7"/>
  <c r="H329" i="7"/>
  <c r="I329" i="7"/>
  <c r="J329" i="7"/>
  <c r="K329" i="7"/>
  <c r="F330" i="7"/>
  <c r="G330" i="7"/>
  <c r="H330" i="7"/>
  <c r="I330" i="7"/>
  <c r="J330" i="7"/>
  <c r="K330" i="7"/>
  <c r="F331" i="7"/>
  <c r="G331" i="7"/>
  <c r="H331" i="7"/>
  <c r="I331" i="7"/>
  <c r="J331" i="7"/>
  <c r="K331" i="7"/>
  <c r="F332" i="7"/>
  <c r="G332" i="7"/>
  <c r="H332" i="7"/>
  <c r="I332" i="7"/>
  <c r="J332" i="7"/>
  <c r="K332" i="7"/>
  <c r="F333" i="7"/>
  <c r="G333" i="7"/>
  <c r="H333" i="7"/>
  <c r="I333" i="7"/>
  <c r="J333" i="7"/>
  <c r="K333" i="7"/>
  <c r="F334" i="7"/>
  <c r="G334" i="7"/>
  <c r="H334" i="7"/>
  <c r="I334" i="7"/>
  <c r="J334" i="7"/>
  <c r="K334" i="7"/>
  <c r="F335" i="7"/>
  <c r="G335" i="7"/>
  <c r="H335" i="7"/>
  <c r="I335" i="7"/>
  <c r="J335" i="7"/>
  <c r="K335" i="7"/>
  <c r="F336" i="7"/>
  <c r="G336" i="7"/>
  <c r="H336" i="7"/>
  <c r="I336" i="7"/>
  <c r="J336" i="7"/>
  <c r="K336" i="7"/>
  <c r="F337" i="7"/>
  <c r="G337" i="7"/>
  <c r="H337" i="7"/>
  <c r="I337" i="7"/>
  <c r="J337" i="7"/>
  <c r="K337" i="7"/>
  <c r="F338" i="7"/>
  <c r="G338" i="7"/>
  <c r="H338" i="7"/>
  <c r="I338" i="7"/>
  <c r="J338" i="7"/>
  <c r="K338" i="7"/>
  <c r="F339" i="7"/>
  <c r="G339" i="7"/>
  <c r="H339" i="7"/>
  <c r="I339" i="7"/>
  <c r="J339" i="7"/>
  <c r="K339" i="7"/>
  <c r="F340" i="7"/>
  <c r="G340" i="7"/>
  <c r="H340" i="7"/>
  <c r="I340" i="7"/>
  <c r="J340" i="7"/>
  <c r="K340" i="7"/>
  <c r="F341" i="7"/>
  <c r="G341" i="7"/>
  <c r="H341" i="7"/>
  <c r="I341" i="7"/>
  <c r="J341" i="7"/>
  <c r="K341" i="7"/>
  <c r="F342" i="7"/>
  <c r="G342" i="7"/>
  <c r="H342" i="7"/>
  <c r="I342" i="7"/>
  <c r="J342" i="7"/>
  <c r="K342" i="7"/>
  <c r="F343" i="7"/>
  <c r="G343" i="7"/>
  <c r="H343" i="7"/>
  <c r="I343" i="7"/>
  <c r="J343" i="7"/>
  <c r="K343" i="7"/>
  <c r="F344" i="7"/>
  <c r="G344" i="7"/>
  <c r="H344" i="7"/>
  <c r="I344" i="7"/>
  <c r="J344" i="7"/>
  <c r="K344" i="7"/>
  <c r="F345" i="7"/>
  <c r="G345" i="7"/>
  <c r="H345" i="7"/>
  <c r="I345" i="7"/>
  <c r="J345" i="7"/>
  <c r="K345" i="7"/>
  <c r="F346" i="7"/>
  <c r="G346" i="7"/>
  <c r="H346" i="7"/>
  <c r="I346" i="7"/>
  <c r="J346" i="7"/>
  <c r="K346" i="7"/>
  <c r="F347" i="7"/>
  <c r="G347" i="7"/>
  <c r="H347" i="7"/>
  <c r="I347" i="7"/>
  <c r="J347" i="7"/>
  <c r="K347" i="7"/>
  <c r="F348" i="7"/>
  <c r="G348" i="7"/>
  <c r="H348" i="7"/>
  <c r="I348" i="7"/>
  <c r="J348" i="7"/>
  <c r="K348" i="7"/>
  <c r="F349" i="7"/>
  <c r="G349" i="7"/>
  <c r="H349" i="7"/>
  <c r="I349" i="7"/>
  <c r="J349" i="7"/>
  <c r="K349" i="7"/>
  <c r="F350" i="7"/>
  <c r="G350" i="7"/>
  <c r="H350" i="7"/>
  <c r="I350" i="7"/>
  <c r="J350" i="7"/>
  <c r="K350" i="7"/>
  <c r="F351" i="7"/>
  <c r="G351" i="7"/>
  <c r="H351" i="7"/>
  <c r="I351" i="7"/>
  <c r="J351" i="7"/>
  <c r="K351" i="7"/>
  <c r="F352" i="7"/>
  <c r="G352" i="7"/>
  <c r="H352" i="7"/>
  <c r="I352" i="7"/>
  <c r="J352" i="7"/>
  <c r="K352" i="7"/>
  <c r="F353" i="7"/>
  <c r="G353" i="7"/>
  <c r="H353" i="7"/>
  <c r="I353" i="7"/>
  <c r="J353" i="7"/>
  <c r="K353" i="7"/>
  <c r="F354" i="7"/>
  <c r="G354" i="7"/>
  <c r="H354" i="7"/>
  <c r="I354" i="7"/>
  <c r="J354" i="7"/>
  <c r="K354" i="7"/>
  <c r="F355" i="7"/>
  <c r="G355" i="7"/>
  <c r="H355" i="7"/>
  <c r="I355" i="7"/>
  <c r="J355" i="7"/>
  <c r="K355" i="7"/>
  <c r="F356" i="7"/>
  <c r="G356" i="7"/>
  <c r="H356" i="7"/>
  <c r="I356" i="7"/>
  <c r="J356" i="7"/>
  <c r="K356" i="7"/>
  <c r="F357" i="7"/>
  <c r="G357" i="7"/>
  <c r="H357" i="7"/>
  <c r="I357" i="7"/>
  <c r="J357" i="7"/>
  <c r="K357" i="7"/>
  <c r="F358" i="7"/>
  <c r="G358" i="7"/>
  <c r="H358" i="7"/>
  <c r="I358" i="7"/>
  <c r="J358" i="7"/>
  <c r="K358" i="7"/>
  <c r="F359" i="7"/>
  <c r="G359" i="7"/>
  <c r="H359" i="7"/>
  <c r="I359" i="7"/>
  <c r="J359" i="7"/>
  <c r="K359" i="7"/>
  <c r="F360" i="7"/>
  <c r="G360" i="7"/>
  <c r="H360" i="7"/>
  <c r="I360" i="7"/>
  <c r="J360" i="7"/>
  <c r="K360" i="7"/>
  <c r="F361" i="7"/>
  <c r="G361" i="7"/>
  <c r="H361" i="7"/>
  <c r="I361" i="7"/>
  <c r="J361" i="7"/>
  <c r="K361" i="7"/>
  <c r="F362" i="7"/>
  <c r="G362" i="7"/>
  <c r="H362" i="7"/>
  <c r="I362" i="7"/>
  <c r="J362" i="7"/>
  <c r="K362" i="7"/>
  <c r="F363" i="7"/>
  <c r="G363" i="7"/>
  <c r="H363" i="7"/>
  <c r="I363" i="7"/>
  <c r="J363" i="7"/>
  <c r="K363" i="7"/>
  <c r="F364" i="7"/>
  <c r="G364" i="7"/>
  <c r="H364" i="7"/>
  <c r="I364" i="7"/>
  <c r="J364" i="7"/>
  <c r="K364" i="7"/>
  <c r="F365" i="7"/>
  <c r="G365" i="7"/>
  <c r="H365" i="7"/>
  <c r="I365" i="7"/>
  <c r="J365" i="7"/>
  <c r="K365" i="7"/>
  <c r="F366" i="7"/>
  <c r="G366" i="7"/>
  <c r="H366" i="7"/>
  <c r="I366" i="7"/>
  <c r="J366" i="7"/>
  <c r="K366" i="7"/>
  <c r="F367" i="7"/>
  <c r="G367" i="7"/>
  <c r="H367" i="7"/>
  <c r="I367" i="7"/>
  <c r="J367" i="7"/>
  <c r="K367" i="7"/>
  <c r="F368" i="7"/>
  <c r="G368" i="7"/>
  <c r="H368" i="7"/>
  <c r="I368" i="7"/>
  <c r="J368" i="7"/>
  <c r="K368" i="7"/>
  <c r="F369" i="7"/>
  <c r="G369" i="7"/>
  <c r="H369" i="7"/>
  <c r="I369" i="7"/>
  <c r="J369" i="7"/>
  <c r="K369" i="7"/>
  <c r="K89" i="7"/>
  <c r="J89" i="7"/>
  <c r="I89" i="7"/>
  <c r="H89" i="7"/>
  <c r="G89" i="7"/>
  <c r="F89" i="7"/>
  <c r="BB77" i="6" a="1"/>
  <c r="BB77" i="6" s="1"/>
  <c r="BC77" i="6" a="1"/>
  <c r="BC77" i="6" s="1"/>
  <c r="BB78" i="6" a="1"/>
  <c r="BB78" i="6" s="1"/>
  <c r="BC78" i="6" a="1"/>
  <c r="BC78" i="6" s="1"/>
  <c r="BB79" i="6" a="1"/>
  <c r="BB79" i="6" s="1"/>
  <c r="BC79" i="6" a="1"/>
  <c r="BC79" i="6" s="1"/>
  <c r="BB80" i="6" a="1"/>
  <c r="BB80" i="6" s="1"/>
  <c r="BC80" i="6" a="1"/>
  <c r="BC80" i="6" s="1"/>
  <c r="BB81" i="6" a="1"/>
  <c r="BB81" i="6" s="1"/>
  <c r="BC81" i="6" a="1"/>
  <c r="BC81" i="6" s="1"/>
  <c r="BB82" i="6" a="1"/>
  <c r="BB82" i="6" s="1"/>
  <c r="BC82" i="6" a="1"/>
  <c r="BC82" i="6" s="1"/>
  <c r="BB83" i="6" a="1"/>
  <c r="BB83" i="6" s="1"/>
  <c r="BC83" i="6" a="1"/>
  <c r="BC83" i="6" s="1"/>
  <c r="BB84" i="6" a="1"/>
  <c r="BB84" i="6" s="1"/>
  <c r="BC84" i="6" a="1"/>
  <c r="BC84" i="6" s="1"/>
  <c r="BB85" i="6" a="1"/>
  <c r="BB85" i="6" s="1"/>
  <c r="BC85" i="6" a="1"/>
  <c r="BC85" i="6" s="1"/>
  <c r="BB86" i="6" a="1"/>
  <c r="BB86" i="6" s="1"/>
  <c r="BC86" i="6" a="1"/>
  <c r="BC86" i="6" s="1"/>
  <c r="BB87" i="6" a="1"/>
  <c r="BB87" i="6" s="1"/>
  <c r="BC87" i="6" a="1"/>
  <c r="BC87" i="6" s="1"/>
  <c r="BB88" i="6" a="1"/>
  <c r="BB88" i="6" s="1"/>
  <c r="BC88" i="6" a="1"/>
  <c r="BC88" i="6" s="1"/>
  <c r="BB89" i="6" a="1"/>
  <c r="BB89" i="6" s="1"/>
  <c r="BC89" i="6" a="1"/>
  <c r="BC89" i="6" s="1"/>
  <c r="BB90" i="6" a="1"/>
  <c r="BB90" i="6" s="1"/>
  <c r="BC90" i="6" a="1"/>
  <c r="BC90" i="6" s="1"/>
  <c r="BB91" i="6" a="1"/>
  <c r="BB91" i="6" s="1"/>
  <c r="BC91" i="6" a="1"/>
  <c r="BC91" i="6" s="1"/>
  <c r="BB92" i="6" a="1"/>
  <c r="BB92" i="6" s="1"/>
  <c r="BC92" i="6" a="1"/>
  <c r="BC92" i="6" s="1"/>
  <c r="BB93" i="6" a="1"/>
  <c r="BB93" i="6" s="1"/>
  <c r="BC93" i="6" a="1"/>
  <c r="BC93" i="6" s="1"/>
  <c r="BB94" i="6" a="1"/>
  <c r="BB94" i="6" s="1"/>
  <c r="BC94" i="6" a="1"/>
  <c r="BC94" i="6" s="1"/>
  <c r="BB95" i="6" a="1"/>
  <c r="BB95" i="6" s="1"/>
  <c r="BC95" i="6" a="1"/>
  <c r="BC95" i="6" s="1"/>
  <c r="BB96" i="6" a="1"/>
  <c r="BB96" i="6" s="1"/>
  <c r="BC96" i="6" a="1"/>
  <c r="BC96" i="6" s="1"/>
  <c r="BB97" i="6" a="1"/>
  <c r="BB97" i="6" s="1"/>
  <c r="BC97" i="6" a="1"/>
  <c r="BC97" i="6" s="1"/>
  <c r="BB98" i="6" a="1"/>
  <c r="BB98" i="6" s="1"/>
  <c r="BC98" i="6" a="1"/>
  <c r="BC98" i="6" s="1"/>
  <c r="BB99" i="6" a="1"/>
  <c r="BB99" i="6" s="1"/>
  <c r="BC99" i="6" a="1"/>
  <c r="BC99" i="6" s="1"/>
  <c r="BB100" i="6" a="1"/>
  <c r="BB100" i="6" s="1"/>
  <c r="BC100" i="6" a="1"/>
  <c r="BC100" i="6" s="1"/>
  <c r="BB101" i="6" a="1"/>
  <c r="BB101" i="6" s="1"/>
  <c r="BC101" i="6" a="1"/>
  <c r="BC101" i="6" s="1"/>
  <c r="BB102" i="6" a="1"/>
  <c r="BB102" i="6" s="1"/>
  <c r="BC102" i="6" a="1"/>
  <c r="BC102" i="6" s="1"/>
  <c r="BB103" i="6" a="1"/>
  <c r="BB103" i="6" s="1"/>
  <c r="BC103" i="6" a="1"/>
  <c r="BC103" i="6" s="1"/>
  <c r="BB104" i="6" a="1"/>
  <c r="BB104" i="6" s="1"/>
  <c r="BC104" i="6" a="1"/>
  <c r="BC104" i="6" s="1"/>
  <c r="BB105" i="6" a="1"/>
  <c r="BB105" i="6" s="1"/>
  <c r="BC105" i="6" a="1"/>
  <c r="BC105" i="6" s="1"/>
  <c r="BB106" i="6" a="1"/>
  <c r="BB106" i="6" s="1"/>
  <c r="BC106" i="6" a="1"/>
  <c r="BC106" i="6" s="1"/>
  <c r="BC76" i="6" a="1"/>
  <c r="BC76" i="6" s="1"/>
  <c r="BB76" i="6" a="1"/>
  <c r="BB76" i="6" s="1"/>
  <c r="AN77" i="6" a="1"/>
  <c r="AN77" i="6" s="1"/>
  <c r="AO77" i="6" a="1"/>
  <c r="AO77" i="6" s="1"/>
  <c r="AN78" i="6" a="1"/>
  <c r="AN78" i="6" s="1"/>
  <c r="AO78" i="6" a="1"/>
  <c r="AO78" i="6" s="1"/>
  <c r="AN79" i="6" a="1"/>
  <c r="AN79" i="6" s="1"/>
  <c r="AO79" i="6" a="1"/>
  <c r="AO79" i="6" s="1"/>
  <c r="AN80" i="6" a="1"/>
  <c r="AN80" i="6" s="1"/>
  <c r="AO80" i="6" a="1"/>
  <c r="AO80" i="6" s="1"/>
  <c r="AN81" i="6" a="1"/>
  <c r="AN81" i="6" s="1"/>
  <c r="AO81" i="6" a="1"/>
  <c r="AO81" i="6" s="1"/>
  <c r="AN82" i="6" a="1"/>
  <c r="AN82" i="6" s="1"/>
  <c r="AO82" i="6" a="1"/>
  <c r="AO82" i="6" s="1"/>
  <c r="AN83" i="6" a="1"/>
  <c r="AN83" i="6" s="1"/>
  <c r="AO83" i="6" a="1"/>
  <c r="AO83" i="6" s="1"/>
  <c r="AN84" i="6" a="1"/>
  <c r="AN84" i="6" s="1"/>
  <c r="AO84" i="6" a="1"/>
  <c r="AO84" i="6" s="1"/>
  <c r="AN85" i="6" a="1"/>
  <c r="AN85" i="6" s="1"/>
  <c r="AO85" i="6" a="1"/>
  <c r="AO85" i="6" s="1"/>
  <c r="AN86" i="6" a="1"/>
  <c r="AN86" i="6" s="1"/>
  <c r="AO86" i="6" a="1"/>
  <c r="AO86" i="6" s="1"/>
  <c r="AN87" i="6" a="1"/>
  <c r="AN87" i="6" s="1"/>
  <c r="AO87" i="6" a="1"/>
  <c r="AO87" i="6" s="1"/>
  <c r="AN88" i="6" a="1"/>
  <c r="AN88" i="6" s="1"/>
  <c r="AO88" i="6" a="1"/>
  <c r="AO88" i="6" s="1"/>
  <c r="AN89" i="6" a="1"/>
  <c r="AN89" i="6" s="1"/>
  <c r="AO89" i="6" a="1"/>
  <c r="AO89" i="6" s="1"/>
  <c r="AN90" i="6" a="1"/>
  <c r="AN90" i="6" s="1"/>
  <c r="AO90" i="6" a="1"/>
  <c r="AO90" i="6" s="1"/>
  <c r="AN91" i="6" a="1"/>
  <c r="AN91" i="6" s="1"/>
  <c r="AO91" i="6" a="1"/>
  <c r="AO91" i="6" s="1"/>
  <c r="AN92" i="6" a="1"/>
  <c r="AN92" i="6" s="1"/>
  <c r="AO92" i="6" a="1"/>
  <c r="AO92" i="6" s="1"/>
  <c r="AN93" i="6" a="1"/>
  <c r="AN93" i="6" s="1"/>
  <c r="AO93" i="6" a="1"/>
  <c r="AO93" i="6" s="1"/>
  <c r="AN94" i="6" a="1"/>
  <c r="AN94" i="6" s="1"/>
  <c r="AO94" i="6" a="1"/>
  <c r="AO94" i="6" s="1"/>
  <c r="AN95" i="6" a="1"/>
  <c r="AN95" i="6" s="1"/>
  <c r="AO95" i="6" a="1"/>
  <c r="AO95" i="6" s="1"/>
  <c r="AN96" i="6" a="1"/>
  <c r="AN96" i="6" s="1"/>
  <c r="AO96" i="6" a="1"/>
  <c r="AO96" i="6" s="1"/>
  <c r="AN97" i="6" a="1"/>
  <c r="AN97" i="6" s="1"/>
  <c r="AO97" i="6" a="1"/>
  <c r="AO97" i="6" s="1"/>
  <c r="AN98" i="6" a="1"/>
  <c r="AN98" i="6" s="1"/>
  <c r="AO98" i="6" a="1"/>
  <c r="AO98" i="6" s="1"/>
  <c r="AN99" i="6" a="1"/>
  <c r="AN99" i="6" s="1"/>
  <c r="AO99" i="6" a="1"/>
  <c r="AO99" i="6" s="1"/>
  <c r="AN100" i="6" a="1"/>
  <c r="AN100" i="6" s="1"/>
  <c r="AO100" i="6" a="1"/>
  <c r="AO100" i="6" s="1"/>
  <c r="AN101" i="6" a="1"/>
  <c r="AN101" i="6" s="1"/>
  <c r="AO101" i="6" a="1"/>
  <c r="AO101" i="6" s="1"/>
  <c r="AN102" i="6" a="1"/>
  <c r="AN102" i="6" s="1"/>
  <c r="AO102" i="6" a="1"/>
  <c r="AO102" i="6" s="1"/>
  <c r="AN103" i="6" a="1"/>
  <c r="AN103" i="6" s="1"/>
  <c r="AO103" i="6" a="1"/>
  <c r="AO103" i="6" s="1"/>
  <c r="AN104" i="6" a="1"/>
  <c r="AN104" i="6" s="1"/>
  <c r="AO104" i="6" a="1"/>
  <c r="AO104" i="6" s="1"/>
  <c r="AN105" i="6" a="1"/>
  <c r="AN105" i="6" s="1"/>
  <c r="AO105" i="6" a="1"/>
  <c r="AO105" i="6" s="1"/>
  <c r="AN106" i="6" a="1"/>
  <c r="AN106" i="6" s="1"/>
  <c r="AO106" i="6" a="1"/>
  <c r="AO106" i="6" s="1"/>
  <c r="AO76" i="6" a="1"/>
  <c r="AO76" i="6" s="1"/>
  <c r="AN76" i="6" a="1"/>
  <c r="AN76" i="6" s="1"/>
  <c r="Z77" i="6" a="1"/>
  <c r="Z77" i="6" s="1"/>
  <c r="AA77" i="6" a="1"/>
  <c r="AA77" i="6" s="1"/>
  <c r="Z78" i="6" a="1"/>
  <c r="Z78" i="6" s="1"/>
  <c r="AA78" i="6" a="1"/>
  <c r="AA78" i="6" s="1"/>
  <c r="Z79" i="6" a="1"/>
  <c r="Z79" i="6" s="1"/>
  <c r="AA79" i="6" a="1"/>
  <c r="AA79" i="6" s="1"/>
  <c r="Z80" i="6" a="1"/>
  <c r="Z80" i="6" s="1"/>
  <c r="AA80" i="6" a="1"/>
  <c r="AA80" i="6" s="1"/>
  <c r="Z81" i="6" a="1"/>
  <c r="Z81" i="6" s="1"/>
  <c r="AA81" i="6" a="1"/>
  <c r="AA81" i="6" s="1"/>
  <c r="Z82" i="6" a="1"/>
  <c r="Z82" i="6" s="1"/>
  <c r="AA82" i="6" a="1"/>
  <c r="AA82" i="6" s="1"/>
  <c r="Z83" i="6" a="1"/>
  <c r="Z83" i="6" s="1"/>
  <c r="AA83" i="6" a="1"/>
  <c r="AA83" i="6" s="1"/>
  <c r="Z84" i="6" a="1"/>
  <c r="Z84" i="6" s="1"/>
  <c r="AA84" i="6" a="1"/>
  <c r="AA84" i="6" s="1"/>
  <c r="Z85" i="6" a="1"/>
  <c r="Z85" i="6" s="1"/>
  <c r="AA85" i="6" a="1"/>
  <c r="AA85" i="6" s="1"/>
  <c r="Z86" i="6" a="1"/>
  <c r="Z86" i="6" s="1"/>
  <c r="AA86" i="6" a="1"/>
  <c r="AA86" i="6" s="1"/>
  <c r="Z87" i="6" a="1"/>
  <c r="Z87" i="6" s="1"/>
  <c r="AA87" i="6" a="1"/>
  <c r="AA87" i="6" s="1"/>
  <c r="Z88" i="6" a="1"/>
  <c r="Z88" i="6" s="1"/>
  <c r="AA88" i="6" a="1"/>
  <c r="AA88" i="6" s="1"/>
  <c r="Z89" i="6" a="1"/>
  <c r="Z89" i="6" s="1"/>
  <c r="AA89" i="6" a="1"/>
  <c r="AA89" i="6" s="1"/>
  <c r="Z90" i="6" a="1"/>
  <c r="Z90" i="6" s="1"/>
  <c r="AA90" i="6" a="1"/>
  <c r="AA90" i="6" s="1"/>
  <c r="Z91" i="6" a="1"/>
  <c r="Z91" i="6" s="1"/>
  <c r="AA91" i="6" a="1"/>
  <c r="AA91" i="6" s="1"/>
  <c r="Z92" i="6" a="1"/>
  <c r="Z92" i="6" s="1"/>
  <c r="AA92" i="6" a="1"/>
  <c r="AA92" i="6" s="1"/>
  <c r="Z93" i="6" a="1"/>
  <c r="Z93" i="6" s="1"/>
  <c r="AA93" i="6" a="1"/>
  <c r="AA93" i="6" s="1"/>
  <c r="Z94" i="6" a="1"/>
  <c r="Z94" i="6" s="1"/>
  <c r="AA94" i="6" a="1"/>
  <c r="AA94" i="6" s="1"/>
  <c r="Z95" i="6" a="1"/>
  <c r="Z95" i="6" s="1"/>
  <c r="AA95" i="6" a="1"/>
  <c r="AA95" i="6" s="1"/>
  <c r="Z96" i="6" a="1"/>
  <c r="Z96" i="6" s="1"/>
  <c r="AA96" i="6" a="1"/>
  <c r="AA96" i="6" s="1"/>
  <c r="Z97" i="6" a="1"/>
  <c r="Z97" i="6" s="1"/>
  <c r="AA97" i="6" a="1"/>
  <c r="AA97" i="6" s="1"/>
  <c r="Z98" i="6" a="1"/>
  <c r="Z98" i="6" s="1"/>
  <c r="AA98" i="6" a="1"/>
  <c r="AA98" i="6" s="1"/>
  <c r="Z99" i="6" a="1"/>
  <c r="Z99" i="6" s="1"/>
  <c r="AA99" i="6" a="1"/>
  <c r="AA99" i="6" s="1"/>
  <c r="Z100" i="6" a="1"/>
  <c r="Z100" i="6" s="1"/>
  <c r="AA100" i="6" a="1"/>
  <c r="AA100" i="6" s="1"/>
  <c r="Z101" i="6" a="1"/>
  <c r="Z101" i="6" s="1"/>
  <c r="AA101" i="6" a="1"/>
  <c r="AA101" i="6" s="1"/>
  <c r="Z102" i="6" a="1"/>
  <c r="Z102" i="6" s="1"/>
  <c r="AA102" i="6" a="1"/>
  <c r="AA102" i="6" s="1"/>
  <c r="Z103" i="6" a="1"/>
  <c r="Z103" i="6" s="1"/>
  <c r="AA103" i="6" a="1"/>
  <c r="AA103" i="6" s="1"/>
  <c r="Z104" i="6" a="1"/>
  <c r="Z104" i="6" s="1"/>
  <c r="AA104" i="6" a="1"/>
  <c r="AA104" i="6" s="1"/>
  <c r="Z105" i="6" a="1"/>
  <c r="Z105" i="6" s="1"/>
  <c r="AA105" i="6" a="1"/>
  <c r="AA105" i="6" s="1"/>
  <c r="AA76" i="6" a="1"/>
  <c r="AA76" i="6" s="1"/>
  <c r="Z76" i="6" a="1"/>
  <c r="Z76" i="6" s="1"/>
  <c r="BP78" i="6" a="1"/>
  <c r="BP78" i="6" s="1"/>
  <c r="BQ78" i="6" a="1"/>
  <c r="BQ78" i="6" s="1"/>
  <c r="BP79" i="6" a="1"/>
  <c r="BP79" i="6" s="1"/>
  <c r="BQ79" i="6" a="1"/>
  <c r="BQ79" i="6" s="1"/>
  <c r="BP80" i="6" a="1"/>
  <c r="BP80" i="6" s="1"/>
  <c r="BQ80" i="6" a="1"/>
  <c r="BQ80" i="6" s="1"/>
  <c r="BP81" i="6" a="1"/>
  <c r="BP81" i="6" s="1"/>
  <c r="BQ81" i="6" a="1"/>
  <c r="BQ81" i="6" s="1"/>
  <c r="BP82" i="6" a="1"/>
  <c r="BP82" i="6" s="1"/>
  <c r="BQ82" i="6" a="1"/>
  <c r="BQ82" i="6" s="1"/>
  <c r="BP83" i="6" a="1"/>
  <c r="BP83" i="6" s="1"/>
  <c r="BQ83" i="6" a="1"/>
  <c r="BQ83" i="6" s="1"/>
  <c r="BP84" i="6" a="1"/>
  <c r="BP84" i="6" s="1"/>
  <c r="BQ84" i="6" a="1"/>
  <c r="BQ84" i="6" s="1"/>
  <c r="BP85" i="6" a="1"/>
  <c r="BP85" i="6" s="1"/>
  <c r="BQ85" i="6" a="1"/>
  <c r="BQ85" i="6" s="1"/>
  <c r="BP86" i="6" a="1"/>
  <c r="BP86" i="6" s="1"/>
  <c r="BQ86" i="6" a="1"/>
  <c r="BQ86" i="6" s="1"/>
  <c r="BP87" i="6" a="1"/>
  <c r="BP87" i="6" s="1"/>
  <c r="BQ87" i="6" a="1"/>
  <c r="BQ87" i="6" s="1"/>
  <c r="BP88" i="6" a="1"/>
  <c r="BP88" i="6" s="1"/>
  <c r="BQ88" i="6" a="1"/>
  <c r="BQ88" i="6" s="1"/>
  <c r="BP89" i="6" a="1"/>
  <c r="BP89" i="6" s="1"/>
  <c r="BQ89" i="6" a="1"/>
  <c r="BQ89" i="6" s="1"/>
  <c r="BP90" i="6" a="1"/>
  <c r="BP90" i="6" s="1"/>
  <c r="BQ90" i="6" a="1"/>
  <c r="BQ90" i="6" s="1"/>
  <c r="BP91" i="6" a="1"/>
  <c r="BP91" i="6" s="1"/>
  <c r="BQ91" i="6" a="1"/>
  <c r="BQ91" i="6" s="1"/>
  <c r="BP92" i="6" a="1"/>
  <c r="BP92" i="6" s="1"/>
  <c r="BQ92" i="6" a="1"/>
  <c r="BQ92" i="6" s="1"/>
  <c r="BP93" i="6" a="1"/>
  <c r="BP93" i="6" s="1"/>
  <c r="BQ93" i="6" a="1"/>
  <c r="BQ93" i="6" s="1"/>
  <c r="BP94" i="6" a="1"/>
  <c r="BP94" i="6" s="1"/>
  <c r="BQ94" i="6" a="1"/>
  <c r="BQ94" i="6" s="1"/>
  <c r="BP95" i="6" a="1"/>
  <c r="BP95" i="6" s="1"/>
  <c r="BQ95" i="6" a="1"/>
  <c r="BQ95" i="6" s="1"/>
  <c r="BP96" i="6" a="1"/>
  <c r="BP96" i="6" s="1"/>
  <c r="BQ96" i="6" a="1"/>
  <c r="BQ96" i="6" s="1"/>
  <c r="BP97" i="6" a="1"/>
  <c r="BP97" i="6" s="1"/>
  <c r="BQ97" i="6" a="1"/>
  <c r="BQ97" i="6" s="1"/>
  <c r="BP98" i="6" a="1"/>
  <c r="BP98" i="6" s="1"/>
  <c r="BQ98" i="6" a="1"/>
  <c r="BQ98" i="6" s="1"/>
  <c r="BP99" i="6" a="1"/>
  <c r="BP99" i="6" s="1"/>
  <c r="BQ99" i="6" a="1"/>
  <c r="BQ99" i="6" s="1"/>
  <c r="BP100" i="6" a="1"/>
  <c r="BP100" i="6" s="1"/>
  <c r="BQ100" i="6" a="1"/>
  <c r="BQ100" i="6" s="1"/>
  <c r="BP101" i="6" a="1"/>
  <c r="BP101" i="6" s="1"/>
  <c r="BQ101" i="6" a="1"/>
  <c r="BQ101" i="6" s="1"/>
  <c r="BP102" i="6" a="1"/>
  <c r="BP102" i="6" s="1"/>
  <c r="BQ102" i="6" a="1"/>
  <c r="BQ102" i="6" s="1"/>
  <c r="BP103" i="6" a="1"/>
  <c r="BP103" i="6" s="1"/>
  <c r="BQ103" i="6" a="1"/>
  <c r="BQ103" i="6" s="1"/>
  <c r="BP104" i="6" a="1"/>
  <c r="BP104" i="6" s="1"/>
  <c r="BQ104" i="6" a="1"/>
  <c r="BQ104" i="6" s="1"/>
  <c r="BP105" i="6" a="1"/>
  <c r="BP105" i="6" s="1"/>
  <c r="BQ105" i="6" a="1"/>
  <c r="BQ105" i="6" s="1"/>
  <c r="BP77" i="6" a="1"/>
  <c r="BP77" i="6" s="1"/>
  <c r="BQ77" i="6" a="1"/>
  <c r="BQ77" i="6" s="1"/>
  <c r="BQ76" i="6" a="1"/>
  <c r="BQ76" i="6" s="1"/>
  <c r="BP76" i="6" a="1"/>
  <c r="BP76" i="6" s="1"/>
  <c r="BQ106" i="6" a="1"/>
  <c r="BQ106" i="6" s="1"/>
  <c r="BP106" i="6" a="1"/>
  <c r="BP106" i="6" s="1"/>
  <c r="BP42" i="6" a="1"/>
  <c r="BP42" i="6" s="1"/>
  <c r="BQ42" i="6" a="1"/>
  <c r="BQ42" i="6" s="1"/>
  <c r="BP43" i="6" a="1"/>
  <c r="BP43" i="6" s="1"/>
  <c r="BQ43" i="6" a="1"/>
  <c r="BQ43" i="6" s="1"/>
  <c r="BP44" i="6" a="1"/>
  <c r="BP44" i="6" s="1"/>
  <c r="BQ44" i="6" a="1"/>
  <c r="BQ44" i="6" s="1"/>
  <c r="BP45" i="6" a="1"/>
  <c r="BP45" i="6" s="1"/>
  <c r="BQ45" i="6" a="1"/>
  <c r="BQ45" i="6" s="1"/>
  <c r="BP46" i="6" a="1"/>
  <c r="BP46" i="6" s="1"/>
  <c r="BQ46" i="6" a="1"/>
  <c r="BQ46" i="6" s="1"/>
  <c r="BP47" i="6" a="1"/>
  <c r="BP47" i="6" s="1"/>
  <c r="BQ47" i="6" a="1"/>
  <c r="BQ47" i="6" s="1"/>
  <c r="BP48" i="6" a="1"/>
  <c r="BP48" i="6" s="1"/>
  <c r="BQ48" i="6" a="1"/>
  <c r="BQ48" i="6" s="1"/>
  <c r="BP49" i="6" a="1"/>
  <c r="BP49" i="6" s="1"/>
  <c r="BQ49" i="6" a="1"/>
  <c r="BQ49" i="6" s="1"/>
  <c r="BP50" i="6" a="1"/>
  <c r="BP50" i="6" s="1"/>
  <c r="BQ50" i="6" a="1"/>
  <c r="BQ50" i="6" s="1"/>
  <c r="BP51" i="6" a="1"/>
  <c r="BP51" i="6" s="1"/>
  <c r="BQ51" i="6" a="1"/>
  <c r="BQ51" i="6" s="1"/>
  <c r="BP52" i="6" a="1"/>
  <c r="BP52" i="6" s="1"/>
  <c r="BQ52" i="6" a="1"/>
  <c r="BQ52" i="6" s="1"/>
  <c r="BP53" i="6" a="1"/>
  <c r="BP53" i="6" s="1"/>
  <c r="BQ53" i="6" a="1"/>
  <c r="BQ53" i="6" s="1"/>
  <c r="BP54" i="6" a="1"/>
  <c r="BP54" i="6" s="1"/>
  <c r="BQ54" i="6" a="1"/>
  <c r="BQ54" i="6" s="1"/>
  <c r="BP55" i="6" a="1"/>
  <c r="BP55" i="6" s="1"/>
  <c r="BQ55" i="6" a="1"/>
  <c r="BQ55" i="6" s="1"/>
  <c r="BP56" i="6" a="1"/>
  <c r="BP56" i="6" s="1"/>
  <c r="BQ56" i="6" a="1"/>
  <c r="BQ56" i="6" s="1"/>
  <c r="BP57" i="6" a="1"/>
  <c r="BP57" i="6" s="1"/>
  <c r="BQ57" i="6" a="1"/>
  <c r="BQ57" i="6" s="1"/>
  <c r="BP58" i="6" a="1"/>
  <c r="BP58" i="6" s="1"/>
  <c r="BQ58" i="6" a="1"/>
  <c r="BQ58" i="6" s="1"/>
  <c r="BP59" i="6" a="1"/>
  <c r="BP59" i="6" s="1"/>
  <c r="BQ59" i="6" a="1"/>
  <c r="BQ59" i="6" s="1"/>
  <c r="BP60" i="6" a="1"/>
  <c r="BP60" i="6" s="1"/>
  <c r="BQ60" i="6" a="1"/>
  <c r="BQ60" i="6" s="1"/>
  <c r="BP61" i="6" a="1"/>
  <c r="BP61" i="6" s="1"/>
  <c r="BQ61" i="6" a="1"/>
  <c r="BQ61" i="6" s="1"/>
  <c r="BP62" i="6" a="1"/>
  <c r="BP62" i="6" s="1"/>
  <c r="BQ62" i="6" a="1"/>
  <c r="BQ62" i="6" s="1"/>
  <c r="BP63" i="6" a="1"/>
  <c r="BP63" i="6" s="1"/>
  <c r="BQ63" i="6" a="1"/>
  <c r="BQ63" i="6" s="1"/>
  <c r="BP64" i="6" a="1"/>
  <c r="BP64" i="6" s="1"/>
  <c r="BQ64" i="6" a="1"/>
  <c r="BQ64" i="6" s="1"/>
  <c r="BP65" i="6" a="1"/>
  <c r="BP65" i="6" s="1"/>
  <c r="BQ65" i="6" a="1"/>
  <c r="BQ65" i="6" s="1"/>
  <c r="BP66" i="6" a="1"/>
  <c r="BP66" i="6" s="1"/>
  <c r="BQ66" i="6" a="1"/>
  <c r="BQ66" i="6" s="1"/>
  <c r="BP67" i="6" a="1"/>
  <c r="BP67" i="6" s="1"/>
  <c r="BQ67" i="6" a="1"/>
  <c r="BQ67" i="6" s="1"/>
  <c r="BP68" i="6" a="1"/>
  <c r="BP68" i="6" s="1"/>
  <c r="BQ68" i="6" a="1"/>
  <c r="BQ68" i="6" s="1"/>
  <c r="BP69" i="6" a="1"/>
  <c r="BP69" i="6" s="1"/>
  <c r="BQ69" i="6" a="1"/>
  <c r="BQ69" i="6" s="1"/>
  <c r="BQ41" i="6" a="1"/>
  <c r="BQ41" i="6" s="1"/>
  <c r="BP41" i="6" a="1"/>
  <c r="BP41" i="6" s="1"/>
  <c r="BQ70" i="6" a="1"/>
  <c r="BQ70" i="6" s="1"/>
  <c r="BP70" i="6" a="1"/>
  <c r="BP70" i="6" s="1"/>
  <c r="BB42" i="6" a="1"/>
  <c r="BB42" i="6" s="1"/>
  <c r="BC42" i="6" a="1"/>
  <c r="BC42" i="6" s="1"/>
  <c r="BB43" i="6" a="1"/>
  <c r="BB43" i="6" s="1"/>
  <c r="BC43" i="6" a="1"/>
  <c r="BC43" i="6" s="1"/>
  <c r="BB44" i="6" a="1"/>
  <c r="BB44" i="6" s="1"/>
  <c r="BC44" i="6" a="1"/>
  <c r="BC44" i="6" s="1"/>
  <c r="BB45" i="6" a="1"/>
  <c r="BB45" i="6" s="1"/>
  <c r="BC45" i="6" a="1"/>
  <c r="BC45" i="6" s="1"/>
  <c r="BB46" i="6" a="1"/>
  <c r="BB46" i="6" s="1"/>
  <c r="BC46" i="6" a="1"/>
  <c r="BC46" i="6" s="1"/>
  <c r="BB47" i="6" a="1"/>
  <c r="BB47" i="6" s="1"/>
  <c r="BC47" i="6" a="1"/>
  <c r="BC47" i="6" s="1"/>
  <c r="BB48" i="6" a="1"/>
  <c r="BB48" i="6" s="1"/>
  <c r="BC48" i="6" a="1"/>
  <c r="BC48" i="6" s="1"/>
  <c r="BB49" i="6" a="1"/>
  <c r="BB49" i="6" s="1"/>
  <c r="BC49" i="6" a="1"/>
  <c r="BC49" i="6" s="1"/>
  <c r="BB50" i="6" a="1"/>
  <c r="BB50" i="6" s="1"/>
  <c r="BC50" i="6" a="1"/>
  <c r="BC50" i="6" s="1"/>
  <c r="BB51" i="6" a="1"/>
  <c r="BB51" i="6" s="1"/>
  <c r="BC51" i="6" a="1"/>
  <c r="BC51" i="6" s="1"/>
  <c r="BB52" i="6" a="1"/>
  <c r="BB52" i="6" s="1"/>
  <c r="BC52" i="6" a="1"/>
  <c r="BC52" i="6" s="1"/>
  <c r="BB53" i="6" a="1"/>
  <c r="BB53" i="6" s="1"/>
  <c r="BC53" i="6" a="1"/>
  <c r="BC53" i="6" s="1"/>
  <c r="BB54" i="6" a="1"/>
  <c r="BB54" i="6" s="1"/>
  <c r="BC54" i="6" a="1"/>
  <c r="BC54" i="6" s="1"/>
  <c r="BB55" i="6" a="1"/>
  <c r="BB55" i="6" s="1"/>
  <c r="BC55" i="6" a="1"/>
  <c r="BC55" i="6" s="1"/>
  <c r="BB56" i="6" a="1"/>
  <c r="BB56" i="6" s="1"/>
  <c r="BC56" i="6" a="1"/>
  <c r="BC56" i="6" s="1"/>
  <c r="BB57" i="6" a="1"/>
  <c r="BB57" i="6" s="1"/>
  <c r="BC57" i="6" a="1"/>
  <c r="BC57" i="6" s="1"/>
  <c r="BB58" i="6" a="1"/>
  <c r="BB58" i="6" s="1"/>
  <c r="BC58" i="6" a="1"/>
  <c r="BC58" i="6" s="1"/>
  <c r="BB59" i="6" a="1"/>
  <c r="BB59" i="6" s="1"/>
  <c r="BC59" i="6" a="1"/>
  <c r="BC59" i="6" s="1"/>
  <c r="BB60" i="6" a="1"/>
  <c r="BB60" i="6" s="1"/>
  <c r="BC60" i="6" a="1"/>
  <c r="BC60" i="6" s="1"/>
  <c r="BB61" i="6" a="1"/>
  <c r="BB61" i="6" s="1"/>
  <c r="BC61" i="6" a="1"/>
  <c r="BC61" i="6" s="1"/>
  <c r="BB62" i="6" a="1"/>
  <c r="BB62" i="6" s="1"/>
  <c r="BC62" i="6" a="1"/>
  <c r="BC62" i="6" s="1"/>
  <c r="BB63" i="6" a="1"/>
  <c r="BB63" i="6" s="1"/>
  <c r="BC63" i="6" a="1"/>
  <c r="BC63" i="6" s="1"/>
  <c r="BB64" i="6" a="1"/>
  <c r="BB64" i="6" s="1"/>
  <c r="BC64" i="6" a="1"/>
  <c r="BC64" i="6" s="1"/>
  <c r="BB65" i="6" a="1"/>
  <c r="BB65" i="6" s="1"/>
  <c r="BC65" i="6" a="1"/>
  <c r="BC65" i="6" s="1"/>
  <c r="BB66" i="6" a="1"/>
  <c r="BB66" i="6" s="1"/>
  <c r="BC66" i="6" a="1"/>
  <c r="BC66" i="6" s="1"/>
  <c r="BB67" i="6" a="1"/>
  <c r="BB67" i="6" s="1"/>
  <c r="BC67" i="6" a="1"/>
  <c r="BC67" i="6" s="1"/>
  <c r="BB68" i="6" a="1"/>
  <c r="BB68" i="6" s="1"/>
  <c r="BC68" i="6" a="1"/>
  <c r="BC68" i="6" s="1"/>
  <c r="BB69" i="6" a="1"/>
  <c r="BB69" i="6" s="1"/>
  <c r="BC69" i="6" a="1"/>
  <c r="BC69" i="6" s="1"/>
  <c r="BB70" i="6" a="1"/>
  <c r="BB70" i="6" s="1"/>
  <c r="BC70" i="6" a="1"/>
  <c r="BC70" i="6" s="1"/>
  <c r="BB41" i="6" a="1"/>
  <c r="BB41" i="6" s="1"/>
  <c r="BC41" i="6" a="1"/>
  <c r="BC41" i="6" s="1"/>
  <c r="AO42" i="6" a="1"/>
  <c r="AO42" i="6" s="1"/>
  <c r="AN43" i="6" a="1"/>
  <c r="AN43" i="6" s="1"/>
  <c r="AO43" i="6" a="1"/>
  <c r="AO43" i="6" s="1"/>
  <c r="AN44" i="6" a="1"/>
  <c r="AN44" i="6" s="1"/>
  <c r="AO44" i="6" a="1"/>
  <c r="AO44" i="6" s="1"/>
  <c r="AN45" i="6" a="1"/>
  <c r="AN45" i="6" s="1"/>
  <c r="AO45" i="6" a="1"/>
  <c r="AO45" i="6" s="1"/>
  <c r="AN46" i="6" a="1"/>
  <c r="AN46" i="6" s="1"/>
  <c r="AO46" i="6" a="1"/>
  <c r="AO46" i="6" s="1"/>
  <c r="AN47" i="6" a="1"/>
  <c r="AN47" i="6" s="1"/>
  <c r="AO47" i="6" a="1"/>
  <c r="AO47" i="6" s="1"/>
  <c r="AN48" i="6" a="1"/>
  <c r="AN48" i="6" s="1"/>
  <c r="AO48" i="6" a="1"/>
  <c r="AO48" i="6" s="1"/>
  <c r="AN49" i="6" a="1"/>
  <c r="AN49" i="6" s="1"/>
  <c r="AO49" i="6" a="1"/>
  <c r="AO49" i="6" s="1"/>
  <c r="AN50" i="6" a="1"/>
  <c r="AN50" i="6" s="1"/>
  <c r="AO50" i="6" a="1"/>
  <c r="AO50" i="6" s="1"/>
  <c r="AN51" i="6" a="1"/>
  <c r="AN51" i="6" s="1"/>
  <c r="AO51" i="6" a="1"/>
  <c r="AO51" i="6" s="1"/>
  <c r="AN52" i="6" a="1"/>
  <c r="AN52" i="6" s="1"/>
  <c r="AO52" i="6" a="1"/>
  <c r="AO52" i="6" s="1"/>
  <c r="AN53" i="6" a="1"/>
  <c r="AN53" i="6" s="1"/>
  <c r="AO53" i="6" a="1"/>
  <c r="AO53" i="6" s="1"/>
  <c r="AN54" i="6" a="1"/>
  <c r="AN54" i="6" s="1"/>
  <c r="AO54" i="6" a="1"/>
  <c r="AO54" i="6" s="1"/>
  <c r="AN55" i="6" a="1"/>
  <c r="AN55" i="6" s="1"/>
  <c r="AO55" i="6" a="1"/>
  <c r="AO55" i="6" s="1"/>
  <c r="AN56" i="6" a="1"/>
  <c r="AN56" i="6" s="1"/>
  <c r="AO56" i="6" a="1"/>
  <c r="AO56" i="6" s="1"/>
  <c r="AN57" i="6" a="1"/>
  <c r="AN57" i="6" s="1"/>
  <c r="AO57" i="6" a="1"/>
  <c r="AO57" i="6" s="1"/>
  <c r="AN58" i="6" a="1"/>
  <c r="AN58" i="6" s="1"/>
  <c r="AO58" i="6" a="1"/>
  <c r="AO58" i="6" s="1"/>
  <c r="AN59" i="6" a="1"/>
  <c r="AN59" i="6" s="1"/>
  <c r="AO59" i="6" a="1"/>
  <c r="AO59" i="6" s="1"/>
  <c r="AN60" i="6" a="1"/>
  <c r="AN60" i="6" s="1"/>
  <c r="AO60" i="6" a="1"/>
  <c r="AO60" i="6" s="1"/>
  <c r="AN61" i="6" a="1"/>
  <c r="AN61" i="6" s="1"/>
  <c r="AO61" i="6" a="1"/>
  <c r="AO61" i="6" s="1"/>
  <c r="AN62" i="6" a="1"/>
  <c r="AN62" i="6" s="1"/>
  <c r="AO62" i="6" a="1"/>
  <c r="AO62" i="6" s="1"/>
  <c r="AN63" i="6" a="1"/>
  <c r="AN63" i="6" s="1"/>
  <c r="AO63" i="6" a="1"/>
  <c r="AO63" i="6" s="1"/>
  <c r="AN64" i="6" a="1"/>
  <c r="AN64" i="6" s="1"/>
  <c r="AO64" i="6" a="1"/>
  <c r="AO64" i="6" s="1"/>
  <c r="AN65" i="6" a="1"/>
  <c r="AN65" i="6" s="1"/>
  <c r="AO65" i="6" a="1"/>
  <c r="AO65" i="6" s="1"/>
  <c r="AN66" i="6" a="1"/>
  <c r="AN66" i="6" s="1"/>
  <c r="AO66" i="6" a="1"/>
  <c r="AO66" i="6" s="1"/>
  <c r="AN67" i="6" a="1"/>
  <c r="AN67" i="6" s="1"/>
  <c r="AO67" i="6" a="1"/>
  <c r="AO67" i="6" s="1"/>
  <c r="AN68" i="6" a="1"/>
  <c r="AN68" i="6" s="1"/>
  <c r="AO68" i="6" a="1"/>
  <c r="AO68" i="6" s="1"/>
  <c r="AN69" i="6" a="1"/>
  <c r="AN69" i="6" s="1"/>
  <c r="AO69" i="6" a="1"/>
  <c r="AO69" i="6" s="1"/>
  <c r="AN70" i="6" a="1"/>
  <c r="AN70" i="6" s="1"/>
  <c r="AO70" i="6" a="1"/>
  <c r="AO70" i="6" s="1"/>
  <c r="AN71" i="6" a="1"/>
  <c r="AN71" i="6" s="1"/>
  <c r="AO71" i="6" a="1"/>
  <c r="AO71" i="6" s="1"/>
  <c r="AN41" i="6" a="1"/>
  <c r="AN41" i="6" s="1"/>
  <c r="AO41" i="6" a="1"/>
  <c r="AO41" i="6" s="1"/>
  <c r="Z42" i="6" a="1"/>
  <c r="Z42" i="6" s="1"/>
  <c r="AA42" i="6" a="1"/>
  <c r="AA42" i="6" s="1"/>
  <c r="Z43" i="6" a="1"/>
  <c r="Z43" i="6" s="1"/>
  <c r="AA43" i="6" a="1"/>
  <c r="AA43" i="6" s="1"/>
  <c r="Z44" i="6" a="1"/>
  <c r="Z44" i="6" s="1"/>
  <c r="AA44" i="6" a="1"/>
  <c r="AA44" i="6" s="1"/>
  <c r="Z45" i="6" a="1"/>
  <c r="Z45" i="6" s="1"/>
  <c r="AA45" i="6" a="1"/>
  <c r="AA45" i="6" s="1"/>
  <c r="Z46" i="6" a="1"/>
  <c r="Z46" i="6" s="1"/>
  <c r="AA46" i="6" a="1"/>
  <c r="AA46" i="6" s="1"/>
  <c r="Z47" i="6" a="1"/>
  <c r="Z47" i="6" s="1"/>
  <c r="AA47" i="6" a="1"/>
  <c r="AA47" i="6" s="1"/>
  <c r="Z48" i="6" a="1"/>
  <c r="Z48" i="6" s="1"/>
  <c r="AA48" i="6" a="1"/>
  <c r="AA48" i="6" s="1"/>
  <c r="Z49" i="6" a="1"/>
  <c r="Z49" i="6" s="1"/>
  <c r="AA49" i="6" a="1"/>
  <c r="AA49" i="6" s="1"/>
  <c r="Z50" i="6" a="1"/>
  <c r="Z50" i="6" s="1"/>
  <c r="AA50" i="6" a="1"/>
  <c r="AA50" i="6" s="1"/>
  <c r="Z51" i="6" a="1"/>
  <c r="Z51" i="6" s="1"/>
  <c r="AA51" i="6" a="1"/>
  <c r="AA51" i="6" s="1"/>
  <c r="Z52" i="6" a="1"/>
  <c r="Z52" i="6" s="1"/>
  <c r="AA52" i="6" a="1"/>
  <c r="AA52" i="6" s="1"/>
  <c r="Z53" i="6" a="1"/>
  <c r="Z53" i="6" s="1"/>
  <c r="AA53" i="6" a="1"/>
  <c r="AA53" i="6" s="1"/>
  <c r="Z54" i="6" a="1"/>
  <c r="Z54" i="6" s="1"/>
  <c r="AA54" i="6" a="1"/>
  <c r="AA54" i="6" s="1"/>
  <c r="Z55" i="6" a="1"/>
  <c r="Z55" i="6" s="1"/>
  <c r="AA55" i="6" a="1"/>
  <c r="AA55" i="6" s="1"/>
  <c r="Z56" i="6" a="1"/>
  <c r="Z56" i="6" s="1"/>
  <c r="AA56" i="6" a="1"/>
  <c r="AA56" i="6" s="1"/>
  <c r="Z57" i="6" a="1"/>
  <c r="Z57" i="6" s="1"/>
  <c r="AA57" i="6" a="1"/>
  <c r="AA57" i="6" s="1"/>
  <c r="Z58" i="6" a="1"/>
  <c r="Z58" i="6" s="1"/>
  <c r="AA58" i="6" a="1"/>
  <c r="AA58" i="6" s="1"/>
  <c r="Z59" i="6" a="1"/>
  <c r="Z59" i="6" s="1"/>
  <c r="AA59" i="6" a="1"/>
  <c r="AA59" i="6" s="1"/>
  <c r="Z60" i="6" a="1"/>
  <c r="Z60" i="6" s="1"/>
  <c r="AA60" i="6" a="1"/>
  <c r="AA60" i="6" s="1"/>
  <c r="Z61" i="6" a="1"/>
  <c r="Z61" i="6" s="1"/>
  <c r="AA61" i="6" a="1"/>
  <c r="AA61" i="6" s="1"/>
  <c r="Z62" i="6" a="1"/>
  <c r="Z62" i="6" s="1"/>
  <c r="AA62" i="6" a="1"/>
  <c r="AA62" i="6" s="1"/>
  <c r="Z63" i="6" a="1"/>
  <c r="Z63" i="6" s="1"/>
  <c r="AA63" i="6" a="1"/>
  <c r="AA63" i="6" s="1"/>
  <c r="Z64" i="6" a="1"/>
  <c r="Z64" i="6" s="1"/>
  <c r="AA64" i="6" a="1"/>
  <c r="AA64" i="6" s="1"/>
  <c r="Z65" i="6" a="1"/>
  <c r="Z65" i="6" s="1"/>
  <c r="AA65" i="6" a="1"/>
  <c r="AA65" i="6" s="1"/>
  <c r="Z66" i="6" a="1"/>
  <c r="Z66" i="6" s="1"/>
  <c r="AA66" i="6" a="1"/>
  <c r="AA66" i="6" s="1"/>
  <c r="Z67" i="6" a="1"/>
  <c r="Z67" i="6" s="1"/>
  <c r="AA67" i="6" a="1"/>
  <c r="AA67" i="6" s="1"/>
  <c r="Z68" i="6" a="1"/>
  <c r="Z68" i="6" s="1"/>
  <c r="AA68" i="6" a="1"/>
  <c r="AA68" i="6" s="1"/>
  <c r="Z69" i="6" a="1"/>
  <c r="Z69" i="6" s="1"/>
  <c r="AA69" i="6" a="1"/>
  <c r="AA69" i="6" s="1"/>
  <c r="Z70" i="6" a="1"/>
  <c r="Z70" i="6" s="1"/>
  <c r="AA70" i="6" a="1"/>
  <c r="AA70" i="6" s="1"/>
  <c r="Z71" i="6" a="1"/>
  <c r="Z71" i="6" s="1"/>
  <c r="AA71" i="6" a="1"/>
  <c r="AA71" i="6" s="1"/>
  <c r="AA41" i="6" a="1"/>
  <c r="AA41" i="6" s="1"/>
  <c r="Z41" i="6" a="1"/>
  <c r="Z41" i="6" s="1"/>
  <c r="M105" i="6" a="1"/>
  <c r="M105" i="6" s="1"/>
  <c r="M104" i="6" a="1"/>
  <c r="M104" i="6" s="1"/>
  <c r="M103" i="6" a="1"/>
  <c r="M103" i="6" s="1"/>
  <c r="M102" i="6" a="1"/>
  <c r="M102" i="6" s="1"/>
  <c r="M101" i="6" a="1"/>
  <c r="M101" i="6" s="1"/>
  <c r="M100" i="6" a="1"/>
  <c r="M100" i="6" s="1"/>
  <c r="M99" i="6" a="1"/>
  <c r="M99" i="6" s="1"/>
  <c r="M98" i="6" a="1"/>
  <c r="M98" i="6" s="1"/>
  <c r="M97" i="6" a="1"/>
  <c r="M97" i="6" s="1"/>
  <c r="M96" i="6" a="1"/>
  <c r="M96" i="6" s="1"/>
  <c r="M95" i="6" a="1"/>
  <c r="M95" i="6" s="1"/>
  <c r="M94" i="6" a="1"/>
  <c r="M94" i="6" s="1"/>
  <c r="M93" i="6" a="1"/>
  <c r="M93" i="6" s="1"/>
  <c r="M92" i="6" a="1"/>
  <c r="M92" i="6" s="1"/>
  <c r="M91" i="6" a="1"/>
  <c r="M91" i="6" s="1"/>
  <c r="M90" i="6" a="1"/>
  <c r="M90" i="6" s="1"/>
  <c r="M89" i="6" a="1"/>
  <c r="M89" i="6" s="1"/>
  <c r="M88" i="6" a="1"/>
  <c r="M88" i="6" s="1"/>
  <c r="M87" i="6" a="1"/>
  <c r="M87" i="6" s="1"/>
  <c r="M86" i="6" a="1"/>
  <c r="M86" i="6" s="1"/>
  <c r="M85" i="6" a="1"/>
  <c r="M85" i="6" s="1"/>
  <c r="M84" i="6" a="1"/>
  <c r="M84" i="6" s="1"/>
  <c r="M83" i="6" a="1"/>
  <c r="M83" i="6" s="1"/>
  <c r="M82" i="6" a="1"/>
  <c r="M82" i="6" s="1"/>
  <c r="M81" i="6" a="1"/>
  <c r="M81" i="6" s="1"/>
  <c r="M80" i="6" a="1"/>
  <c r="M80" i="6" s="1"/>
  <c r="M79" i="6" a="1"/>
  <c r="M79" i="6" s="1"/>
  <c r="M78" i="6" a="1"/>
  <c r="M78" i="6" s="1"/>
  <c r="M77" i="6" a="1"/>
  <c r="M77" i="6" s="1"/>
  <c r="M76" i="6" a="1"/>
  <c r="M76" i="6" s="1"/>
  <c r="L77" i="6" a="1"/>
  <c r="L77" i="6" s="1"/>
  <c r="L78" i="6" a="1"/>
  <c r="L78" i="6" s="1"/>
  <c r="L79" i="6" a="1"/>
  <c r="L79" i="6" s="1"/>
  <c r="L80" i="6" a="1"/>
  <c r="L80" i="6" s="1"/>
  <c r="L81" i="6" a="1"/>
  <c r="L81" i="6" s="1"/>
  <c r="L82" i="6" a="1"/>
  <c r="L82" i="6" s="1"/>
  <c r="L83" i="6" a="1"/>
  <c r="L83" i="6" s="1"/>
  <c r="L84" i="6" a="1"/>
  <c r="L84" i="6" s="1"/>
  <c r="L85" i="6" a="1"/>
  <c r="L85" i="6" s="1"/>
  <c r="L86" i="6" a="1"/>
  <c r="L86" i="6" s="1"/>
  <c r="L87" i="6" a="1"/>
  <c r="L87" i="6" s="1"/>
  <c r="L88" i="6" a="1"/>
  <c r="L88" i="6" s="1"/>
  <c r="L89" i="6" a="1"/>
  <c r="L89" i="6" s="1"/>
  <c r="L90" i="6" a="1"/>
  <c r="L90" i="6" s="1"/>
  <c r="L91" i="6" a="1"/>
  <c r="L91" i="6" s="1"/>
  <c r="L92" i="6" a="1"/>
  <c r="L92" i="6" s="1"/>
  <c r="L93" i="6" a="1"/>
  <c r="L93" i="6" s="1"/>
  <c r="L94" i="6" a="1"/>
  <c r="L94" i="6" s="1"/>
  <c r="L95" i="6" a="1"/>
  <c r="L95" i="6" s="1"/>
  <c r="L96" i="6" a="1"/>
  <c r="L96" i="6" s="1"/>
  <c r="L97" i="6" a="1"/>
  <c r="L97" i="6" s="1"/>
  <c r="L98" i="6" a="1"/>
  <c r="L98" i="6" s="1"/>
  <c r="L99" i="6" a="1"/>
  <c r="L99" i="6" s="1"/>
  <c r="L100" i="6" a="1"/>
  <c r="L100" i="6" s="1"/>
  <c r="L101" i="6" a="1"/>
  <c r="L101" i="6" s="1"/>
  <c r="L102" i="6" a="1"/>
  <c r="L102" i="6" s="1"/>
  <c r="L103" i="6" a="1"/>
  <c r="L103" i="6" s="1"/>
  <c r="L104" i="6" a="1"/>
  <c r="L104" i="6" s="1"/>
  <c r="L105" i="6" a="1"/>
  <c r="L105" i="6" s="1"/>
  <c r="L76" i="6" a="1"/>
  <c r="L76" i="6" s="1"/>
  <c r="B187" i="6"/>
  <c r="B186" i="6"/>
  <c r="B185" i="6"/>
  <c r="B184" i="6"/>
  <c r="B183" i="6"/>
  <c r="N115" i="6"/>
  <c r="N114" i="6"/>
  <c r="N113" i="6"/>
  <c r="N112" i="6"/>
  <c r="N111" i="6"/>
  <c r="B142" i="6"/>
  <c r="B141" i="6"/>
  <c r="B140" i="6"/>
  <c r="B139" i="6"/>
  <c r="B138" i="6"/>
  <c r="BF77" i="6"/>
  <c r="BG77" i="6"/>
  <c r="BH77" i="6"/>
  <c r="BI77" i="6"/>
  <c r="BJ77" i="6"/>
  <c r="BK77" i="6"/>
  <c r="BF78" i="6"/>
  <c r="BG78" i="6"/>
  <c r="BH78" i="6"/>
  <c r="BI78" i="6"/>
  <c r="BJ78" i="6"/>
  <c r="BK78" i="6"/>
  <c r="BF79" i="6"/>
  <c r="BG79" i="6"/>
  <c r="BH79" i="6"/>
  <c r="BI79" i="6"/>
  <c r="BJ79" i="6"/>
  <c r="BK79" i="6"/>
  <c r="BF80" i="6"/>
  <c r="BG80" i="6"/>
  <c r="BH80" i="6"/>
  <c r="BI80" i="6"/>
  <c r="BJ80" i="6"/>
  <c r="BK80" i="6"/>
  <c r="BF81" i="6"/>
  <c r="BG81" i="6"/>
  <c r="BH81" i="6"/>
  <c r="BI81" i="6"/>
  <c r="BJ81" i="6"/>
  <c r="BK81" i="6"/>
  <c r="BF82" i="6"/>
  <c r="BG82" i="6"/>
  <c r="BH82" i="6"/>
  <c r="BI82" i="6"/>
  <c r="BJ82" i="6"/>
  <c r="BK82" i="6"/>
  <c r="BF83" i="6"/>
  <c r="BG83" i="6"/>
  <c r="BH83" i="6"/>
  <c r="BI83" i="6"/>
  <c r="BJ83" i="6"/>
  <c r="BK83" i="6"/>
  <c r="BF84" i="6"/>
  <c r="BG84" i="6"/>
  <c r="BH84" i="6"/>
  <c r="BI84" i="6"/>
  <c r="BJ84" i="6"/>
  <c r="BK84" i="6"/>
  <c r="BF85" i="6"/>
  <c r="BG85" i="6"/>
  <c r="BH85" i="6"/>
  <c r="BI85" i="6"/>
  <c r="BJ85" i="6"/>
  <c r="BK85" i="6"/>
  <c r="BF86" i="6"/>
  <c r="BG86" i="6"/>
  <c r="BH86" i="6"/>
  <c r="BI86" i="6"/>
  <c r="BJ86" i="6"/>
  <c r="BK86" i="6"/>
  <c r="BF87" i="6"/>
  <c r="BG87" i="6"/>
  <c r="BH87" i="6"/>
  <c r="BI87" i="6"/>
  <c r="BJ87" i="6"/>
  <c r="BK87" i="6"/>
  <c r="BF88" i="6"/>
  <c r="BG88" i="6"/>
  <c r="BH88" i="6"/>
  <c r="BI88" i="6"/>
  <c r="BJ88" i="6"/>
  <c r="BK88" i="6"/>
  <c r="BF89" i="6"/>
  <c r="BG89" i="6"/>
  <c r="BH89" i="6"/>
  <c r="BI89" i="6"/>
  <c r="BJ89" i="6"/>
  <c r="BK89" i="6"/>
  <c r="BF90" i="6"/>
  <c r="BG90" i="6"/>
  <c r="BH90" i="6"/>
  <c r="BI90" i="6"/>
  <c r="BJ90" i="6"/>
  <c r="BK90" i="6"/>
  <c r="BF91" i="6"/>
  <c r="BG91" i="6"/>
  <c r="BH91" i="6"/>
  <c r="BI91" i="6"/>
  <c r="BJ91" i="6"/>
  <c r="BK91" i="6"/>
  <c r="BF92" i="6"/>
  <c r="BG92" i="6"/>
  <c r="BH92" i="6"/>
  <c r="BI92" i="6"/>
  <c r="BJ92" i="6"/>
  <c r="BK92" i="6"/>
  <c r="BF93" i="6"/>
  <c r="BG93" i="6"/>
  <c r="BH93" i="6"/>
  <c r="BI93" i="6"/>
  <c r="BJ93" i="6"/>
  <c r="BK93" i="6"/>
  <c r="BF94" i="6"/>
  <c r="BG94" i="6"/>
  <c r="BH94" i="6"/>
  <c r="BI94" i="6"/>
  <c r="BJ94" i="6"/>
  <c r="BK94" i="6"/>
  <c r="BF95" i="6"/>
  <c r="BG95" i="6"/>
  <c r="BH95" i="6"/>
  <c r="BI95" i="6"/>
  <c r="BJ95" i="6"/>
  <c r="BK95" i="6"/>
  <c r="BF96" i="6"/>
  <c r="BG96" i="6"/>
  <c r="BH96" i="6"/>
  <c r="BI96" i="6"/>
  <c r="BJ96" i="6"/>
  <c r="BK96" i="6"/>
  <c r="BF97" i="6"/>
  <c r="BG97" i="6"/>
  <c r="BH97" i="6"/>
  <c r="BI97" i="6"/>
  <c r="BJ97" i="6"/>
  <c r="BK97" i="6"/>
  <c r="BF98" i="6"/>
  <c r="BG98" i="6"/>
  <c r="BH98" i="6"/>
  <c r="BI98" i="6"/>
  <c r="BJ98" i="6"/>
  <c r="BK98" i="6"/>
  <c r="BF99" i="6"/>
  <c r="BG99" i="6"/>
  <c r="BH99" i="6"/>
  <c r="BI99" i="6"/>
  <c r="BJ99" i="6"/>
  <c r="BK99" i="6"/>
  <c r="BF100" i="6"/>
  <c r="BG100" i="6"/>
  <c r="BH100" i="6"/>
  <c r="BI100" i="6"/>
  <c r="BJ100" i="6"/>
  <c r="BK100" i="6"/>
  <c r="BF101" i="6"/>
  <c r="BG101" i="6"/>
  <c r="BH101" i="6"/>
  <c r="BI101" i="6"/>
  <c r="BJ101" i="6"/>
  <c r="BK101" i="6"/>
  <c r="BF102" i="6"/>
  <c r="BG102" i="6"/>
  <c r="BH102" i="6"/>
  <c r="BI102" i="6"/>
  <c r="BJ102" i="6"/>
  <c r="BK102" i="6"/>
  <c r="BF103" i="6"/>
  <c r="BG103" i="6"/>
  <c r="BH103" i="6"/>
  <c r="BI103" i="6"/>
  <c r="BJ103" i="6"/>
  <c r="BK103" i="6"/>
  <c r="BF104" i="6"/>
  <c r="BG104" i="6"/>
  <c r="BH104" i="6"/>
  <c r="BI104" i="6"/>
  <c r="BJ104" i="6"/>
  <c r="BK104" i="6"/>
  <c r="BF105" i="6"/>
  <c r="BG105" i="6"/>
  <c r="BH105" i="6"/>
  <c r="BI105" i="6"/>
  <c r="BJ105" i="6"/>
  <c r="BK105" i="6"/>
  <c r="BF106" i="6"/>
  <c r="BG106" i="6"/>
  <c r="BH106" i="6"/>
  <c r="BI106" i="6"/>
  <c r="BJ106" i="6"/>
  <c r="BK106" i="6"/>
  <c r="BK76" i="6"/>
  <c r="BJ76" i="6"/>
  <c r="BI76" i="6"/>
  <c r="BH76" i="6"/>
  <c r="BG76" i="6"/>
  <c r="BF76" i="6"/>
  <c r="BF42" i="6"/>
  <c r="BG42" i="6"/>
  <c r="BH42" i="6"/>
  <c r="BI42" i="6"/>
  <c r="BJ42" i="6"/>
  <c r="BK42" i="6"/>
  <c r="BF43" i="6"/>
  <c r="BG43" i="6"/>
  <c r="BH43" i="6"/>
  <c r="BI43" i="6"/>
  <c r="BJ43" i="6"/>
  <c r="BK43" i="6"/>
  <c r="BF44" i="6"/>
  <c r="BG44" i="6"/>
  <c r="BH44" i="6"/>
  <c r="BI44" i="6"/>
  <c r="BJ44" i="6"/>
  <c r="BK44" i="6"/>
  <c r="BF45" i="6"/>
  <c r="BG45" i="6"/>
  <c r="BH45" i="6"/>
  <c r="BI45" i="6"/>
  <c r="BJ45" i="6"/>
  <c r="BK45" i="6"/>
  <c r="BF46" i="6"/>
  <c r="BG46" i="6"/>
  <c r="BH46" i="6"/>
  <c r="BI46" i="6"/>
  <c r="BJ46" i="6"/>
  <c r="BK46" i="6"/>
  <c r="BF47" i="6"/>
  <c r="BG47" i="6"/>
  <c r="BH47" i="6"/>
  <c r="BI47" i="6"/>
  <c r="BJ47" i="6"/>
  <c r="BK47" i="6"/>
  <c r="BF48" i="6"/>
  <c r="BG48" i="6"/>
  <c r="BH48" i="6"/>
  <c r="BI48" i="6"/>
  <c r="BJ48" i="6"/>
  <c r="BK48" i="6"/>
  <c r="BF49" i="6"/>
  <c r="BG49" i="6"/>
  <c r="BH49" i="6"/>
  <c r="BI49" i="6"/>
  <c r="BJ49" i="6"/>
  <c r="BK49" i="6"/>
  <c r="BF50" i="6"/>
  <c r="BG50" i="6"/>
  <c r="BH50" i="6"/>
  <c r="BI50" i="6"/>
  <c r="BJ50" i="6"/>
  <c r="BK50" i="6"/>
  <c r="BF51" i="6"/>
  <c r="BG51" i="6"/>
  <c r="BH51" i="6"/>
  <c r="BI51" i="6"/>
  <c r="BJ51" i="6"/>
  <c r="BK51" i="6"/>
  <c r="BF52" i="6"/>
  <c r="BG52" i="6"/>
  <c r="BH52" i="6"/>
  <c r="BI52" i="6"/>
  <c r="BJ52" i="6"/>
  <c r="BK52" i="6"/>
  <c r="BF53" i="6"/>
  <c r="BG53" i="6"/>
  <c r="BH53" i="6"/>
  <c r="BI53" i="6"/>
  <c r="BJ53" i="6"/>
  <c r="BK53" i="6"/>
  <c r="BF54" i="6"/>
  <c r="BG54" i="6"/>
  <c r="BH54" i="6"/>
  <c r="BI54" i="6"/>
  <c r="BJ54" i="6"/>
  <c r="BK54" i="6"/>
  <c r="BF55" i="6"/>
  <c r="BG55" i="6"/>
  <c r="BH55" i="6"/>
  <c r="BI55" i="6"/>
  <c r="BJ55" i="6"/>
  <c r="BK55" i="6"/>
  <c r="BF56" i="6"/>
  <c r="BG56" i="6"/>
  <c r="BH56" i="6"/>
  <c r="BI56" i="6"/>
  <c r="BJ56" i="6"/>
  <c r="BK56" i="6"/>
  <c r="BF57" i="6"/>
  <c r="BG57" i="6"/>
  <c r="BH57" i="6"/>
  <c r="BI57" i="6"/>
  <c r="BJ57" i="6"/>
  <c r="BK57" i="6"/>
  <c r="BF58" i="6"/>
  <c r="BG58" i="6"/>
  <c r="BH58" i="6"/>
  <c r="BI58" i="6"/>
  <c r="BJ58" i="6"/>
  <c r="BK58" i="6"/>
  <c r="BF59" i="6"/>
  <c r="BG59" i="6"/>
  <c r="BH59" i="6"/>
  <c r="BI59" i="6"/>
  <c r="BJ59" i="6"/>
  <c r="BK59" i="6"/>
  <c r="BF60" i="6"/>
  <c r="BG60" i="6"/>
  <c r="BH60" i="6"/>
  <c r="BI60" i="6"/>
  <c r="BJ60" i="6"/>
  <c r="BK60" i="6"/>
  <c r="BF61" i="6"/>
  <c r="BG61" i="6"/>
  <c r="BH61" i="6"/>
  <c r="BI61" i="6"/>
  <c r="BJ61" i="6"/>
  <c r="BK61" i="6"/>
  <c r="BF62" i="6"/>
  <c r="BG62" i="6"/>
  <c r="BH62" i="6"/>
  <c r="BI62" i="6"/>
  <c r="BJ62" i="6"/>
  <c r="BK62" i="6"/>
  <c r="BF63" i="6"/>
  <c r="BG63" i="6"/>
  <c r="BH63" i="6"/>
  <c r="BI63" i="6"/>
  <c r="BJ63" i="6"/>
  <c r="BK63" i="6"/>
  <c r="BF64" i="6"/>
  <c r="BG64" i="6"/>
  <c r="BH64" i="6"/>
  <c r="BI64" i="6"/>
  <c r="BJ64" i="6"/>
  <c r="BK64" i="6"/>
  <c r="BF65" i="6"/>
  <c r="BG65" i="6"/>
  <c r="BH65" i="6"/>
  <c r="BI65" i="6"/>
  <c r="BJ65" i="6"/>
  <c r="BK65" i="6"/>
  <c r="BF66" i="6"/>
  <c r="BG66" i="6"/>
  <c r="BH66" i="6"/>
  <c r="BI66" i="6"/>
  <c r="BJ66" i="6"/>
  <c r="BK66" i="6"/>
  <c r="BF67" i="6"/>
  <c r="BG67" i="6"/>
  <c r="BH67" i="6"/>
  <c r="BI67" i="6"/>
  <c r="BJ67" i="6"/>
  <c r="BK67" i="6"/>
  <c r="BF68" i="6"/>
  <c r="BG68" i="6"/>
  <c r="BH68" i="6"/>
  <c r="BI68" i="6"/>
  <c r="BJ68" i="6"/>
  <c r="BK68" i="6"/>
  <c r="BF69" i="6"/>
  <c r="BG69" i="6"/>
  <c r="BH69" i="6"/>
  <c r="BI69" i="6"/>
  <c r="BJ69" i="6"/>
  <c r="BK69" i="6"/>
  <c r="BF70" i="6"/>
  <c r="BG70" i="6"/>
  <c r="BH70" i="6"/>
  <c r="BI70" i="6"/>
  <c r="BJ70" i="6"/>
  <c r="BK70" i="6"/>
  <c r="BK41" i="6"/>
  <c r="BJ41" i="6"/>
  <c r="BI41" i="6"/>
  <c r="BH41" i="6"/>
  <c r="BG41" i="6"/>
  <c r="BF41" i="6"/>
  <c r="AR77" i="6"/>
  <c r="AS77" i="6"/>
  <c r="AT77" i="6"/>
  <c r="AU77" i="6"/>
  <c r="AV77" i="6"/>
  <c r="AW77" i="6"/>
  <c r="AR78" i="6"/>
  <c r="AS78" i="6"/>
  <c r="AT78" i="6"/>
  <c r="AU78" i="6"/>
  <c r="AV78" i="6"/>
  <c r="AW78" i="6"/>
  <c r="AR79" i="6"/>
  <c r="AS79" i="6"/>
  <c r="AT79" i="6"/>
  <c r="AU79" i="6"/>
  <c r="AV79" i="6"/>
  <c r="AW79" i="6"/>
  <c r="AR80" i="6"/>
  <c r="AS80" i="6"/>
  <c r="AT80" i="6"/>
  <c r="AU80" i="6"/>
  <c r="AV80" i="6"/>
  <c r="AW80" i="6"/>
  <c r="AR81" i="6"/>
  <c r="AS81" i="6"/>
  <c r="AT81" i="6"/>
  <c r="AU81" i="6"/>
  <c r="AV81" i="6"/>
  <c r="AW81" i="6"/>
  <c r="AR82" i="6"/>
  <c r="AS82" i="6"/>
  <c r="AT82" i="6"/>
  <c r="AU82" i="6"/>
  <c r="AV82" i="6"/>
  <c r="AW82" i="6"/>
  <c r="AR83" i="6"/>
  <c r="AS83" i="6"/>
  <c r="AT83" i="6"/>
  <c r="AU83" i="6"/>
  <c r="AV83" i="6"/>
  <c r="AW83" i="6"/>
  <c r="AR84" i="6"/>
  <c r="AS84" i="6"/>
  <c r="AT84" i="6"/>
  <c r="AU84" i="6"/>
  <c r="AV84" i="6"/>
  <c r="AW84" i="6"/>
  <c r="AR85" i="6"/>
  <c r="AS85" i="6"/>
  <c r="AT85" i="6"/>
  <c r="AU85" i="6"/>
  <c r="AV85" i="6"/>
  <c r="AW85" i="6"/>
  <c r="AR86" i="6"/>
  <c r="AS86" i="6"/>
  <c r="AT86" i="6"/>
  <c r="AU86" i="6"/>
  <c r="AV86" i="6"/>
  <c r="AW86" i="6"/>
  <c r="AR87" i="6"/>
  <c r="AS87" i="6"/>
  <c r="AT87" i="6"/>
  <c r="AU87" i="6"/>
  <c r="AV87" i="6"/>
  <c r="AW87" i="6"/>
  <c r="AR88" i="6"/>
  <c r="AS88" i="6"/>
  <c r="AT88" i="6"/>
  <c r="AU88" i="6"/>
  <c r="AV88" i="6"/>
  <c r="AW88" i="6"/>
  <c r="AR89" i="6"/>
  <c r="AS89" i="6"/>
  <c r="AT89" i="6"/>
  <c r="AU89" i="6"/>
  <c r="AV89" i="6"/>
  <c r="AW89" i="6"/>
  <c r="AR90" i="6"/>
  <c r="AS90" i="6"/>
  <c r="AT90" i="6"/>
  <c r="AU90" i="6"/>
  <c r="AV90" i="6"/>
  <c r="AW90" i="6"/>
  <c r="AR91" i="6"/>
  <c r="AS91" i="6"/>
  <c r="AT91" i="6"/>
  <c r="AU91" i="6"/>
  <c r="AV91" i="6"/>
  <c r="AW91" i="6"/>
  <c r="AR92" i="6"/>
  <c r="AS92" i="6"/>
  <c r="AT92" i="6"/>
  <c r="AU92" i="6"/>
  <c r="AV92" i="6"/>
  <c r="AW92" i="6"/>
  <c r="AR93" i="6"/>
  <c r="AS93" i="6"/>
  <c r="AT93" i="6"/>
  <c r="AU93" i="6"/>
  <c r="AV93" i="6"/>
  <c r="AW93" i="6"/>
  <c r="AR94" i="6"/>
  <c r="AS94" i="6"/>
  <c r="AT94" i="6"/>
  <c r="AU94" i="6"/>
  <c r="AV94" i="6"/>
  <c r="AW94" i="6"/>
  <c r="AR95" i="6"/>
  <c r="AS95" i="6"/>
  <c r="AT95" i="6"/>
  <c r="AU95" i="6"/>
  <c r="AV95" i="6"/>
  <c r="AW95" i="6"/>
  <c r="AR96" i="6"/>
  <c r="AS96" i="6"/>
  <c r="AT96" i="6"/>
  <c r="AU96" i="6"/>
  <c r="AV96" i="6"/>
  <c r="AW96" i="6"/>
  <c r="AR97" i="6"/>
  <c r="AS97" i="6"/>
  <c r="AT97" i="6"/>
  <c r="AU97" i="6"/>
  <c r="AV97" i="6"/>
  <c r="AW97" i="6"/>
  <c r="AR98" i="6"/>
  <c r="AS98" i="6"/>
  <c r="AT98" i="6"/>
  <c r="AU98" i="6"/>
  <c r="AV98" i="6"/>
  <c r="AW98" i="6"/>
  <c r="AR99" i="6"/>
  <c r="AS99" i="6"/>
  <c r="AT99" i="6"/>
  <c r="AU99" i="6"/>
  <c r="AV99" i="6"/>
  <c r="AW99" i="6"/>
  <c r="AR100" i="6"/>
  <c r="AS100" i="6"/>
  <c r="AT100" i="6"/>
  <c r="AU100" i="6"/>
  <c r="AV100" i="6"/>
  <c r="AW100" i="6"/>
  <c r="AR101" i="6"/>
  <c r="AS101" i="6"/>
  <c r="AT101" i="6"/>
  <c r="AU101" i="6"/>
  <c r="AV101" i="6"/>
  <c r="AW101" i="6"/>
  <c r="AR102" i="6"/>
  <c r="AS102" i="6"/>
  <c r="AT102" i="6"/>
  <c r="AU102" i="6"/>
  <c r="AV102" i="6"/>
  <c r="AW102" i="6"/>
  <c r="AR103" i="6"/>
  <c r="AS103" i="6"/>
  <c r="AT103" i="6"/>
  <c r="AU103" i="6"/>
  <c r="AV103" i="6"/>
  <c r="AW103" i="6"/>
  <c r="AR104" i="6"/>
  <c r="AS104" i="6"/>
  <c r="AT104" i="6"/>
  <c r="AU104" i="6"/>
  <c r="AV104" i="6"/>
  <c r="AW104" i="6"/>
  <c r="AR105" i="6"/>
  <c r="AS105" i="6"/>
  <c r="AT105" i="6"/>
  <c r="AU105" i="6"/>
  <c r="AV105" i="6"/>
  <c r="AW105" i="6"/>
  <c r="AR106" i="6"/>
  <c r="AS106" i="6"/>
  <c r="AT106" i="6"/>
  <c r="AU106" i="6"/>
  <c r="AV106" i="6"/>
  <c r="AW106" i="6"/>
  <c r="AW76" i="6"/>
  <c r="AV76" i="6"/>
  <c r="AU76" i="6"/>
  <c r="AT76" i="6"/>
  <c r="AS76" i="6"/>
  <c r="AR76" i="6"/>
  <c r="AR41" i="6"/>
  <c r="AR42" i="6"/>
  <c r="AW42" i="6"/>
  <c r="AR43" i="6"/>
  <c r="AU43" i="6"/>
  <c r="AR44" i="6"/>
  <c r="AU44" i="6"/>
  <c r="AR45" i="6"/>
  <c r="AS45" i="6"/>
  <c r="AT45" i="6"/>
  <c r="AU45" i="6"/>
  <c r="AV45" i="6"/>
  <c r="AW45" i="6"/>
  <c r="AR46" i="6"/>
  <c r="AS46" i="6"/>
  <c r="AT46" i="6"/>
  <c r="AU46" i="6"/>
  <c r="AV46" i="6"/>
  <c r="AW46" i="6"/>
  <c r="AR47" i="6"/>
  <c r="AS47" i="6"/>
  <c r="AT47" i="6"/>
  <c r="AU47" i="6"/>
  <c r="AV47" i="6"/>
  <c r="AW47" i="6"/>
  <c r="AR48" i="6"/>
  <c r="AW48" i="6"/>
  <c r="AR49" i="6"/>
  <c r="AR50" i="6"/>
  <c r="AS50" i="6"/>
  <c r="AR51" i="6"/>
  <c r="AR52" i="6"/>
  <c r="AS52" i="6"/>
  <c r="AT52" i="6"/>
  <c r="AU52" i="6"/>
  <c r="AV52" i="6"/>
  <c r="AW52" i="6"/>
  <c r="AR53" i="6"/>
  <c r="AS53" i="6"/>
  <c r="AT53" i="6"/>
  <c r="AU53" i="6"/>
  <c r="AV53" i="6"/>
  <c r="AW53" i="6"/>
  <c r="AR54" i="6"/>
  <c r="AR55" i="6"/>
  <c r="AR56" i="6"/>
  <c r="AR57" i="6"/>
  <c r="AU57" i="6"/>
  <c r="AR58" i="6"/>
  <c r="AR59" i="6"/>
  <c r="AS59" i="6"/>
  <c r="AT59" i="6"/>
  <c r="AU59" i="6"/>
  <c r="AV59" i="6"/>
  <c r="AW59" i="6"/>
  <c r="AR60" i="6"/>
  <c r="AS60" i="6"/>
  <c r="AT60" i="6"/>
  <c r="AU60" i="6"/>
  <c r="AV60" i="6"/>
  <c r="AW60" i="6"/>
  <c r="AR61" i="6"/>
  <c r="AU61" i="6"/>
  <c r="AU62" i="6"/>
  <c r="AW62" i="6"/>
  <c r="AR63" i="6"/>
  <c r="AS63" i="6"/>
  <c r="AR64" i="6"/>
  <c r="AR65" i="6"/>
  <c r="AS65" i="6"/>
  <c r="AT65" i="6"/>
  <c r="AU65" i="6"/>
  <c r="AV65" i="6"/>
  <c r="AW65" i="6"/>
  <c r="AR66" i="6"/>
  <c r="AS66" i="6"/>
  <c r="AT66" i="6"/>
  <c r="AU66" i="6"/>
  <c r="AV66" i="6"/>
  <c r="AW66" i="6"/>
  <c r="AR67" i="6"/>
  <c r="AS67" i="6"/>
  <c r="AT67" i="6"/>
  <c r="AU67" i="6"/>
  <c r="AV67" i="6"/>
  <c r="AW67" i="6"/>
  <c r="AR68" i="6"/>
  <c r="AU68" i="6"/>
  <c r="AR69" i="6"/>
  <c r="AS41" i="6"/>
  <c r="AD77" i="6"/>
  <c r="AE77" i="6"/>
  <c r="AF77" i="6"/>
  <c r="AG77" i="6"/>
  <c r="AH77" i="6"/>
  <c r="AI77" i="6"/>
  <c r="AD78" i="6"/>
  <c r="AG78" i="6"/>
  <c r="AD79" i="6"/>
  <c r="AD80" i="6"/>
  <c r="AI80" i="6"/>
  <c r="AD81" i="6"/>
  <c r="AD82" i="6"/>
  <c r="AD83" i="6"/>
  <c r="AE83" i="6"/>
  <c r="AF83" i="6"/>
  <c r="AG83" i="6"/>
  <c r="AH83" i="6"/>
  <c r="AI83" i="6"/>
  <c r="AD84" i="6"/>
  <c r="AE84" i="6"/>
  <c r="AF84" i="6"/>
  <c r="AG84" i="6"/>
  <c r="AH84" i="6"/>
  <c r="AI84" i="6"/>
  <c r="AD85" i="6"/>
  <c r="AG85" i="6"/>
  <c r="AD86" i="6"/>
  <c r="AD87" i="6"/>
  <c r="AD88" i="6"/>
  <c r="AD89" i="6"/>
  <c r="AE89" i="6"/>
  <c r="AG89" i="6"/>
  <c r="AH89" i="6"/>
  <c r="AI89" i="6"/>
  <c r="AD90" i="6"/>
  <c r="AE90" i="6"/>
  <c r="AF90" i="6"/>
  <c r="AG90" i="6"/>
  <c r="AH90" i="6"/>
  <c r="AI90" i="6"/>
  <c r="AD91" i="6"/>
  <c r="AE91" i="6"/>
  <c r="AF91" i="6"/>
  <c r="AG91" i="6"/>
  <c r="AH91" i="6"/>
  <c r="AI91" i="6"/>
  <c r="AD92" i="6"/>
  <c r="AG92" i="6"/>
  <c r="AD93" i="6"/>
  <c r="AE93" i="6"/>
  <c r="AD94" i="6"/>
  <c r="AE94" i="6"/>
  <c r="AD95" i="6"/>
  <c r="AD96" i="6"/>
  <c r="AE96" i="6"/>
  <c r="AF96" i="6"/>
  <c r="AG96" i="6"/>
  <c r="AH96" i="6"/>
  <c r="AI96" i="6"/>
  <c r="AD97" i="6"/>
  <c r="AE97" i="6"/>
  <c r="AF97" i="6"/>
  <c r="AG97" i="6"/>
  <c r="AH97" i="6"/>
  <c r="AI97" i="6"/>
  <c r="AD98" i="6"/>
  <c r="AE98" i="6"/>
  <c r="AF98" i="6"/>
  <c r="AG98" i="6"/>
  <c r="AH98" i="6"/>
  <c r="AI98" i="6"/>
  <c r="AD99" i="6"/>
  <c r="AE99" i="6"/>
  <c r="AF99" i="6"/>
  <c r="AG99" i="6"/>
  <c r="AH99" i="6"/>
  <c r="AI99" i="6"/>
  <c r="AD100" i="6"/>
  <c r="AE100" i="6"/>
  <c r="AF100" i="6"/>
  <c r="AG100" i="6"/>
  <c r="AH100" i="6"/>
  <c r="AI100" i="6"/>
  <c r="AD101" i="6"/>
  <c r="AE101" i="6"/>
  <c r="AF101" i="6"/>
  <c r="AG101" i="6"/>
  <c r="AH101" i="6"/>
  <c r="AI101" i="6"/>
  <c r="AD102" i="6"/>
  <c r="AE102" i="6"/>
  <c r="AF102" i="6"/>
  <c r="AG102" i="6"/>
  <c r="AH102" i="6"/>
  <c r="AI102" i="6"/>
  <c r="AD103" i="6"/>
  <c r="AE103" i="6"/>
  <c r="AF103" i="6"/>
  <c r="AG103" i="6"/>
  <c r="AH103" i="6"/>
  <c r="AI103" i="6"/>
  <c r="AD104" i="6"/>
  <c r="AE104" i="6"/>
  <c r="AF104" i="6"/>
  <c r="AG104" i="6"/>
  <c r="AH104" i="6"/>
  <c r="AI104" i="6"/>
  <c r="AD105" i="6"/>
  <c r="AE105" i="6"/>
  <c r="AF105" i="6"/>
  <c r="AG105" i="6"/>
  <c r="AH105" i="6"/>
  <c r="AI105" i="6"/>
  <c r="AD106" i="6"/>
  <c r="AI76" i="6"/>
  <c r="AH76" i="6"/>
  <c r="AG76" i="6"/>
  <c r="AF76" i="6"/>
  <c r="AE76" i="6"/>
  <c r="AD76" i="6"/>
  <c r="AD42" i="6"/>
  <c r="AG42" i="6"/>
  <c r="AD43" i="6"/>
  <c r="AD44" i="6"/>
  <c r="AE44" i="6"/>
  <c r="AF44" i="6"/>
  <c r="AG44" i="6"/>
  <c r="AH44" i="6"/>
  <c r="AI44" i="6"/>
  <c r="AD45" i="6"/>
  <c r="AE45" i="6"/>
  <c r="AF45" i="6"/>
  <c r="AG45" i="6"/>
  <c r="AH45" i="6"/>
  <c r="AI45" i="6"/>
  <c r="AD46" i="6"/>
  <c r="AG46" i="6"/>
  <c r="AD48" i="6"/>
  <c r="AE48" i="6"/>
  <c r="AE49" i="6"/>
  <c r="AG49" i="6"/>
  <c r="AD50" i="6"/>
  <c r="AD51" i="6"/>
  <c r="AE51" i="6"/>
  <c r="AF51" i="6"/>
  <c r="AG51" i="6"/>
  <c r="AH51" i="6"/>
  <c r="AI51" i="6"/>
  <c r="AD52" i="6"/>
  <c r="AE52" i="6"/>
  <c r="AF52" i="6"/>
  <c r="AG52" i="6"/>
  <c r="AH52" i="6"/>
  <c r="AI52" i="6"/>
  <c r="AD53" i="6"/>
  <c r="AI53" i="6"/>
  <c r="AD55" i="6"/>
  <c r="AD56" i="6"/>
  <c r="AE56" i="6"/>
  <c r="AG57" i="6"/>
  <c r="AD58" i="6"/>
  <c r="AE58" i="6"/>
  <c r="AF58" i="6"/>
  <c r="AG58" i="6"/>
  <c r="AH58" i="6"/>
  <c r="AI58" i="6"/>
  <c r="AD59" i="6"/>
  <c r="AE59" i="6"/>
  <c r="AF59" i="6"/>
  <c r="AG59" i="6"/>
  <c r="AH59" i="6"/>
  <c r="AI59" i="6"/>
  <c r="AD60" i="6"/>
  <c r="AG60" i="6"/>
  <c r="AD61" i="6"/>
  <c r="AE61" i="6"/>
  <c r="AG61" i="6"/>
  <c r="AD62" i="6"/>
  <c r="AE62" i="6"/>
  <c r="AG62" i="6"/>
  <c r="AD63" i="6"/>
  <c r="AD64" i="6"/>
  <c r="AG64" i="6"/>
  <c r="AI64" i="6"/>
  <c r="AD65" i="6"/>
  <c r="AE65" i="6"/>
  <c r="AF65" i="6"/>
  <c r="AG65" i="6"/>
  <c r="AH65" i="6"/>
  <c r="AI65" i="6"/>
  <c r="AD66" i="6"/>
  <c r="AE66" i="6"/>
  <c r="AF66" i="6"/>
  <c r="AG66" i="6"/>
  <c r="AH66" i="6"/>
  <c r="AI66" i="6"/>
  <c r="AD67" i="6"/>
  <c r="AG67" i="6"/>
  <c r="AD68" i="6"/>
  <c r="AE68" i="6"/>
  <c r="AD69" i="6"/>
  <c r="AE69" i="6"/>
  <c r="AD70" i="6"/>
  <c r="AE70" i="6"/>
  <c r="AD71" i="6"/>
  <c r="AG71" i="6"/>
  <c r="P76" i="6"/>
  <c r="P41" i="6"/>
  <c r="P77" i="6"/>
  <c r="P78" i="6"/>
  <c r="Q78" i="6"/>
  <c r="U78" i="6"/>
  <c r="P79" i="6"/>
  <c r="P80" i="6"/>
  <c r="P81" i="6"/>
  <c r="Q81" i="6"/>
  <c r="R81" i="6"/>
  <c r="S81" i="6"/>
  <c r="T81" i="6"/>
  <c r="U81" i="6"/>
  <c r="P82" i="6"/>
  <c r="Q82" i="6"/>
  <c r="R82" i="6"/>
  <c r="S82" i="6"/>
  <c r="T82" i="6"/>
  <c r="U82" i="6"/>
  <c r="P83" i="6"/>
  <c r="S83" i="6"/>
  <c r="U83" i="6"/>
  <c r="P84" i="6"/>
  <c r="Q84" i="6"/>
  <c r="P85" i="6"/>
  <c r="Q85" i="6"/>
  <c r="P86" i="6"/>
  <c r="S86" i="6"/>
  <c r="P87" i="6"/>
  <c r="S87" i="6"/>
  <c r="P88" i="6"/>
  <c r="Q88" i="6"/>
  <c r="R88" i="6"/>
  <c r="S88" i="6"/>
  <c r="T88" i="6"/>
  <c r="U88" i="6"/>
  <c r="P89" i="6"/>
  <c r="Q89" i="6"/>
  <c r="R89" i="6"/>
  <c r="S89" i="6"/>
  <c r="T89" i="6"/>
  <c r="U89" i="6"/>
  <c r="P90" i="6"/>
  <c r="S90" i="6"/>
  <c r="P91" i="6"/>
  <c r="Q91" i="6"/>
  <c r="U91" i="6"/>
  <c r="P92" i="6"/>
  <c r="P93" i="6"/>
  <c r="U93" i="6"/>
  <c r="P94" i="6"/>
  <c r="S94" i="6"/>
  <c r="P95" i="6"/>
  <c r="Q95" i="6"/>
  <c r="R95" i="6"/>
  <c r="S95" i="6"/>
  <c r="T95" i="6"/>
  <c r="U95" i="6"/>
  <c r="P96" i="6"/>
  <c r="Q96" i="6"/>
  <c r="R96" i="6"/>
  <c r="S96" i="6"/>
  <c r="T96" i="6"/>
  <c r="U96" i="6"/>
  <c r="P97" i="6"/>
  <c r="S97" i="6"/>
  <c r="P98" i="6"/>
  <c r="Q98" i="6"/>
  <c r="P99" i="6"/>
  <c r="S99" i="6"/>
  <c r="P100" i="6"/>
  <c r="Q100" i="6"/>
  <c r="R100" i="6"/>
  <c r="S100" i="6"/>
  <c r="T100" i="6"/>
  <c r="U100" i="6"/>
  <c r="P101" i="6"/>
  <c r="S101" i="6"/>
  <c r="P102" i="6"/>
  <c r="Q102" i="6"/>
  <c r="R102" i="6"/>
  <c r="S102" i="6"/>
  <c r="T102" i="6"/>
  <c r="U102" i="6"/>
  <c r="P103" i="6"/>
  <c r="Q103" i="6"/>
  <c r="R103" i="6"/>
  <c r="S103" i="6"/>
  <c r="T103" i="6"/>
  <c r="U103" i="6"/>
  <c r="P104" i="6"/>
  <c r="S104" i="6"/>
  <c r="S105" i="6"/>
  <c r="C51" i="1" l="1"/>
  <c r="J57" i="1" s="1"/>
  <c r="C52" i="1"/>
  <c r="E52" i="1"/>
  <c r="E51" i="1"/>
  <c r="J58" i="1" s="1"/>
  <c r="BA46" i="6"/>
  <c r="AM90" i="6"/>
  <c r="AM84" i="6"/>
  <c r="BA53" i="6"/>
  <c r="BO41" i="6"/>
  <c r="AM45" i="6"/>
  <c r="BA65" i="6"/>
  <c r="BA106" i="6"/>
  <c r="BA102" i="6"/>
  <c r="BA94" i="6"/>
  <c r="BA86" i="6"/>
  <c r="BA78" i="6"/>
  <c r="BO61" i="6"/>
  <c r="BO53" i="6"/>
  <c r="BO45" i="6"/>
  <c r="BO103" i="6"/>
  <c r="BO99" i="6"/>
  <c r="AM65" i="6"/>
  <c r="AM58" i="6"/>
  <c r="AM91" i="6"/>
  <c r="BA47" i="6"/>
  <c r="Y96" i="6"/>
  <c r="AM102" i="6"/>
  <c r="AM98" i="6"/>
  <c r="BA98" i="6"/>
  <c r="BA90" i="6"/>
  <c r="BA82" i="6"/>
  <c r="BO69" i="6"/>
  <c r="BO65" i="6"/>
  <c r="BO57" i="6"/>
  <c r="BO49" i="6"/>
  <c r="BO95" i="6"/>
  <c r="BO91" i="6"/>
  <c r="BO87" i="6"/>
  <c r="BO83" i="6"/>
  <c r="BO79" i="6"/>
  <c r="AM76" i="6"/>
  <c r="AM103" i="6"/>
  <c r="AM99" i="6"/>
  <c r="AM77" i="6"/>
  <c r="BA66" i="6"/>
  <c r="BA103" i="6"/>
  <c r="BA99" i="6"/>
  <c r="BA95" i="6"/>
  <c r="BA91" i="6"/>
  <c r="BA87" i="6"/>
  <c r="BA83" i="6"/>
  <c r="BA79" i="6"/>
  <c r="BO70" i="6"/>
  <c r="BO66" i="6"/>
  <c r="BO62" i="6"/>
  <c r="BO58" i="6"/>
  <c r="BO54" i="6"/>
  <c r="BO50" i="6"/>
  <c r="BO46" i="6"/>
  <c r="BO42" i="6"/>
  <c r="BO104" i="6"/>
  <c r="BO100" i="6"/>
  <c r="BO96" i="6"/>
  <c r="BO92" i="6"/>
  <c r="BO88" i="6"/>
  <c r="BO84" i="6"/>
  <c r="BO80" i="6"/>
  <c r="BA59" i="6"/>
  <c r="BO76" i="6"/>
  <c r="Y81" i="6"/>
  <c r="AM66" i="6"/>
  <c r="AM59" i="6"/>
  <c r="AM51" i="6"/>
  <c r="Y102" i="6"/>
  <c r="Y100" i="6"/>
  <c r="Y88" i="6"/>
  <c r="AM104" i="6"/>
  <c r="AM100" i="6"/>
  <c r="AM96" i="6"/>
  <c r="BA67" i="6"/>
  <c r="BA104" i="6"/>
  <c r="BA100" i="6"/>
  <c r="BA96" i="6"/>
  <c r="BA92" i="6"/>
  <c r="BA88" i="6"/>
  <c r="BA84" i="6"/>
  <c r="BA80" i="6"/>
  <c r="BO67" i="6"/>
  <c r="BO63" i="6"/>
  <c r="BO59" i="6"/>
  <c r="BO55" i="6"/>
  <c r="BO51" i="6"/>
  <c r="BO47" i="6"/>
  <c r="BO43" i="6"/>
  <c r="BO105" i="6"/>
  <c r="BO101" i="6"/>
  <c r="BO97" i="6"/>
  <c r="BO93" i="6"/>
  <c r="BO89" i="6"/>
  <c r="BO85" i="6"/>
  <c r="BO81" i="6"/>
  <c r="BO77" i="6"/>
  <c r="AM52" i="6"/>
  <c r="BA52" i="6"/>
  <c r="BA45" i="6"/>
  <c r="Y82" i="6"/>
  <c r="AM83" i="6"/>
  <c r="BA60" i="6"/>
  <c r="BA76" i="6"/>
  <c r="Y103" i="6"/>
  <c r="Y95" i="6"/>
  <c r="Y89" i="6"/>
  <c r="AM44" i="6"/>
  <c r="AM105" i="6"/>
  <c r="AM101" i="6"/>
  <c r="AM97" i="6"/>
  <c r="BA105" i="6"/>
  <c r="BA101" i="6"/>
  <c r="BA97" i="6"/>
  <c r="BA93" i="6"/>
  <c r="BA89" i="6"/>
  <c r="BA85" i="6"/>
  <c r="BA81" i="6"/>
  <c r="BA77" i="6"/>
  <c r="BO68" i="6"/>
  <c r="BO64" i="6"/>
  <c r="BO60" i="6"/>
  <c r="BO56" i="6"/>
  <c r="BO52" i="6"/>
  <c r="BO48" i="6"/>
  <c r="BO44" i="6"/>
  <c r="BO106" i="6"/>
  <c r="BO102" i="6"/>
  <c r="BO98" i="6"/>
  <c r="BO94" i="6"/>
  <c r="BO90" i="6"/>
  <c r="BO86" i="6"/>
  <c r="BO82" i="6"/>
  <c r="BO78" i="6"/>
  <c r="B53" i="1"/>
  <c r="C71" i="1" s="1"/>
  <c r="E46" i="1"/>
  <c r="E58" i="1" s="1"/>
  <c r="E49" i="1"/>
  <c r="H58" i="1" s="1"/>
  <c r="E50" i="1"/>
  <c r="I58" i="1" s="1"/>
  <c r="C44" i="1"/>
  <c r="C57" i="1" s="1"/>
  <c r="M106" i="6"/>
  <c r="L106" i="6"/>
  <c r="BP107" i="6"/>
  <c r="E48" i="1"/>
  <c r="G58" i="1" s="1"/>
  <c r="B58" i="1"/>
  <c r="E44" i="1"/>
  <c r="C58" i="1" s="1"/>
  <c r="E45" i="1"/>
  <c r="D58" i="1" s="1"/>
  <c r="E47" i="1"/>
  <c r="F58" i="1" s="1"/>
  <c r="D20" i="1"/>
  <c r="D19" i="1"/>
  <c r="D27" i="1"/>
  <c r="F370" i="7"/>
  <c r="B27" i="1" s="1"/>
  <c r="G370" i="7"/>
  <c r="B29" i="1" s="1"/>
  <c r="D29" i="1"/>
  <c r="D31" i="1"/>
  <c r="H370" i="7"/>
  <c r="B31" i="1" s="1"/>
  <c r="I370" i="7"/>
  <c r="B32" i="1" s="1"/>
  <c r="D32" i="1"/>
  <c r="J370" i="7"/>
  <c r="B30" i="1" s="1"/>
  <c r="D30" i="1"/>
  <c r="K370" i="7"/>
  <c r="B28" i="1" s="1"/>
  <c r="D28" i="1"/>
  <c r="AA106" i="6"/>
  <c r="E97" i="1"/>
  <c r="E92" i="1"/>
  <c r="E91" i="1"/>
  <c r="C91" i="1"/>
  <c r="E90" i="1"/>
  <c r="C92" i="1"/>
  <c r="C90" i="1"/>
  <c r="E95" i="1"/>
  <c r="C96" i="1"/>
  <c r="C95" i="1"/>
  <c r="E96" i="1"/>
  <c r="E93" i="1"/>
  <c r="C98" i="1"/>
  <c r="C94" i="1"/>
  <c r="C93" i="1"/>
  <c r="E98" i="1"/>
  <c r="E94" i="1"/>
  <c r="C97" i="1"/>
  <c r="Z106" i="6"/>
  <c r="AO72" i="6"/>
  <c r="BQ107" i="6"/>
  <c r="O369" i="7"/>
  <c r="O184" i="7"/>
  <c r="O153" i="7"/>
  <c r="BB71" i="6"/>
  <c r="BB107" i="6"/>
  <c r="AN72" i="6"/>
  <c r="AN107" i="6"/>
  <c r="O113" i="7"/>
  <c r="O108" i="7"/>
  <c r="Z72" i="6"/>
  <c r="AA72" i="6"/>
  <c r="BC107" i="6"/>
  <c r="O337" i="7"/>
  <c r="O321" i="7"/>
  <c r="O193" i="7"/>
  <c r="O190" i="7"/>
  <c r="O305" i="7"/>
  <c r="O289" i="7"/>
  <c r="O265" i="7"/>
  <c r="O257" i="7"/>
  <c r="O241" i="7"/>
  <c r="O225" i="7"/>
  <c r="O217" i="7"/>
  <c r="AO107" i="6"/>
  <c r="BC71" i="6"/>
  <c r="O362" i="7"/>
  <c r="O205" i="7"/>
  <c r="O181" i="7"/>
  <c r="O141" i="7"/>
  <c r="O117" i="7"/>
  <c r="O298" i="7"/>
  <c r="O209" i="7"/>
  <c r="O201" i="7"/>
  <c r="O185" i="7"/>
  <c r="O161" i="7"/>
  <c r="O129" i="7"/>
  <c r="O126" i="7"/>
  <c r="O319" i="7"/>
  <c r="O315" i="7"/>
  <c r="O234" i="7"/>
  <c r="O145" i="7"/>
  <c r="O137" i="7"/>
  <c r="O121" i="7"/>
  <c r="O97" i="7"/>
  <c r="O324" i="7"/>
  <c r="O297" i="7"/>
  <c r="O255" i="7"/>
  <c r="O251" i="7"/>
  <c r="O210" i="7"/>
  <c r="O144" i="7"/>
  <c r="O336" i="7"/>
  <c r="O333" i="7"/>
  <c r="O313" i="7"/>
  <c r="O260" i="7"/>
  <c r="O233" i="7"/>
  <c r="O227" i="7"/>
  <c r="O146" i="7"/>
  <c r="O98" i="7"/>
  <c r="O90" i="7"/>
  <c r="O345" i="7"/>
  <c r="O342" i="7"/>
  <c r="O318" i="7"/>
  <c r="O272" i="7"/>
  <c r="O269" i="7"/>
  <c r="O249" i="7"/>
  <c r="O183" i="7"/>
  <c r="O179" i="7"/>
  <c r="O169" i="7"/>
  <c r="O167" i="7"/>
  <c r="O163" i="7"/>
  <c r="O361" i="7"/>
  <c r="O353" i="7"/>
  <c r="O329" i="7"/>
  <c r="O281" i="7"/>
  <c r="O278" i="7"/>
  <c r="O273" i="7"/>
  <c r="O254" i="7"/>
  <c r="O188" i="7"/>
  <c r="O177" i="7"/>
  <c r="O172" i="7"/>
  <c r="O115" i="7"/>
  <c r="O105" i="7"/>
  <c r="O99" i="7"/>
  <c r="O364" i="7"/>
  <c r="O359" i="7"/>
  <c r="O355" i="7"/>
  <c r="O338" i="7"/>
  <c r="O312" i="7"/>
  <c r="O309" i="7"/>
  <c r="O300" i="7"/>
  <c r="O295" i="7"/>
  <c r="O291" i="7"/>
  <c r="O274" i="7"/>
  <c r="O248" i="7"/>
  <c r="O245" i="7"/>
  <c r="O236" i="7"/>
  <c r="O231" i="7"/>
  <c r="O368" i="7"/>
  <c r="O365" i="7"/>
  <c r="O356" i="7"/>
  <c r="O351" i="7"/>
  <c r="O347" i="7"/>
  <c r="O330" i="7"/>
  <c r="O310" i="7"/>
  <c r="O304" i="7"/>
  <c r="O301" i="7"/>
  <c r="O292" i="7"/>
  <c r="O287" i="7"/>
  <c r="O283" i="7"/>
  <c r="O266" i="7"/>
  <c r="O246" i="7"/>
  <c r="O240" i="7"/>
  <c r="O237" i="7"/>
  <c r="O228" i="7"/>
  <c r="O223" i="7"/>
  <c r="O219" i="7"/>
  <c r="O202" i="7"/>
  <c r="O182" i="7"/>
  <c r="O176" i="7"/>
  <c r="O173" i="7"/>
  <c r="O164" i="7"/>
  <c r="O159" i="7"/>
  <c r="O155" i="7"/>
  <c r="O142" i="7"/>
  <c r="O138" i="7"/>
  <c r="O136" i="7"/>
  <c r="O127" i="7"/>
  <c r="O118" i="7"/>
  <c r="O109" i="7"/>
  <c r="O100" i="7"/>
  <c r="O91" i="7"/>
  <c r="O366" i="7"/>
  <c r="O360" i="7"/>
  <c r="O357" i="7"/>
  <c r="O348" i="7"/>
  <c r="O343" i="7"/>
  <c r="O339" i="7"/>
  <c r="O322" i="7"/>
  <c r="O302" i="7"/>
  <c r="O296" i="7"/>
  <c r="O293" i="7"/>
  <c r="O284" i="7"/>
  <c r="O279" i="7"/>
  <c r="O275" i="7"/>
  <c r="O258" i="7"/>
  <c r="O238" i="7"/>
  <c r="O232" i="7"/>
  <c r="O229" i="7"/>
  <c r="O220" i="7"/>
  <c r="O215" i="7"/>
  <c r="O211" i="7"/>
  <c r="O194" i="7"/>
  <c r="O174" i="7"/>
  <c r="O168" i="7"/>
  <c r="O165" i="7"/>
  <c r="O156" i="7"/>
  <c r="O151" i="7"/>
  <c r="O147" i="7"/>
  <c r="O143" i="7"/>
  <c r="O134" i="7"/>
  <c r="O130" i="7"/>
  <c r="O128" i="7"/>
  <c r="O119" i="7"/>
  <c r="O110" i="7"/>
  <c r="O101" i="7"/>
  <c r="O92" i="7"/>
  <c r="O358" i="7"/>
  <c r="O352" i="7"/>
  <c r="O349" i="7"/>
  <c r="O340" i="7"/>
  <c r="O335" i="7"/>
  <c r="O331" i="7"/>
  <c r="O314" i="7"/>
  <c r="O294" i="7"/>
  <c r="O288" i="7"/>
  <c r="O285" i="7"/>
  <c r="O276" i="7"/>
  <c r="O271" i="7"/>
  <c r="O267" i="7"/>
  <c r="O250" i="7"/>
  <c r="O230" i="7"/>
  <c r="O224" i="7"/>
  <c r="O221" i="7"/>
  <c r="O212" i="7"/>
  <c r="O207" i="7"/>
  <c r="O203" i="7"/>
  <c r="O186" i="7"/>
  <c r="O166" i="7"/>
  <c r="O160" i="7"/>
  <c r="O157" i="7"/>
  <c r="O148" i="7"/>
  <c r="O139" i="7"/>
  <c r="O135" i="7"/>
  <c r="O122" i="7"/>
  <c r="O120" i="7"/>
  <c r="O111" i="7"/>
  <c r="O102" i="7"/>
  <c r="O93" i="7"/>
  <c r="O350" i="7"/>
  <c r="O344" i="7"/>
  <c r="O341" i="7"/>
  <c r="O332" i="7"/>
  <c r="O327" i="7"/>
  <c r="O323" i="7"/>
  <c r="O306" i="7"/>
  <c r="O286" i="7"/>
  <c r="O280" i="7"/>
  <c r="O277" i="7"/>
  <c r="O268" i="7"/>
  <c r="O263" i="7"/>
  <c r="O259" i="7"/>
  <c r="O242" i="7"/>
  <c r="O222" i="7"/>
  <c r="O216" i="7"/>
  <c r="O213" i="7"/>
  <c r="O204" i="7"/>
  <c r="O199" i="7"/>
  <c r="O195" i="7"/>
  <c r="O178" i="7"/>
  <c r="O158" i="7"/>
  <c r="O152" i="7"/>
  <c r="O149" i="7"/>
  <c r="O140" i="7"/>
  <c r="O131" i="7"/>
  <c r="O114" i="7"/>
  <c r="O112" i="7"/>
  <c r="O103" i="7"/>
  <c r="O94" i="7"/>
  <c r="O214" i="7"/>
  <c r="O208" i="7"/>
  <c r="O196" i="7"/>
  <c r="O191" i="7"/>
  <c r="O187" i="7"/>
  <c r="O170" i="7"/>
  <c r="O150" i="7"/>
  <c r="O132" i="7"/>
  <c r="O123" i="7"/>
  <c r="O106" i="7"/>
  <c r="O104" i="7"/>
  <c r="O95" i="7"/>
  <c r="O354" i="7"/>
  <c r="O334" i="7"/>
  <c r="O328" i="7"/>
  <c r="O325" i="7"/>
  <c r="O316" i="7"/>
  <c r="O311" i="7"/>
  <c r="O307" i="7"/>
  <c r="O290" i="7"/>
  <c r="O270" i="7"/>
  <c r="O264" i="7"/>
  <c r="O261" i="7"/>
  <c r="O252" i="7"/>
  <c r="O247" i="7"/>
  <c r="O243" i="7"/>
  <c r="O226" i="7"/>
  <c r="O206" i="7"/>
  <c r="O200" i="7"/>
  <c r="O197" i="7"/>
  <c r="O162" i="7"/>
  <c r="O133" i="7"/>
  <c r="O124" i="7"/>
  <c r="O96" i="7"/>
  <c r="O367" i="7"/>
  <c r="O363" i="7"/>
  <c r="O346" i="7"/>
  <c r="O326" i="7"/>
  <c r="O320" i="7"/>
  <c r="O317" i="7"/>
  <c r="O308" i="7"/>
  <c r="O303" i="7"/>
  <c r="O299" i="7"/>
  <c r="O282" i="7"/>
  <c r="O262" i="7"/>
  <c r="O256" i="7"/>
  <c r="O253" i="7"/>
  <c r="O244" i="7"/>
  <c r="O239" i="7"/>
  <c r="O235" i="7"/>
  <c r="O218" i="7"/>
  <c r="O198" i="7"/>
  <c r="O192" i="7"/>
  <c r="O189" i="7"/>
  <c r="O180" i="7"/>
  <c r="O175" i="7"/>
  <c r="O171" i="7"/>
  <c r="O154" i="7"/>
  <c r="O125" i="7"/>
  <c r="O116" i="7"/>
  <c r="O107" i="7"/>
  <c r="O89" i="7"/>
  <c r="BP71" i="6"/>
  <c r="BQ71" i="6"/>
  <c r="B143" i="6"/>
  <c r="T119" i="6" s="1"/>
  <c r="BJ71" i="6"/>
  <c r="V46" i="1" s="1"/>
  <c r="BH71" i="6"/>
  <c r="V47" i="1" s="1"/>
  <c r="B188" i="6"/>
  <c r="T158" i="6" s="1"/>
  <c r="N116" i="6"/>
  <c r="T123" i="6" s="1"/>
  <c r="BF71" i="6"/>
  <c r="V43" i="1" s="1"/>
  <c r="BK71" i="6"/>
  <c r="V44" i="1" s="1"/>
  <c r="BG71" i="6"/>
  <c r="V45" i="1" s="1"/>
  <c r="BI71" i="6"/>
  <c r="V48" i="1" s="1"/>
  <c r="P42" i="6"/>
  <c r="Q42" i="6"/>
  <c r="R42" i="6"/>
  <c r="S42" i="6"/>
  <c r="T42" i="6"/>
  <c r="U42" i="6"/>
  <c r="P43" i="6"/>
  <c r="Q43" i="6"/>
  <c r="R43" i="6"/>
  <c r="S43" i="6"/>
  <c r="T43" i="6"/>
  <c r="U43" i="6"/>
  <c r="P44" i="6"/>
  <c r="Q44" i="6"/>
  <c r="R44" i="6"/>
  <c r="S44" i="6"/>
  <c r="T44" i="6"/>
  <c r="U44" i="6"/>
  <c r="P45" i="6"/>
  <c r="Q45" i="6"/>
  <c r="R45" i="6"/>
  <c r="S45" i="6"/>
  <c r="T45" i="6"/>
  <c r="U45" i="6"/>
  <c r="P46" i="6"/>
  <c r="Q46" i="6"/>
  <c r="R46" i="6"/>
  <c r="S46" i="6"/>
  <c r="T46" i="6"/>
  <c r="U46" i="6"/>
  <c r="P47" i="6"/>
  <c r="Q47" i="6"/>
  <c r="R47" i="6"/>
  <c r="S47" i="6"/>
  <c r="T47" i="6"/>
  <c r="U47" i="6"/>
  <c r="P48" i="6"/>
  <c r="Q48" i="6"/>
  <c r="R48" i="6"/>
  <c r="S48" i="6"/>
  <c r="T48" i="6"/>
  <c r="U48" i="6"/>
  <c r="P49" i="6"/>
  <c r="Q49" i="6"/>
  <c r="R49" i="6"/>
  <c r="S49" i="6"/>
  <c r="T49" i="6"/>
  <c r="U49" i="6"/>
  <c r="P50" i="6"/>
  <c r="Q50" i="6"/>
  <c r="R50" i="6"/>
  <c r="S50" i="6"/>
  <c r="T50" i="6"/>
  <c r="U50" i="6"/>
  <c r="P51" i="6"/>
  <c r="S51" i="6"/>
  <c r="U52" i="6"/>
  <c r="Q53" i="6"/>
  <c r="R53" i="6"/>
  <c r="S53" i="6"/>
  <c r="U53" i="6"/>
  <c r="P54" i="6"/>
  <c r="R54" i="6"/>
  <c r="U54" i="6"/>
  <c r="P55" i="6"/>
  <c r="S55" i="6"/>
  <c r="P56" i="6"/>
  <c r="Q56" i="6"/>
  <c r="R56" i="6"/>
  <c r="S56" i="6"/>
  <c r="T56" i="6"/>
  <c r="U56" i="6"/>
  <c r="P57" i="6"/>
  <c r="Q57" i="6"/>
  <c r="R57" i="6"/>
  <c r="S57" i="6"/>
  <c r="T57" i="6"/>
  <c r="U57" i="6"/>
  <c r="P58" i="6"/>
  <c r="Q58" i="6"/>
  <c r="R58" i="6"/>
  <c r="S58" i="6"/>
  <c r="T58" i="6"/>
  <c r="U58" i="6"/>
  <c r="P59" i="6"/>
  <c r="S59" i="6"/>
  <c r="P60" i="6"/>
  <c r="Q60" i="6"/>
  <c r="P61" i="6"/>
  <c r="S61" i="6"/>
  <c r="P62" i="6"/>
  <c r="S62" i="6"/>
  <c r="P63" i="6"/>
  <c r="Q63" i="6"/>
  <c r="R63" i="6"/>
  <c r="S63" i="6"/>
  <c r="T63" i="6"/>
  <c r="U63" i="6"/>
  <c r="P64" i="6"/>
  <c r="Q64" i="6"/>
  <c r="R64" i="6"/>
  <c r="S64" i="6"/>
  <c r="T64" i="6"/>
  <c r="U64" i="6"/>
  <c r="P65" i="6"/>
  <c r="S65" i="6"/>
  <c r="U65" i="6"/>
  <c r="P66" i="6"/>
  <c r="P67" i="6"/>
  <c r="P68" i="6"/>
  <c r="R68" i="6"/>
  <c r="S68" i="6"/>
  <c r="U68" i="6"/>
  <c r="P69" i="6"/>
  <c r="S69" i="6"/>
  <c r="P70" i="6"/>
  <c r="Q70" i="6"/>
  <c r="R70" i="6"/>
  <c r="S70" i="6"/>
  <c r="T70" i="6"/>
  <c r="U70" i="6"/>
  <c r="P71" i="6"/>
  <c r="Q71" i="6"/>
  <c r="R71" i="6"/>
  <c r="S71" i="6"/>
  <c r="T71" i="6"/>
  <c r="U71" i="6"/>
  <c r="U41" i="6"/>
  <c r="T41" i="6"/>
  <c r="S41" i="6"/>
  <c r="R41" i="6"/>
  <c r="Q41" i="6"/>
  <c r="E77" i="6"/>
  <c r="G78" i="6"/>
  <c r="C79" i="6"/>
  <c r="D79" i="6"/>
  <c r="E79" i="6"/>
  <c r="F79" i="6"/>
  <c r="G79" i="6"/>
  <c r="C80" i="6"/>
  <c r="D80" i="6"/>
  <c r="E80" i="6"/>
  <c r="F80" i="6"/>
  <c r="G80" i="6"/>
  <c r="G81" i="6"/>
  <c r="C82" i="6"/>
  <c r="D82" i="6"/>
  <c r="E82" i="6"/>
  <c r="F82" i="6"/>
  <c r="G82" i="6"/>
  <c r="G84" i="6"/>
  <c r="C85" i="6"/>
  <c r="D85" i="6"/>
  <c r="E85" i="6"/>
  <c r="F85" i="6"/>
  <c r="G85" i="6"/>
  <c r="C86" i="6"/>
  <c r="D86" i="6"/>
  <c r="E86" i="6"/>
  <c r="F86" i="6"/>
  <c r="G86" i="6"/>
  <c r="C87" i="6"/>
  <c r="D87" i="6"/>
  <c r="E87" i="6"/>
  <c r="F87" i="6"/>
  <c r="G87" i="6"/>
  <c r="G88" i="6"/>
  <c r="C89" i="6"/>
  <c r="C90" i="6"/>
  <c r="G90" i="6"/>
  <c r="C91" i="6"/>
  <c r="G91" i="6"/>
  <c r="C93" i="6"/>
  <c r="D93" i="6"/>
  <c r="E93" i="6"/>
  <c r="F93" i="6"/>
  <c r="G93" i="6"/>
  <c r="C94" i="6"/>
  <c r="D94" i="6"/>
  <c r="E94" i="6"/>
  <c r="F94" i="6"/>
  <c r="G94" i="6"/>
  <c r="D96" i="6"/>
  <c r="G96" i="6"/>
  <c r="G97" i="6"/>
  <c r="G98" i="6"/>
  <c r="G99" i="6"/>
  <c r="C100" i="6"/>
  <c r="D100" i="6"/>
  <c r="E100" i="6"/>
  <c r="F100" i="6"/>
  <c r="G100" i="6"/>
  <c r="C101" i="6"/>
  <c r="D101" i="6"/>
  <c r="E101" i="6"/>
  <c r="F101" i="6"/>
  <c r="G101" i="6"/>
  <c r="G102" i="6"/>
  <c r="G103" i="6"/>
  <c r="G104" i="6"/>
  <c r="E105" i="6"/>
  <c r="G105" i="6"/>
  <c r="E76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100" i="6"/>
  <c r="B101" i="6"/>
  <c r="B102" i="6"/>
  <c r="B103" i="6"/>
  <c r="B104" i="6"/>
  <c r="B105" i="6"/>
  <c r="B76" i="6"/>
  <c r="V52" i="1" l="1"/>
  <c r="W51" i="1" s="1"/>
  <c r="J67" i="1" s="1"/>
  <c r="B36" i="1"/>
  <c r="C35" i="1" s="1"/>
  <c r="K79" i="6"/>
  <c r="K94" i="6"/>
  <c r="K86" i="6"/>
  <c r="Y41" i="6"/>
  <c r="Y70" i="6"/>
  <c r="K93" i="6"/>
  <c r="K87" i="6"/>
  <c r="Y63" i="6"/>
  <c r="Y48" i="6"/>
  <c r="Y44" i="6"/>
  <c r="K85" i="6"/>
  <c r="Y64" i="6"/>
  <c r="Y56" i="6"/>
  <c r="Y49" i="6"/>
  <c r="Y45" i="6"/>
  <c r="Y71" i="6"/>
  <c r="Y57" i="6"/>
  <c r="Y50" i="6"/>
  <c r="Y46" i="6"/>
  <c r="Y42" i="6"/>
  <c r="K101" i="6"/>
  <c r="K82" i="6"/>
  <c r="Y58" i="6"/>
  <c r="Y47" i="6"/>
  <c r="Y43" i="6"/>
  <c r="K100" i="6"/>
  <c r="K80" i="6"/>
  <c r="C45" i="1"/>
  <c r="D57" i="1" s="1"/>
  <c r="C46" i="1"/>
  <c r="E57" i="1" s="1"/>
  <c r="C48" i="1"/>
  <c r="G57" i="1" s="1"/>
  <c r="B57" i="1"/>
  <c r="C50" i="1"/>
  <c r="I57" i="1" s="1"/>
  <c r="C47" i="1"/>
  <c r="F57" i="1" s="1"/>
  <c r="C49" i="1"/>
  <c r="H57" i="1" s="1"/>
  <c r="D18" i="1"/>
  <c r="D17" i="1"/>
  <c r="O370" i="7"/>
  <c r="D16" i="1" s="1"/>
  <c r="X53" i="1"/>
  <c r="C82" i="1" s="1"/>
  <c r="W47" i="1" l="1"/>
  <c r="F67" i="1" s="1"/>
  <c r="W50" i="1"/>
  <c r="I67" i="1" s="1"/>
  <c r="W49" i="1"/>
  <c r="H67" i="1" s="1"/>
  <c r="W46" i="1"/>
  <c r="E67" i="1" s="1"/>
  <c r="W48" i="1"/>
  <c r="G67" i="1" s="1"/>
  <c r="W52" i="1"/>
  <c r="W43" i="1"/>
  <c r="B67" i="1" s="1"/>
  <c r="W44" i="1"/>
  <c r="C67" i="1" s="1"/>
  <c r="W45" i="1"/>
  <c r="D67" i="1" s="1"/>
  <c r="AS107" i="6" l="1"/>
  <c r="T45" i="1" s="1"/>
  <c r="T53" i="1" l="1"/>
  <c r="C80" i="1" s="1"/>
  <c r="AR107" i="6"/>
  <c r="T43" i="1" s="1"/>
  <c r="AU107" i="6"/>
  <c r="T48" i="1" s="1"/>
  <c r="AT107" i="6"/>
  <c r="T47" i="1" s="1"/>
  <c r="AV107" i="6"/>
  <c r="T46" i="1" s="1"/>
  <c r="AS70" i="6"/>
  <c r="AR70" i="6"/>
  <c r="AW70" i="6"/>
  <c r="AT70" i="6"/>
  <c r="AV70" i="6"/>
  <c r="AW69" i="6"/>
  <c r="AU69" i="6"/>
  <c r="AS69" i="6"/>
  <c r="AT69" i="6"/>
  <c r="AW68" i="6"/>
  <c r="AT68" i="6"/>
  <c r="AS68" i="6"/>
  <c r="AV68" i="6"/>
  <c r="AS64" i="6"/>
  <c r="AU64" i="6"/>
  <c r="AW64" i="6"/>
  <c r="AT64" i="6"/>
  <c r="AW63" i="6"/>
  <c r="AT63" i="6"/>
  <c r="AU63" i="6"/>
  <c r="AR62" i="6"/>
  <c r="AS62" i="6"/>
  <c r="AT62" i="6"/>
  <c r="AW61" i="6"/>
  <c r="AT61" i="6"/>
  <c r="AS61" i="6"/>
  <c r="AV61" i="6"/>
  <c r="AS58" i="6"/>
  <c r="AW58" i="6"/>
  <c r="AU58" i="6"/>
  <c r="AT58" i="6"/>
  <c r="AS57" i="6"/>
  <c r="AT57" i="6"/>
  <c r="AV57" i="6"/>
  <c r="AV56" i="6"/>
  <c r="AT56" i="6"/>
  <c r="AW55" i="6"/>
  <c r="AS55" i="6"/>
  <c r="AU55" i="6"/>
  <c r="AT55" i="6"/>
  <c r="AW54" i="6"/>
  <c r="AU54" i="6"/>
  <c r="AT54" i="6"/>
  <c r="AV54" i="6"/>
  <c r="AW51" i="6"/>
  <c r="AT51" i="6"/>
  <c r="AS51" i="6"/>
  <c r="AU51" i="6"/>
  <c r="AU50" i="6"/>
  <c r="AT50" i="6"/>
  <c r="AV50" i="6"/>
  <c r="AS49" i="6"/>
  <c r="AU49" i="6"/>
  <c r="AW49" i="6"/>
  <c r="AV49" i="6"/>
  <c r="AT48" i="6"/>
  <c r="AS48" i="6"/>
  <c r="AV48" i="6"/>
  <c r="AT44" i="6"/>
  <c r="AS44" i="6"/>
  <c r="AT43" i="6"/>
  <c r="AW43" i="6"/>
  <c r="AS43" i="6"/>
  <c r="AT42" i="6"/>
  <c r="AU41" i="6"/>
  <c r="AV41" i="6"/>
  <c r="AI106" i="6"/>
  <c r="AG106" i="6"/>
  <c r="AF106" i="6"/>
  <c r="AE95" i="6"/>
  <c r="AF95" i="6"/>
  <c r="AI95" i="6"/>
  <c r="AH95" i="6"/>
  <c r="AF94" i="6"/>
  <c r="AI93" i="6"/>
  <c r="AE92" i="6"/>
  <c r="AF89" i="6"/>
  <c r="AM89" i="6" s="1"/>
  <c r="AI88" i="6"/>
  <c r="AE88" i="6"/>
  <c r="AG88" i="6"/>
  <c r="AH88" i="6"/>
  <c r="AE87" i="6"/>
  <c r="AG87" i="6"/>
  <c r="AI87" i="6"/>
  <c r="AH87" i="6"/>
  <c r="AG86" i="6"/>
  <c r="AH86" i="6"/>
  <c r="AI85" i="6"/>
  <c r="AE85" i="6"/>
  <c r="AF85" i="6"/>
  <c r="AH85" i="6"/>
  <c r="AF82" i="6"/>
  <c r="AG82" i="6"/>
  <c r="AI81" i="6"/>
  <c r="AG81" i="6"/>
  <c r="AF81" i="6"/>
  <c r="AH81" i="6"/>
  <c r="AG80" i="6"/>
  <c r="AI79" i="6"/>
  <c r="AE79" i="6"/>
  <c r="AF79" i="6"/>
  <c r="AH79" i="6"/>
  <c r="AI78" i="6"/>
  <c r="AE78" i="6"/>
  <c r="AF71" i="6"/>
  <c r="AF70" i="6"/>
  <c r="AG70" i="6"/>
  <c r="AG69" i="6"/>
  <c r="AI69" i="6"/>
  <c r="AH69" i="6"/>
  <c r="AI68" i="6"/>
  <c r="AF68" i="6"/>
  <c r="AE67" i="6"/>
  <c r="AF67" i="6"/>
  <c r="AH67" i="6"/>
  <c r="AE64" i="6"/>
  <c r="AE63" i="6"/>
  <c r="AI63" i="6"/>
  <c r="AF63" i="6"/>
  <c r="AH62" i="6"/>
  <c r="AF61" i="6"/>
  <c r="AH61" i="6"/>
  <c r="AI60" i="6"/>
  <c r="AF60" i="6"/>
  <c r="AH60" i="6"/>
  <c r="AI57" i="6"/>
  <c r="AE57" i="6"/>
  <c r="AD57" i="6"/>
  <c r="AH57" i="6"/>
  <c r="AG56" i="6"/>
  <c r="AE55" i="6"/>
  <c r="AF55" i="6"/>
  <c r="AH55" i="6"/>
  <c r="AD54" i="6"/>
  <c r="AI54" i="6"/>
  <c r="AG54" i="6"/>
  <c r="AF53" i="6"/>
  <c r="AG53" i="6"/>
  <c r="AE53" i="6"/>
  <c r="AE50" i="6"/>
  <c r="AG50" i="6"/>
  <c r="AI50" i="6"/>
  <c r="AH50" i="6"/>
  <c r="AD49" i="6"/>
  <c r="AH49" i="6"/>
  <c r="AG48" i="6"/>
  <c r="AI48" i="6"/>
  <c r="AF48" i="6"/>
  <c r="AD47" i="6"/>
  <c r="AE47" i="6"/>
  <c r="AF47" i="6"/>
  <c r="AG47" i="6"/>
  <c r="AH47" i="6"/>
  <c r="AI46" i="6"/>
  <c r="AE46" i="6"/>
  <c r="AG43" i="6"/>
  <c r="AE43" i="6"/>
  <c r="AF43" i="6"/>
  <c r="AH43" i="6"/>
  <c r="AI43" i="6"/>
  <c r="AE42" i="6"/>
  <c r="AI42" i="6"/>
  <c r="AH42" i="6"/>
  <c r="AD41" i="6"/>
  <c r="AE41" i="6"/>
  <c r="AG41" i="6"/>
  <c r="AH41" i="6"/>
  <c r="P105" i="6"/>
  <c r="Q105" i="6"/>
  <c r="U105" i="6"/>
  <c r="Q104" i="6"/>
  <c r="U104" i="6"/>
  <c r="T104" i="6"/>
  <c r="U101" i="6"/>
  <c r="Q99" i="6"/>
  <c r="U99" i="6"/>
  <c r="T98" i="6"/>
  <c r="U98" i="6"/>
  <c r="R98" i="6"/>
  <c r="U97" i="6"/>
  <c r="Q97" i="6"/>
  <c r="R97" i="6"/>
  <c r="U94" i="6"/>
  <c r="Q94" i="6"/>
  <c r="S93" i="6"/>
  <c r="R92" i="6"/>
  <c r="S92" i="6"/>
  <c r="U92" i="6"/>
  <c r="T92" i="6"/>
  <c r="S91" i="6"/>
  <c r="R91" i="6"/>
  <c r="T91" i="6"/>
  <c r="U90" i="6"/>
  <c r="R90" i="6"/>
  <c r="Q90" i="6"/>
  <c r="T90" i="6"/>
  <c r="R87" i="6"/>
  <c r="U87" i="6"/>
  <c r="Q86" i="6"/>
  <c r="U86" i="6"/>
  <c r="T86" i="6"/>
  <c r="S85" i="6"/>
  <c r="U85" i="6"/>
  <c r="U84" i="6"/>
  <c r="R84" i="6"/>
  <c r="Q83" i="6"/>
  <c r="S80" i="6"/>
  <c r="R80" i="6"/>
  <c r="T80" i="6"/>
  <c r="Q79" i="6"/>
  <c r="U79" i="6"/>
  <c r="R79" i="6"/>
  <c r="R78" i="6"/>
  <c r="S78" i="6"/>
  <c r="T78" i="6"/>
  <c r="R77" i="6"/>
  <c r="Q77" i="6"/>
  <c r="U77" i="6"/>
  <c r="S77" i="6"/>
  <c r="S76" i="6"/>
  <c r="U76" i="6"/>
  <c r="R76" i="6"/>
  <c r="T76" i="6"/>
  <c r="D105" i="6"/>
  <c r="F105" i="6"/>
  <c r="D104" i="6"/>
  <c r="F104" i="6"/>
  <c r="C103" i="6"/>
  <c r="E103" i="6"/>
  <c r="F103" i="6"/>
  <c r="D102" i="6"/>
  <c r="E102" i="6"/>
  <c r="D99" i="6"/>
  <c r="B99" i="6"/>
  <c r="F99" i="6"/>
  <c r="B98" i="6"/>
  <c r="D98" i="6"/>
  <c r="F98" i="6"/>
  <c r="D97" i="6"/>
  <c r="C97" i="6"/>
  <c r="B97" i="6"/>
  <c r="E97" i="6"/>
  <c r="C96" i="6"/>
  <c r="E96" i="6"/>
  <c r="D95" i="6"/>
  <c r="G95" i="6"/>
  <c r="E95" i="6"/>
  <c r="C92" i="6"/>
  <c r="G92" i="6"/>
  <c r="E92" i="6"/>
  <c r="D91" i="6"/>
  <c r="F91" i="6"/>
  <c r="D90" i="6"/>
  <c r="G89" i="6"/>
  <c r="D89" i="6"/>
  <c r="D88" i="6"/>
  <c r="C88" i="6"/>
  <c r="E88" i="6"/>
  <c r="F88" i="6"/>
  <c r="D84" i="6"/>
  <c r="E84" i="6"/>
  <c r="C84" i="6"/>
  <c r="F84" i="6"/>
  <c r="C83" i="6"/>
  <c r="G83" i="6"/>
  <c r="F83" i="6"/>
  <c r="D81" i="6"/>
  <c r="C81" i="6"/>
  <c r="E81" i="6"/>
  <c r="F78" i="6"/>
  <c r="D77" i="6"/>
  <c r="G77" i="6"/>
  <c r="C77" i="6"/>
  <c r="B77" i="6"/>
  <c r="D76" i="6"/>
  <c r="C76" i="6"/>
  <c r="G76" i="6"/>
  <c r="BA61" i="6" l="1"/>
  <c r="Y91" i="6"/>
  <c r="Y90" i="6"/>
  <c r="K88" i="6"/>
  <c r="AM85" i="6"/>
  <c r="K84" i="6"/>
  <c r="Y78" i="6"/>
  <c r="AM43" i="6"/>
  <c r="BA68" i="6"/>
  <c r="B106" i="6"/>
  <c r="H43" i="1" s="1"/>
  <c r="D103" i="6"/>
  <c r="K103" i="6" s="1"/>
  <c r="Q55" i="6"/>
  <c r="T60" i="6"/>
  <c r="R62" i="6"/>
  <c r="T65" i="6"/>
  <c r="S67" i="6"/>
  <c r="R69" i="6"/>
  <c r="T99" i="6"/>
  <c r="AE54" i="6"/>
  <c r="F48" i="1"/>
  <c r="C99" i="6"/>
  <c r="F46" i="1"/>
  <c r="E78" i="6"/>
  <c r="F90" i="6"/>
  <c r="C98" i="6"/>
  <c r="C102" i="6"/>
  <c r="R51" i="6"/>
  <c r="S52" i="6"/>
  <c r="T54" i="6"/>
  <c r="T59" i="6"/>
  <c r="Q61" i="6"/>
  <c r="U62" i="6"/>
  <c r="Q65" i="6"/>
  <c r="T66" i="6"/>
  <c r="R67" i="6"/>
  <c r="U67" i="6"/>
  <c r="Q69" i="6"/>
  <c r="R94" i="6"/>
  <c r="R99" i="6"/>
  <c r="T101" i="6"/>
  <c r="T105" i="6"/>
  <c r="AI41" i="6"/>
  <c r="AI47" i="6"/>
  <c r="AM47" i="6" s="1"/>
  <c r="AH48" i="6"/>
  <c r="AM48" i="6" s="1"/>
  <c r="AI49" i="6"/>
  <c r="AF54" i="6"/>
  <c r="AG68" i="6"/>
  <c r="AH70" i="6"/>
  <c r="AI82" i="6"/>
  <c r="AF86" i="6"/>
  <c r="AG93" i="6"/>
  <c r="AH94" i="6"/>
  <c r="AW41" i="6"/>
  <c r="AS42" i="6"/>
  <c r="AV44" i="6"/>
  <c r="AU48" i="6"/>
  <c r="BA48" i="6" s="1"/>
  <c r="AT49" i="6"/>
  <c r="BA49" i="6" s="1"/>
  <c r="AW57" i="6"/>
  <c r="BA57" i="6" s="1"/>
  <c r="E89" i="6"/>
  <c r="E90" i="6"/>
  <c r="Q52" i="6"/>
  <c r="S54" i="6"/>
  <c r="R59" i="6"/>
  <c r="Q62" i="6"/>
  <c r="R66" i="6"/>
  <c r="Q76" i="6"/>
  <c r="Y76" i="6" s="1"/>
  <c r="T77" i="6"/>
  <c r="Y77" i="6" s="1"/>
  <c r="U80" i="6"/>
  <c r="U106" i="6" s="1"/>
  <c r="L44" i="1" s="1"/>
  <c r="T83" i="6"/>
  <c r="R83" i="6"/>
  <c r="T87" i="6"/>
  <c r="R101" i="6"/>
  <c r="R105" i="6"/>
  <c r="Y105" i="6" s="1"/>
  <c r="AF46" i="6"/>
  <c r="AI56" i="6"/>
  <c r="AF57" i="6"/>
  <c r="AM57" i="6" s="1"/>
  <c r="AH71" i="6"/>
  <c r="AG79" i="6"/>
  <c r="AM79" i="6" s="1"/>
  <c r="AH80" i="6"/>
  <c r="AE81" i="6"/>
  <c r="AM81" i="6" s="1"/>
  <c r="AE86" i="6"/>
  <c r="AG94" i="6"/>
  <c r="AG95" i="6"/>
  <c r="AM95" i="6" s="1"/>
  <c r="AH106" i="6"/>
  <c r="AS54" i="6"/>
  <c r="BA54" i="6" s="1"/>
  <c r="AV55" i="6"/>
  <c r="BA55" i="6" s="1"/>
  <c r="AU56" i="6"/>
  <c r="AV58" i="6"/>
  <c r="BA58" i="6" s="1"/>
  <c r="AR71" i="6"/>
  <c r="R43" i="1" s="1"/>
  <c r="AH63" i="6"/>
  <c r="AF88" i="6"/>
  <c r="AM88" i="6" s="1"/>
  <c r="AF92" i="6"/>
  <c r="AF93" i="6"/>
  <c r="AI94" i="6"/>
  <c r="AE106" i="6"/>
  <c r="AW50" i="6"/>
  <c r="BA50" i="6" s="1"/>
  <c r="AV62" i="6"/>
  <c r="BA62" i="6" s="1"/>
  <c r="AV64" i="6"/>
  <c r="BA64" i="6" s="1"/>
  <c r="AU70" i="6"/>
  <c r="BA70" i="6" s="1"/>
  <c r="F43" i="1"/>
  <c r="T52" i="6"/>
  <c r="Q54" i="6"/>
  <c r="Q59" i="6"/>
  <c r="S60" i="6"/>
  <c r="T61" i="6"/>
  <c r="R65" i="6"/>
  <c r="S66" i="6"/>
  <c r="T68" i="6"/>
  <c r="D78" i="6"/>
  <c r="AD72" i="6"/>
  <c r="N43" i="1" s="1"/>
  <c r="AF62" i="6"/>
  <c r="AH64" i="6"/>
  <c r="AF69" i="6"/>
  <c r="AM69" i="6" s="1"/>
  <c r="AH78" i="6"/>
  <c r="AF80" i="6"/>
  <c r="AV63" i="6"/>
  <c r="BA63" i="6" s="1"/>
  <c r="P52" i="6"/>
  <c r="T53" i="6"/>
  <c r="U60" i="6"/>
  <c r="U61" i="6"/>
  <c r="U66" i="6"/>
  <c r="Q67" i="6"/>
  <c r="Q68" i="6"/>
  <c r="E104" i="6"/>
  <c r="T51" i="6"/>
  <c r="R52" i="6"/>
  <c r="P53" i="6"/>
  <c r="T55" i="6"/>
  <c r="U59" i="6"/>
  <c r="R60" i="6"/>
  <c r="T62" i="6"/>
  <c r="Q87" i="6"/>
  <c r="R93" i="6"/>
  <c r="R104" i="6"/>
  <c r="Y104" i="6" s="1"/>
  <c r="AI55" i="6"/>
  <c r="AE60" i="6"/>
  <c r="AM60" i="6" s="1"/>
  <c r="AI61" i="6"/>
  <c r="AM61" i="6" s="1"/>
  <c r="AI70" i="6"/>
  <c r="AI71" i="6"/>
  <c r="AE82" i="6"/>
  <c r="AI86" i="6"/>
  <c r="F44" i="1"/>
  <c r="F77" i="6"/>
  <c r="K77" i="6" s="1"/>
  <c r="F92" i="6"/>
  <c r="F97" i="6"/>
  <c r="K97" i="6" s="1"/>
  <c r="D92" i="6"/>
  <c r="E98" i="6"/>
  <c r="E99" i="6"/>
  <c r="C104" i="6"/>
  <c r="C105" i="6"/>
  <c r="K105" i="6" s="1"/>
  <c r="Q51" i="6"/>
  <c r="U55" i="6"/>
  <c r="T67" i="6"/>
  <c r="T69" i="6"/>
  <c r="T79" i="6"/>
  <c r="R85" i="6"/>
  <c r="R86" i="6"/>
  <c r="Y86" i="6" s="1"/>
  <c r="Q93" i="6"/>
  <c r="T94" i="6"/>
  <c r="Q101" i="6"/>
  <c r="AF50" i="6"/>
  <c r="AM50" i="6" s="1"/>
  <c r="AH53" i="6"/>
  <c r="AM53" i="6" s="1"/>
  <c r="AH56" i="6"/>
  <c r="AI62" i="6"/>
  <c r="AG63" i="6"/>
  <c r="AI67" i="6"/>
  <c r="AM67" i="6" s="1"/>
  <c r="AH68" i="6"/>
  <c r="AE71" i="6"/>
  <c r="AF78" i="6"/>
  <c r="AE80" i="6"/>
  <c r="AH82" i="6"/>
  <c r="AI92" i="6"/>
  <c r="AT41" i="6"/>
  <c r="BA41" i="6" s="1"/>
  <c r="AV42" i="6"/>
  <c r="AS56" i="6"/>
  <c r="AV69" i="6"/>
  <c r="BA69" i="6" s="1"/>
  <c r="T84" i="6"/>
  <c r="F96" i="6"/>
  <c r="K96" i="6" s="1"/>
  <c r="F76" i="6"/>
  <c r="K76" i="6" s="1"/>
  <c r="F95" i="6"/>
  <c r="G106" i="6"/>
  <c r="H44" i="1" s="1"/>
  <c r="C78" i="6"/>
  <c r="F81" i="6"/>
  <c r="K81" i="6" s="1"/>
  <c r="E83" i="6"/>
  <c r="D83" i="6"/>
  <c r="F89" i="6"/>
  <c r="E91" i="6"/>
  <c r="K91" i="6" s="1"/>
  <c r="C95" i="6"/>
  <c r="K95" i="6" s="1"/>
  <c r="F102" i="6"/>
  <c r="U51" i="6"/>
  <c r="R55" i="6"/>
  <c r="R61" i="6"/>
  <c r="Q66" i="6"/>
  <c r="U69" i="6"/>
  <c r="S79" i="6"/>
  <c r="Y79" i="6" s="1"/>
  <c r="Q80" i="6"/>
  <c r="S84" i="6"/>
  <c r="T85" i="6"/>
  <c r="Q92" i="6"/>
  <c r="Y92" i="6" s="1"/>
  <c r="T93" i="6"/>
  <c r="T97" i="6"/>
  <c r="Y97" i="6" s="1"/>
  <c r="S98" i="6"/>
  <c r="Y98" i="6" s="1"/>
  <c r="AF41" i="6"/>
  <c r="AF42" i="6"/>
  <c r="AM42" i="6" s="1"/>
  <c r="AH46" i="6"/>
  <c r="AF49" i="6"/>
  <c r="AH54" i="6"/>
  <c r="AG55" i="6"/>
  <c r="AF56" i="6"/>
  <c r="AF64" i="6"/>
  <c r="AF87" i="6"/>
  <c r="AM87" i="6" s="1"/>
  <c r="AH92" i="6"/>
  <c r="AH93" i="6"/>
  <c r="AU42" i="6"/>
  <c r="AV43" i="6"/>
  <c r="BA43" i="6" s="1"/>
  <c r="AW44" i="6"/>
  <c r="AV51" i="6"/>
  <c r="BA51" i="6" s="1"/>
  <c r="AW56" i="6"/>
  <c r="AW107" i="6"/>
  <c r="T44" i="1" s="1"/>
  <c r="T52" i="1" s="1"/>
  <c r="U51" i="1" s="1"/>
  <c r="J66" i="1" s="1"/>
  <c r="BA107" i="6"/>
  <c r="N30" i="1" s="1"/>
  <c r="Y80" i="6" l="1"/>
  <c r="U49" i="1"/>
  <c r="H66" i="1" s="1"/>
  <c r="U50" i="1"/>
  <c r="I66" i="1" s="1"/>
  <c r="Y101" i="6"/>
  <c r="K104" i="6"/>
  <c r="AM49" i="6"/>
  <c r="Y54" i="6"/>
  <c r="Y53" i="6"/>
  <c r="AM106" i="6"/>
  <c r="Y52" i="6"/>
  <c r="Y68" i="6"/>
  <c r="K90" i="6"/>
  <c r="K92" i="6"/>
  <c r="AM64" i="6"/>
  <c r="AM55" i="6"/>
  <c r="K78" i="6"/>
  <c r="Y84" i="6"/>
  <c r="Y87" i="6"/>
  <c r="Y60" i="6"/>
  <c r="AM94" i="6"/>
  <c r="AM41" i="6"/>
  <c r="K89" i="6"/>
  <c r="AM54" i="6"/>
  <c r="K83" i="6"/>
  <c r="AM78" i="6"/>
  <c r="K98" i="6"/>
  <c r="AM70" i="6"/>
  <c r="BA44" i="6"/>
  <c r="AM68" i="6"/>
  <c r="Y99" i="6"/>
  <c r="Y83" i="6"/>
  <c r="Y94" i="6"/>
  <c r="AM46" i="6"/>
  <c r="AM63" i="6"/>
  <c r="K99" i="6"/>
  <c r="AM92" i="6"/>
  <c r="Y85" i="6"/>
  <c r="AM82" i="6"/>
  <c r="Y55" i="6"/>
  <c r="AM80" i="6"/>
  <c r="Y67" i="6"/>
  <c r="K102" i="6"/>
  <c r="AM56" i="6"/>
  <c r="Y66" i="6"/>
  <c r="AM86" i="6"/>
  <c r="Y65" i="6"/>
  <c r="AM71" i="6"/>
  <c r="Y62" i="6"/>
  <c r="BA56" i="6"/>
  <c r="Y51" i="6"/>
  <c r="AM62" i="6"/>
  <c r="Y59" i="6"/>
  <c r="Y61" i="6"/>
  <c r="Y93" i="6"/>
  <c r="BA42" i="6"/>
  <c r="AM93" i="6"/>
  <c r="Y69" i="6"/>
  <c r="P72" i="6"/>
  <c r="J43" i="1" s="1"/>
  <c r="N23" i="1"/>
  <c r="U44" i="1"/>
  <c r="AU71" i="6"/>
  <c r="R48" i="1" s="1"/>
  <c r="D106" i="6"/>
  <c r="H47" i="1" s="1"/>
  <c r="F47" i="1"/>
  <c r="AE107" i="6"/>
  <c r="P45" i="1" s="1"/>
  <c r="AH72" i="6"/>
  <c r="N46" i="1" s="1"/>
  <c r="T106" i="6"/>
  <c r="L46" i="1" s="1"/>
  <c r="S106" i="6"/>
  <c r="L48" i="1" s="1"/>
  <c r="AV71" i="6"/>
  <c r="R46" i="1" s="1"/>
  <c r="AI107" i="6"/>
  <c r="P44" i="1" s="1"/>
  <c r="AF107" i="6"/>
  <c r="P47" i="1" s="1"/>
  <c r="BJ107" i="6"/>
  <c r="X46" i="1" s="1"/>
  <c r="AH107" i="6"/>
  <c r="P46" i="1" s="1"/>
  <c r="R106" i="6"/>
  <c r="L47" i="1" s="1"/>
  <c r="S72" i="6"/>
  <c r="J48" i="1" s="1"/>
  <c r="AT71" i="6"/>
  <c r="R47" i="1" s="1"/>
  <c r="AG72" i="6"/>
  <c r="N48" i="1" s="1"/>
  <c r="BI107" i="6"/>
  <c r="X48" i="1" s="1"/>
  <c r="E106" i="6"/>
  <c r="H48" i="1" s="1"/>
  <c r="AG107" i="6"/>
  <c r="P48" i="1" s="1"/>
  <c r="Q106" i="6"/>
  <c r="L45" i="1" s="1"/>
  <c r="AE72" i="6"/>
  <c r="N45" i="1" s="1"/>
  <c r="C106" i="6"/>
  <c r="H45" i="1" s="1"/>
  <c r="U72" i="6"/>
  <c r="J44" i="1" s="1"/>
  <c r="F106" i="6"/>
  <c r="H46" i="1" s="1"/>
  <c r="R72" i="6"/>
  <c r="J47" i="1" s="1"/>
  <c r="AF72" i="6"/>
  <c r="N47" i="1" s="1"/>
  <c r="BK107" i="6"/>
  <c r="X44" i="1" s="1"/>
  <c r="Q72" i="6"/>
  <c r="J45" i="1" s="1"/>
  <c r="BF107" i="6"/>
  <c r="X43" i="1" s="1"/>
  <c r="AS71" i="6"/>
  <c r="R45" i="1" s="1"/>
  <c r="BG107" i="6"/>
  <c r="X45" i="1" s="1"/>
  <c r="T72" i="6"/>
  <c r="J46" i="1" s="1"/>
  <c r="AW71" i="6"/>
  <c r="R44" i="1" s="1"/>
  <c r="AI72" i="6"/>
  <c r="N44" i="1" s="1"/>
  <c r="BH107" i="6"/>
  <c r="X47" i="1" s="1"/>
  <c r="F45" i="1"/>
  <c r="F52" i="1" l="1"/>
  <c r="G51" i="1" s="1"/>
  <c r="J59" i="1" s="1"/>
  <c r="N52" i="1"/>
  <c r="O51" i="1" s="1"/>
  <c r="J63" i="1" s="1"/>
  <c r="R52" i="1"/>
  <c r="S51" i="1" s="1"/>
  <c r="J65" i="1" s="1"/>
  <c r="H52" i="1"/>
  <c r="I51" i="1" s="1"/>
  <c r="J60" i="1" s="1"/>
  <c r="J52" i="1"/>
  <c r="X52" i="1"/>
  <c r="Y51" i="1" s="1"/>
  <c r="J68" i="1" s="1"/>
  <c r="G49" i="1"/>
  <c r="H59" i="1" s="1"/>
  <c r="BA71" i="6"/>
  <c r="N29" i="1" s="1"/>
  <c r="K106" i="6"/>
  <c r="N24" i="1" s="1"/>
  <c r="J53" i="1"/>
  <c r="C75" i="1" s="1"/>
  <c r="C73" i="1"/>
  <c r="U52" i="1"/>
  <c r="U45" i="1"/>
  <c r="D66" i="1" s="1"/>
  <c r="U46" i="1"/>
  <c r="E66" i="1" s="1"/>
  <c r="U47" i="1"/>
  <c r="F66" i="1" s="1"/>
  <c r="U48" i="1"/>
  <c r="G66" i="1" s="1"/>
  <c r="U43" i="1"/>
  <c r="B66" i="1" s="1"/>
  <c r="R53" i="1"/>
  <c r="C79" i="1" s="1"/>
  <c r="C66" i="1"/>
  <c r="N53" i="1"/>
  <c r="C77" i="1" s="1"/>
  <c r="H53" i="1"/>
  <c r="C74" i="1" s="1"/>
  <c r="V53" i="1"/>
  <c r="C81" i="1" s="1"/>
  <c r="AM72" i="6"/>
  <c r="N27" i="1" s="1"/>
  <c r="BO71" i="6"/>
  <c r="N31" i="1" s="1"/>
  <c r="Y72" i="6"/>
  <c r="N25" i="1" s="1"/>
  <c r="BO107" i="6"/>
  <c r="N32" i="1" s="1"/>
  <c r="Y52" i="1" l="1"/>
  <c r="Y50" i="1"/>
  <c r="I68" i="1" s="1"/>
  <c r="Y49" i="1"/>
  <c r="H68" i="1" s="1"/>
  <c r="K45" i="1"/>
  <c r="D61" i="1" s="1"/>
  <c r="K49" i="1"/>
  <c r="H61" i="1" s="1"/>
  <c r="K50" i="1"/>
  <c r="I61" i="1" s="1"/>
  <c r="S45" i="1"/>
  <c r="D65" i="1" s="1"/>
  <c r="S49" i="1"/>
  <c r="H65" i="1" s="1"/>
  <c r="S50" i="1"/>
  <c r="I65" i="1" s="1"/>
  <c r="O49" i="1"/>
  <c r="H63" i="1" s="1"/>
  <c r="O50" i="1"/>
  <c r="I63" i="1" s="1"/>
  <c r="G52" i="1"/>
  <c r="G50" i="1"/>
  <c r="I59" i="1" s="1"/>
  <c r="I50" i="1"/>
  <c r="I60" i="1" s="1"/>
  <c r="I49" i="1"/>
  <c r="H60" i="1" s="1"/>
  <c r="I43" i="1"/>
  <c r="B60" i="1" s="1"/>
  <c r="G45" i="1"/>
  <c r="O52" i="1"/>
  <c r="O43" i="1"/>
  <c r="B63" i="1" s="1"/>
  <c r="I52" i="1"/>
  <c r="I44" i="1"/>
  <c r="C60" i="1" s="1"/>
  <c r="O44" i="1"/>
  <c r="C63" i="1" s="1"/>
  <c r="K47" i="1"/>
  <c r="F61" i="1" s="1"/>
  <c r="K48" i="1"/>
  <c r="G61" i="1" s="1"/>
  <c r="O45" i="1"/>
  <c r="D63" i="1" s="1"/>
  <c r="K46" i="1"/>
  <c r="E61" i="1" s="1"/>
  <c r="K44" i="1"/>
  <c r="C61" i="1" s="1"/>
  <c r="I47" i="1"/>
  <c r="F60" i="1" s="1"/>
  <c r="I48" i="1"/>
  <c r="G60" i="1" s="1"/>
  <c r="O46" i="1"/>
  <c r="E63" i="1" s="1"/>
  <c r="K52" i="1"/>
  <c r="O47" i="1"/>
  <c r="F63" i="1" s="1"/>
  <c r="O48" i="1"/>
  <c r="G63" i="1" s="1"/>
  <c r="I46" i="1"/>
  <c r="E60" i="1" s="1"/>
  <c r="G43" i="1"/>
  <c r="B59" i="1" s="1"/>
  <c r="G46" i="1"/>
  <c r="G48" i="1"/>
  <c r="G44" i="1"/>
  <c r="G47" i="1"/>
  <c r="I45" i="1"/>
  <c r="D60" i="1" s="1"/>
  <c r="K43" i="1"/>
  <c r="B61" i="1" s="1"/>
  <c r="Y46" i="1"/>
  <c r="E68" i="1" s="1"/>
  <c r="Y45" i="1"/>
  <c r="D68" i="1" s="1"/>
  <c r="Y43" i="1"/>
  <c r="B68" i="1" s="1"/>
  <c r="Y47" i="1"/>
  <c r="F68" i="1" s="1"/>
  <c r="Y48" i="1"/>
  <c r="G68" i="1" s="1"/>
  <c r="S52" i="1"/>
  <c r="S43" i="1"/>
  <c r="B65" i="1" s="1"/>
  <c r="S46" i="1"/>
  <c r="E65" i="1" s="1"/>
  <c r="S44" i="1"/>
  <c r="C65" i="1" s="1"/>
  <c r="S48" i="1"/>
  <c r="G65" i="1" s="1"/>
  <c r="Y44" i="1"/>
  <c r="C68" i="1" s="1"/>
  <c r="S47" i="1"/>
  <c r="F65" i="1" s="1"/>
  <c r="C32" i="1"/>
  <c r="C33" i="1" l="1"/>
  <c r="C34" i="1"/>
  <c r="E59" i="1"/>
  <c r="F59" i="1"/>
  <c r="D59" i="1"/>
  <c r="G59" i="1"/>
  <c r="C59" i="1"/>
  <c r="C36" i="1"/>
  <c r="C28" i="1"/>
  <c r="C27" i="1"/>
  <c r="C31" i="1"/>
  <c r="C29" i="1"/>
  <c r="C30" i="1"/>
  <c r="P106" i="6"/>
  <c r="L43" i="1" s="1"/>
  <c r="L52" i="1" s="1"/>
  <c r="AD107" i="6"/>
  <c r="P43" i="1" s="1"/>
  <c r="P52" i="1" s="1"/>
  <c r="Q51" i="1" s="1"/>
  <c r="J64" i="1" s="1"/>
  <c r="M51" i="1" l="1"/>
  <c r="J62" i="1" s="1"/>
  <c r="M52" i="1"/>
  <c r="M50" i="1"/>
  <c r="I62" i="1" s="1"/>
  <c r="M49" i="1"/>
  <c r="H62" i="1" s="1"/>
  <c r="Q49" i="1"/>
  <c r="H64" i="1" s="1"/>
  <c r="Q50" i="1"/>
  <c r="I64" i="1" s="1"/>
  <c r="AM107" i="6"/>
  <c r="N28" i="1" s="1"/>
  <c r="P53" i="1"/>
  <c r="C78" i="1" s="1"/>
  <c r="Y106" i="6"/>
  <c r="N26" i="1" s="1"/>
  <c r="L53" i="1"/>
  <c r="C76" i="1" s="1"/>
  <c r="N33" i="1" l="1"/>
  <c r="M44" i="1"/>
  <c r="C62" i="1" s="1"/>
  <c r="M46" i="1"/>
  <c r="E62" i="1" s="1"/>
  <c r="M48" i="1"/>
  <c r="G62" i="1" s="1"/>
  <c r="M47" i="1"/>
  <c r="F62" i="1" s="1"/>
  <c r="M45" i="1"/>
  <c r="D62" i="1" s="1"/>
  <c r="Q52" i="1"/>
  <c r="Q46" i="1"/>
  <c r="E64" i="1" s="1"/>
  <c r="Q47" i="1"/>
  <c r="F64" i="1" s="1"/>
  <c r="Q44" i="1"/>
  <c r="C64" i="1" s="1"/>
  <c r="Q45" i="1"/>
  <c r="D64" i="1" s="1"/>
  <c r="Q48" i="1"/>
  <c r="G64" i="1" s="1"/>
  <c r="M43" i="1"/>
  <c r="B62" i="1" s="1"/>
  <c r="Q43" i="1"/>
  <c r="B64" i="1" s="1"/>
  <c r="O28" i="1" l="1"/>
  <c r="O30" i="1"/>
  <c r="O32" i="1"/>
  <c r="O31" i="1"/>
  <c r="O21" i="1"/>
  <c r="O22" i="1"/>
  <c r="O23" i="1"/>
  <c r="O24" i="1"/>
  <c r="O27" i="1"/>
  <c r="O25" i="1"/>
  <c r="O29" i="1"/>
  <c r="O26" i="1"/>
  <c r="O3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Edson Alizeu</author>
  </authors>
  <commentList>
    <comment ref="D1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Edson Alizeu:</t>
        </r>
        <r>
          <rPr>
            <sz val="9"/>
            <color indexed="81"/>
            <rFont val="Tahoma"/>
            <family val="2"/>
          </rPr>
          <t xml:space="preserve">
Avaliar pertinência de permanência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<sst xmlns="http://schemas.openxmlformats.org/spreadsheetml/2006/main" count="681" uniqueCount="93">
  <si>
    <t>Departamento - Área</t>
  </si>
  <si>
    <t>Nome</t>
  </si>
  <si>
    <t>Função</t>
  </si>
  <si>
    <t>Total de horas trabalhadas</t>
  </si>
  <si>
    <t>Tipologia</t>
  </si>
  <si>
    <t>%</t>
  </si>
  <si>
    <t>Análise</t>
  </si>
  <si>
    <t>Revisão</t>
  </si>
  <si>
    <t>Elaboração</t>
  </si>
  <si>
    <t>Reunião</t>
  </si>
  <si>
    <t>Gestão</t>
  </si>
  <si>
    <t>Outro</t>
  </si>
  <si>
    <t>Total</t>
  </si>
  <si>
    <t>Limites</t>
  </si>
  <si>
    <t>Início</t>
  </si>
  <si>
    <t>Fim</t>
  </si>
  <si>
    <t xml:space="preserve"> Timesheet</t>
  </si>
  <si>
    <t>1 . IDENTIFICAÇÃO DO COLABORADOR</t>
  </si>
  <si>
    <t>2. LISTA DE ACTIVIDADES REALIZADAS</t>
  </si>
  <si>
    <t>Data</t>
  </si>
  <si>
    <t>Descrição</t>
  </si>
  <si>
    <t>Tipo</t>
  </si>
  <si>
    <t>Comentários/Notas</t>
  </si>
  <si>
    <t>Média Mensal</t>
  </si>
  <si>
    <t>Número de horas</t>
  </si>
  <si>
    <t>Total de horas</t>
  </si>
  <si>
    <t>Dezembro</t>
  </si>
  <si>
    <t>Novembro</t>
  </si>
  <si>
    <t>Outubro</t>
  </si>
  <si>
    <t>Setembro</t>
  </si>
  <si>
    <t>Agosto</t>
  </si>
  <si>
    <t>Julho</t>
  </si>
  <si>
    <t>Junho</t>
  </si>
  <si>
    <t>Maio</t>
  </si>
  <si>
    <t>Abril</t>
  </si>
  <si>
    <t>Março</t>
  </si>
  <si>
    <t>Fevereiro</t>
  </si>
  <si>
    <t>Janeiro</t>
  </si>
  <si>
    <t>Real</t>
  </si>
  <si>
    <t>Referêncial</t>
  </si>
  <si>
    <t>-</t>
  </si>
  <si>
    <t xml:space="preserve">% </t>
  </si>
  <si>
    <t>Média diária</t>
  </si>
  <si>
    <t>Tempo global
(Total de horas trabalhadas)</t>
  </si>
  <si>
    <t>Análise Mensal por:</t>
  </si>
  <si>
    <t>Análise global por:</t>
  </si>
  <si>
    <t>Relatório de Acompanhamento
KPI - Timesheet</t>
  </si>
  <si>
    <t>Data do documento:</t>
  </si>
  <si>
    <t>Mês</t>
  </si>
  <si>
    <t>Referencial</t>
  </si>
  <si>
    <t>Referncial</t>
  </si>
  <si>
    <t>Entrada</t>
  </si>
  <si>
    <t>Saída</t>
  </si>
  <si>
    <t>Horas de trabalho por dia</t>
  </si>
  <si>
    <t>Horas por semana</t>
  </si>
  <si>
    <t>Hora de entrada</t>
  </si>
  <si>
    <t>Hora de saída</t>
  </si>
  <si>
    <t>Horas</t>
  </si>
  <si>
    <t>Resumo</t>
  </si>
  <si>
    <t>Semanas</t>
  </si>
  <si>
    <t>Entrada (Média)</t>
  </si>
  <si>
    <t>Saída (Média)</t>
  </si>
  <si>
    <t>Volume de horas trabalhadas por mês</t>
  </si>
  <si>
    <t>Sumário</t>
  </si>
  <si>
    <t>Identificação</t>
  </si>
  <si>
    <t>Total (horas)</t>
  </si>
  <si>
    <t>PJ-2020-007  - Implementação do NUIB</t>
  </si>
  <si>
    <t>Com a DOP-Clientes</t>
  </si>
  <si>
    <t>A partir do webmail</t>
  </si>
  <si>
    <t>Modelo de acompanhamento</t>
  </si>
  <si>
    <t>Tema:4.2.3-Executar as sessões de passagem de conhecimento Tema Testes de Software</t>
  </si>
  <si>
    <t>Edson Uamusse</t>
  </si>
  <si>
    <t>Cláudia Tivane</t>
  </si>
  <si>
    <t>Aida Idrissa</t>
  </si>
  <si>
    <t>Imiraan Jamal</t>
  </si>
  <si>
    <t>João Mambuque</t>
  </si>
  <si>
    <t>Suporte</t>
  </si>
  <si>
    <t>Execução</t>
  </si>
  <si>
    <t>Pesquisa</t>
  </si>
  <si>
    <t>Instalar na maquina o projecto de automação da primeira versão de account-opening</t>
  </si>
  <si>
    <t>Configurações do maven , proxy, Java e IDE´s (Ajuda do Helénio)</t>
  </si>
  <si>
    <t>Leitura da documentação do WF de abertura de contas (Enviado pela Lara)</t>
  </si>
  <si>
    <t>Solicitei permissões para dar continuidades a instalação e configuração do projecto opening-account e suas dependencias</t>
  </si>
  <si>
    <t>Pedido de acesso ao WF nos ambientes de Qualidade e Pré-Produção (Arménio Julião)</t>
  </si>
  <si>
    <t>Acesso ao MozaDesk</t>
  </si>
  <si>
    <t>Definição de Qualidade - Comentários (Referente ao documento partilhado pela Lara com fluxo de trabalho da Aréa)</t>
  </si>
  <si>
    <t>Pedido de adição do meu user ao grupo de PJ-2018-010 – Workflow de Processos | Relatório de Progresso</t>
  </si>
  <si>
    <t>Validação da correção de bugs no WF - no processo de devoluçao de uma conta através do serviço de clientes para UN (Com o colega Osvaldo Matola a pedido da Lara e Ineida)</t>
  </si>
  <si>
    <t>Validação na lentidão para finalizar os processos a nivel do workflow com o colega (Jacenio Mazivila)</t>
  </si>
  <si>
    <t xml:space="preserve">Uma proposta de melhores praticas para nossa aréa de qualidade </t>
  </si>
  <si>
    <t>Validação dos Jiras com a DOP para aceitação com o colega Osvaldo</t>
  </si>
  <si>
    <t>Documentação do WF - Meios de Pagamentos</t>
  </si>
  <si>
    <t>Novo codigo para automatizar o WF - Opening account e Meios de Pagamento (Nodejs - Cypress - Mochaawesome-reporter)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</si>
</sst>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h:mm;@"/>
    <numFmt numFmtId="165" formatCode="[h]:mm:ss;@"/>
    <numFmt numFmtId="166" formatCode="hh:mm;;;"/>
    <numFmt numFmtId="167" formatCode="0%;;;"/>
    <numFmt numFmtId="168" formatCode="hh:mm:ss;;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i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b/>
      <sz val="10"/>
      <color indexed="9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A291C"/>
        <bgColor indexed="64"/>
      </patternFill>
    </fill>
    <fill>
      <patternFill patternType="solid">
        <fgColor rgb="FFDA291B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1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theme="0"/>
      </left>
      <right style="medium">
        <color theme="0"/>
      </right>
      <top/>
      <bottom style="thin">
        <color theme="1"/>
      </bottom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/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43">
    <xf numFmtId="0" fontId="0" fillId="0" borderId="0" xfId="0"/>
    <xf numFmtId="14" fontId="0" fillId="0" borderId="10" xfId="0" applyNumberFormat="1" applyBorder="1" applyAlignment="1">
      <alignment horizontal="center" vertical="center"/>
    </xf>
    <xf numFmtId="165" fontId="0" fillId="0" borderId="0" xfId="0" applyNumberFormat="1"/>
    <xf numFmtId="165" fontId="0" fillId="0" borderId="10" xfId="0" applyNumberFormat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165" fontId="1" fillId="0" borderId="0" xfId="0" applyNumberFormat="1" applyFont="1"/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/>
    <xf numFmtId="0" fontId="9" fillId="0" borderId="0" xfId="0" applyFont="1"/>
    <xf numFmtId="14" fontId="10" fillId="0" borderId="0" xfId="0" applyNumberFormat="1" applyFont="1"/>
    <xf numFmtId="0" fontId="11" fillId="3" borderId="11" xfId="0" applyFont="1" applyFill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8" fillId="0" borderId="45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11" fillId="3" borderId="16" xfId="0" applyFont="1" applyFill="1" applyBorder="1" applyAlignment="1">
      <alignment horizontal="center" vertical="center" wrapText="1"/>
    </xf>
    <xf numFmtId="165" fontId="8" fillId="0" borderId="13" xfId="0" applyNumberFormat="1" applyFont="1" applyBorder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35" xfId="0" applyFont="1" applyBorder="1"/>
    <xf numFmtId="0" fontId="8" fillId="0" borderId="36" xfId="0" applyFont="1" applyBorder="1"/>
    <xf numFmtId="0" fontId="9" fillId="0" borderId="23" xfId="0" applyFont="1" applyBorder="1" applyAlignment="1">
      <alignment horizontal="center" vertical="center"/>
    </xf>
    <xf numFmtId="165" fontId="8" fillId="0" borderId="23" xfId="0" applyNumberFormat="1" applyFont="1" applyBorder="1" applyAlignment="1">
      <alignment horizontal="center" vertical="center"/>
    </xf>
    <xf numFmtId="167" fontId="8" fillId="0" borderId="23" xfId="1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7" fontId="8" fillId="0" borderId="13" xfId="1" applyNumberFormat="1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9" fontId="8" fillId="0" borderId="13" xfId="1" applyFont="1" applyBorder="1" applyAlignment="1">
      <alignment horizontal="center"/>
    </xf>
    <xf numFmtId="165" fontId="8" fillId="0" borderId="13" xfId="0" applyNumberFormat="1" applyFont="1" applyBorder="1" applyAlignment="1">
      <alignment horizontal="center"/>
    </xf>
    <xf numFmtId="0" fontId="11" fillId="2" borderId="13" xfId="0" applyFont="1" applyFill="1" applyBorder="1" applyAlignment="1">
      <alignment horizontal="center" vertical="center"/>
    </xf>
    <xf numFmtId="165" fontId="11" fillId="2" borderId="13" xfId="0" applyNumberFormat="1" applyFont="1" applyFill="1" applyBorder="1" applyAlignment="1">
      <alignment horizontal="center" vertical="center"/>
    </xf>
    <xf numFmtId="9" fontId="11" fillId="2" borderId="13" xfId="1" applyFont="1" applyFill="1" applyBorder="1" applyAlignment="1">
      <alignment horizontal="center"/>
    </xf>
    <xf numFmtId="165" fontId="13" fillId="2" borderId="13" xfId="0" applyNumberFormat="1" applyFont="1" applyFill="1" applyBorder="1" applyAlignment="1">
      <alignment horizontal="center" vertical="center"/>
    </xf>
    <xf numFmtId="165" fontId="8" fillId="0" borderId="0" xfId="0" applyNumberFormat="1" applyFont="1"/>
    <xf numFmtId="9" fontId="11" fillId="2" borderId="13" xfId="1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/>
    <xf numFmtId="0" fontId="11" fillId="3" borderId="11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/>
    </xf>
    <xf numFmtId="167" fontId="8" fillId="0" borderId="13" xfId="1" applyNumberFormat="1" applyFont="1" applyBorder="1" applyAlignment="1">
      <alignment horizontal="center"/>
    </xf>
    <xf numFmtId="165" fontId="11" fillId="2" borderId="13" xfId="0" applyNumberFormat="1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165" fontId="8" fillId="0" borderId="0" xfId="0" applyNumberFormat="1" applyFont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9" fontId="8" fillId="0" borderId="26" xfId="0" applyNumberFormat="1" applyFont="1" applyBorder="1" applyAlignment="1">
      <alignment horizontal="center" vertical="center"/>
    </xf>
    <xf numFmtId="0" fontId="8" fillId="0" borderId="25" xfId="0" applyFont="1" applyBorder="1"/>
    <xf numFmtId="0" fontId="8" fillId="0" borderId="13" xfId="0" applyFont="1" applyBorder="1" applyAlignment="1">
      <alignment horizontal="center" vertical="center"/>
    </xf>
    <xf numFmtId="9" fontId="8" fillId="0" borderId="13" xfId="0" applyNumberFormat="1" applyFont="1" applyBorder="1" applyAlignment="1">
      <alignment horizontal="center" vertical="center"/>
    </xf>
    <xf numFmtId="9" fontId="13" fillId="3" borderId="11" xfId="1" applyFont="1" applyFill="1" applyBorder="1" applyAlignment="1">
      <alignment horizontal="center" vertical="center"/>
    </xf>
    <xf numFmtId="9" fontId="8" fillId="0" borderId="26" xfId="1" applyFont="1" applyFill="1" applyBorder="1" applyAlignment="1">
      <alignment horizontal="center" vertical="center"/>
    </xf>
    <xf numFmtId="9" fontId="8" fillId="0" borderId="13" xfId="1" applyFont="1" applyFill="1" applyBorder="1" applyAlignment="1">
      <alignment horizontal="center" vertical="center"/>
    </xf>
    <xf numFmtId="0" fontId="8" fillId="0" borderId="27" xfId="0" applyFont="1" applyBorder="1"/>
    <xf numFmtId="0" fontId="11" fillId="3" borderId="27" xfId="0" applyFont="1" applyFill="1" applyBorder="1" applyAlignment="1">
      <alignment vertical="center"/>
    </xf>
    <xf numFmtId="0" fontId="11" fillId="3" borderId="27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166" fontId="8" fillId="0" borderId="23" xfId="0" applyNumberFormat="1" applyFont="1" applyBorder="1" applyAlignment="1">
      <alignment horizontal="center" vertical="center"/>
    </xf>
    <xf numFmtId="0" fontId="14" fillId="0" borderId="0" xfId="0" applyFont="1"/>
    <xf numFmtId="0" fontId="15" fillId="5" borderId="0" xfId="0" applyFont="1" applyFill="1" applyAlignment="1">
      <alignment horizontal="center" vertical="center"/>
    </xf>
    <xf numFmtId="0" fontId="15" fillId="5" borderId="0" xfId="0" applyFont="1" applyFill="1"/>
    <xf numFmtId="0" fontId="8" fillId="0" borderId="0" xfId="0" applyFont="1" applyAlignment="1">
      <alignment horizontal="left" vertical="center" wrapText="1"/>
    </xf>
    <xf numFmtId="0" fontId="9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2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8" fillId="0" borderId="42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4" fillId="0" borderId="10" xfId="2" applyFont="1" applyFill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6" borderId="0" xfId="0" applyFill="1"/>
    <xf numFmtId="0" fontId="1" fillId="7" borderId="0" xfId="0" applyFont="1" applyFill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14" fontId="0" fillId="6" borderId="10" xfId="0" applyNumberFormat="1" applyFill="1" applyBorder="1" applyAlignment="1">
      <alignment horizontal="center" vertical="center"/>
    </xf>
    <xf numFmtId="165" fontId="0" fillId="6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 vertical="center"/>
    </xf>
    <xf numFmtId="14" fontId="0" fillId="0" borderId="0" xfId="0" applyNumberFormat="1"/>
    <xf numFmtId="168" fontId="8" fillId="0" borderId="13" xfId="0" applyNumberFormat="1" applyFont="1" applyBorder="1" applyAlignment="1">
      <alignment horizontal="center" vertical="center"/>
    </xf>
    <xf numFmtId="14" fontId="14" fillId="0" borderId="10" xfId="0" applyNumberFormat="1" applyFont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horizontal="left"/>
    </xf>
    <xf numFmtId="0" fontId="17" fillId="2" borderId="2" xfId="0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7" fillId="2" borderId="40" xfId="0" applyFont="1" applyFill="1" applyBorder="1" applyAlignment="1">
      <alignment horizontal="left"/>
    </xf>
    <xf numFmtId="0" fontId="17" fillId="2" borderId="41" xfId="0" applyFont="1" applyFill="1" applyBorder="1" applyAlignment="1">
      <alignment horizontal="left"/>
    </xf>
    <xf numFmtId="0" fontId="11" fillId="2" borderId="27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1" fillId="3" borderId="43" xfId="0" applyFont="1" applyFill="1" applyBorder="1" applyAlignment="1">
      <alignment horizontal="center" vertical="center" wrapText="1"/>
    </xf>
    <xf numFmtId="0" fontId="13" fillId="3" borderId="46" xfId="0" applyFont="1" applyFill="1" applyBorder="1" applyAlignment="1">
      <alignment horizontal="center" vertical="center"/>
    </xf>
    <xf numFmtId="0" fontId="13" fillId="3" borderId="47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11" fillId="3" borderId="24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8" fillId="0" borderId="37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29" xfId="0" applyFont="1" applyBorder="1" applyAlignment="1">
      <alignment horizontal="justify" vertical="center" wrapText="1"/>
    </xf>
    <xf numFmtId="0" fontId="8" fillId="0" borderId="30" xfId="0" applyFont="1" applyBorder="1" applyAlignment="1">
      <alignment horizontal="justify" vertical="center" wrapText="1"/>
    </xf>
    <xf numFmtId="0" fontId="8" fillId="0" borderId="31" xfId="0" applyFont="1" applyBorder="1" applyAlignment="1">
      <alignment horizontal="justify" vertical="center" wrapText="1"/>
    </xf>
    <xf numFmtId="0" fontId="8" fillId="0" borderId="32" xfId="0" applyFont="1" applyBorder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0" fontId="8" fillId="0" borderId="33" xfId="0" applyFont="1" applyBorder="1" applyAlignment="1">
      <alignment horizontal="justify" vertical="center" wrapText="1"/>
    </xf>
    <xf numFmtId="0" fontId="8" fillId="0" borderId="34" xfId="0" applyFont="1" applyBorder="1" applyAlignment="1">
      <alignment horizontal="justify" vertical="center" wrapText="1"/>
    </xf>
    <xf numFmtId="0" fontId="8" fillId="0" borderId="8" xfId="0" applyFont="1" applyBorder="1" applyAlignment="1">
      <alignment horizontal="justify" vertical="center" wrapText="1"/>
    </xf>
    <xf numFmtId="0" fontId="8" fillId="0" borderId="9" xfId="0" applyFont="1" applyBorder="1" applyAlignment="1">
      <alignment horizontal="justify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25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DA291C"/>
      <color rgb="FF0000FF"/>
      <color rgb="FFDA291B"/>
      <color rgb="FFD929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PT" sz="1200" b="1">
                <a:latin typeface="Arial" panose="020B0604020202020204" pitchFamily="34" charset="0"/>
                <a:cs typeface="Arial" panose="020B0604020202020204" pitchFamily="34" charset="0"/>
              </a:rPr>
              <a:t>Análise global por tipologia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12-4DA1-9008-9C9975C946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12-4DA1-9008-9C9975C946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12-4DA1-9008-9C9975C946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912-4DA1-9008-9C9975C946B2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912-4DA1-9008-9C9975C946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912-4DA1-9008-9C9975C946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D23-4D1A-A422-B09A53E7B01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D23-4D1A-A422-B09A53E7B01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A69-4C46-998C-434F9FBB097C}"/>
              </c:ext>
            </c:extLst>
          </c:dPt>
          <c:dLbls>
            <c:dLbl>
              <c:idx val="0"/>
              <c:layout>
                <c:manualLayout>
                  <c:x val="4.7410608408784992E-2"/>
                  <c:y val="-0.135688869350728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12-4DA1-9008-9C9975C946B2}"/>
                </c:ext>
              </c:extLst>
            </c:dLbl>
            <c:dLbl>
              <c:idx val="1"/>
              <c:layout>
                <c:manualLayout>
                  <c:x val="0.11754378440534466"/>
                  <c:y val="-8.0712139210281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12-4DA1-9008-9C9975C946B2}"/>
                </c:ext>
              </c:extLst>
            </c:dLbl>
            <c:dLbl>
              <c:idx val="2"/>
              <c:layout>
                <c:manualLayout>
                  <c:x val="0.17953640518701311"/>
                  <c:y val="0.136581181277751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12-4DA1-9008-9C9975C946B2}"/>
                </c:ext>
              </c:extLst>
            </c:dLbl>
            <c:dLbl>
              <c:idx val="3"/>
              <c:layout>
                <c:manualLayout>
                  <c:x val="-0.16407876266528185"/>
                  <c:y val="8.75625506919492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912-4DA1-9008-9C9975C946B2}"/>
                </c:ext>
              </c:extLst>
            </c:dLbl>
            <c:dLbl>
              <c:idx val="4"/>
              <c:layout>
                <c:manualLayout>
                  <c:x val="-0.12556494604685561"/>
                  <c:y val="-9.45225302748689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912-4DA1-9008-9C9975C946B2}"/>
                </c:ext>
              </c:extLst>
            </c:dLbl>
            <c:dLbl>
              <c:idx val="5"/>
              <c:layout>
                <c:manualLayout>
                  <c:x val="-0.11401413944473876"/>
                  <c:y val="-0.134118571392303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912-4DA1-9008-9C9975C946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Relatório!$A$27:$A$35</c:f>
              <c:strCache>
                <c:ptCount val="9"/>
                <c:pt idx="0">
                  <c:v>Análise</c:v>
                </c:pt>
                <c:pt idx="1">
                  <c:v>Revisão</c:v>
                </c:pt>
                <c:pt idx="2">
                  <c:v>Elaboração</c:v>
                </c:pt>
                <c:pt idx="3">
                  <c:v>Reunião</c:v>
                </c:pt>
                <c:pt idx="4">
                  <c:v>Gestão</c:v>
                </c:pt>
                <c:pt idx="5">
                  <c:v>Outro</c:v>
                </c:pt>
                <c:pt idx="6">
                  <c:v>Suporte</c:v>
                </c:pt>
                <c:pt idx="7">
                  <c:v>Execução</c:v>
                </c:pt>
                <c:pt idx="8">
                  <c:v>Pesquisa</c:v>
                </c:pt>
              </c:strCache>
            </c:strRef>
          </c:cat>
          <c:val>
            <c:numRef>
              <c:f>Relatório!$C$27:$C$35</c:f>
              <c:numCache>
                <c:formatCode>0%</c:formatCode>
                <c:ptCount val="9"/>
                <c:pt idx="0">
                  <c:v>0.15886287625418061</c:v>
                </c:pt>
                <c:pt idx="1">
                  <c:v>0</c:v>
                </c:pt>
                <c:pt idx="2">
                  <c:v>0.2558528428093646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%;;;">
                  <c:v>0.18394648829431434</c:v>
                </c:pt>
                <c:pt idx="7" formatCode="0%;;;">
                  <c:v>0.40133779264214064</c:v>
                </c:pt>
                <c:pt idx="8" formatCode="0%;;;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E-4249-B872-F225D709B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956392639907825"/>
          <c:y val="0.16761519951169901"/>
          <c:w val="0.17835011991519578"/>
          <c:h val="0.32479031738672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Relatório!$N$19</c:f>
              <c:strCache>
                <c:ptCount val="1"/>
                <c:pt idx="0">
                  <c:v>Total de horas</c:v>
                </c:pt>
              </c:strCache>
            </c:strRef>
          </c:tx>
          <c:spPr>
            <a:solidFill>
              <a:srgbClr val="DA291C"/>
            </a:solidFill>
            <a:ln w="1905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Relatório!$M$21:$M$32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Relatório!$N$21:$N$32</c:f>
              <c:numCache>
                <c:formatCode>[h]:mm:ss;@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1.2458333333333333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E-4F47-9E0D-B4583FC4E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35085104"/>
        <c:axId val="1614013264"/>
      </c:barChart>
      <c:valAx>
        <c:axId val="1614013264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:ss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835085104"/>
        <c:crosses val="autoZero"/>
        <c:crossBetween val="between"/>
        <c:majorUnit val="2"/>
      </c:valAx>
      <c:catAx>
        <c:axId val="18350851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614013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Distribuição mensal por tipologia (em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Relatório!$B$56</c:f>
              <c:strCache>
                <c:ptCount val="1"/>
                <c:pt idx="0">
                  <c:v>Análise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Relatório!$A$57:$A$68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Relatório!$B$57:$B$68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0.15886287625418061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3-43B6-ACBF-72035BB6E4DB}"/>
            </c:ext>
          </c:extLst>
        </c:ser>
        <c:ser>
          <c:idx val="1"/>
          <c:order val="1"/>
          <c:tx>
            <c:strRef>
              <c:f>Relatório!$C$56</c:f>
              <c:strCache>
                <c:ptCount val="1"/>
                <c:pt idx="0">
                  <c:v>Revisão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Relatório!$A$57:$A$68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Relatório!$C$57:$C$68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3-43B6-ACBF-72035BB6E4DB}"/>
            </c:ext>
          </c:extLst>
        </c:ser>
        <c:ser>
          <c:idx val="2"/>
          <c:order val="2"/>
          <c:tx>
            <c:strRef>
              <c:f>Relatório!$D$56</c:f>
              <c:strCache>
                <c:ptCount val="1"/>
                <c:pt idx="0">
                  <c:v>Elaboração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Relatório!$A$57:$A$68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Relatório!$D$57:$D$68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0.2558528428093646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C3-43B6-ACBF-72035BB6E4DB}"/>
            </c:ext>
          </c:extLst>
        </c:ser>
        <c:ser>
          <c:idx val="3"/>
          <c:order val="3"/>
          <c:tx>
            <c:strRef>
              <c:f>Relatório!$E$56</c:f>
              <c:strCache>
                <c:ptCount val="1"/>
                <c:pt idx="0">
                  <c:v>Reunião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Relatório!$A$57:$A$68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Relatório!$E$57:$E$68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C3-43B6-ACBF-72035BB6E4DB}"/>
            </c:ext>
          </c:extLst>
        </c:ser>
        <c:ser>
          <c:idx val="4"/>
          <c:order val="4"/>
          <c:tx>
            <c:strRef>
              <c:f>Relatório!$F$56</c:f>
              <c:strCache>
                <c:ptCount val="1"/>
                <c:pt idx="0">
                  <c:v>Gestão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Relatório!$A$57:$A$68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Relatório!$F$57:$F$68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C3-43B6-ACBF-72035BB6E4DB}"/>
            </c:ext>
          </c:extLst>
        </c:ser>
        <c:ser>
          <c:idx val="5"/>
          <c:order val="5"/>
          <c:tx>
            <c:strRef>
              <c:f>Relatório!$G$56</c:f>
              <c:strCache>
                <c:ptCount val="1"/>
                <c:pt idx="0">
                  <c:v>Outro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Relatório!$A$57:$A$68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Relatório!$G$57:$G$68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C3-43B6-ACBF-72035BB6E4DB}"/>
            </c:ext>
          </c:extLst>
        </c:ser>
        <c:ser>
          <c:idx val="6"/>
          <c:order val="6"/>
          <c:tx>
            <c:strRef>
              <c:f>Relatório!$H$56</c:f>
              <c:strCache>
                <c:ptCount val="1"/>
                <c:pt idx="0">
                  <c:v>Suporte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Relatório!$A$57:$A$68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Relatório!$H$57:$H$68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0.18394648829431434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7B-4876-AC53-2EAAB871E416}"/>
            </c:ext>
          </c:extLst>
        </c:ser>
        <c:ser>
          <c:idx val="7"/>
          <c:order val="7"/>
          <c:tx>
            <c:strRef>
              <c:f>Relatório!$I$56</c:f>
              <c:strCache>
                <c:ptCount val="1"/>
                <c:pt idx="0">
                  <c:v>Execução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Relatório!$A$57:$A$68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Relatório!$I$57:$I$68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0.40133779264214064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7B-4876-AC53-2EAAB871E416}"/>
            </c:ext>
          </c:extLst>
        </c:ser>
        <c:ser>
          <c:idx val="8"/>
          <c:order val="8"/>
          <c:tx>
            <c:strRef>
              <c:f>Relatório!$J$56</c:f>
              <c:strCache>
                <c:ptCount val="1"/>
                <c:pt idx="0">
                  <c:v>Pesquisa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Relatório!$A$57:$A$68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Relatório!$J$57:$J$68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D5-4FE9-BFFE-C1D7D027E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5095440"/>
        <c:axId val="1835091088"/>
      </c:barChart>
      <c:catAx>
        <c:axId val="183509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ncord-Light" panose="02000000000000000000" pitchFamily="50" charset="0"/>
                <a:ea typeface="+mn-ea"/>
                <a:cs typeface="+mn-cs"/>
              </a:defRPr>
            </a:pPr>
            <a:endParaRPr lang="pt-PT"/>
          </a:p>
        </c:txPr>
        <c:crossAx val="1835091088"/>
        <c:crosses val="autoZero"/>
        <c:auto val="1"/>
        <c:lblAlgn val="ctr"/>
        <c:lblOffset val="100"/>
        <c:noMultiLvlLbl val="0"/>
      </c:catAx>
      <c:valAx>
        <c:axId val="183509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ncord-Light" panose="02000000000000000000" pitchFamily="50" charset="0"/>
                <a:ea typeface="+mn-ea"/>
                <a:cs typeface="+mn-cs"/>
              </a:defRPr>
            </a:pPr>
            <a:endParaRPr lang="pt-PT"/>
          </a:p>
        </c:txPr>
        <c:crossAx val="1835095440"/>
        <c:crosses val="autoZero"/>
        <c:crossBetween val="between"/>
        <c:minorUnit val="0.1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 paperSize="9" orientation="landscape" horizontalDpi="90" verticalDpi="9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Rácio de ocupação individual (mensal)</a:t>
            </a:r>
            <a:endParaRPr lang="pt-PT" sz="1200" b="1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Relatório!$B$70</c:f>
              <c:strCache>
                <c:ptCount val="1"/>
                <c:pt idx="0">
                  <c:v>Referncial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Relatório!$A$71:$A$82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Relatório!$B$71:$B$82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61-4467-808F-BD30782B74B4}"/>
            </c:ext>
          </c:extLst>
        </c:ser>
        <c:ser>
          <c:idx val="1"/>
          <c:order val="1"/>
          <c:tx>
            <c:strRef>
              <c:f>Relatório!$C$70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Relatório!$A$71:$A$82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Relatório!$C$71:$C$82</c:f>
              <c:numCache>
                <c:formatCode>0%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0.62291666666666679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61-4467-808F-BD30782B7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5088912"/>
        <c:axId val="1835095984"/>
      </c:lineChart>
      <c:catAx>
        <c:axId val="183508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835095984"/>
        <c:crosses val="autoZero"/>
        <c:auto val="1"/>
        <c:lblAlgn val="ctr"/>
        <c:lblOffset val="100"/>
        <c:noMultiLvlLbl val="0"/>
      </c:catAx>
      <c:valAx>
        <c:axId val="1835095984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835088912"/>
        <c:crosses val="autoZero"/>
        <c:crossBetween val="between"/>
        <c:majorUnit val="0.5"/>
        <c:minorUnit val="0.2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Tempo médio de entrada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Relatório!$B$86</c:f>
              <c:strCache>
                <c:ptCount val="1"/>
                <c:pt idx="0">
                  <c:v>Referencial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Relatório!$A$87:$A$98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Relatório!$B$87:$B$98</c:f>
              <c:numCache>
                <c:formatCode>hh:mm;;;</c:formatCode>
                <c:ptCount val="12"/>
                <c:pt idx="0">
                  <c:v>0.32291666666666669</c:v>
                </c:pt>
                <c:pt idx="1">
                  <c:v>0.32291666666666669</c:v>
                </c:pt>
                <c:pt idx="2">
                  <c:v>0.32291666666666669</c:v>
                </c:pt>
                <c:pt idx="3">
                  <c:v>0.32291666666666669</c:v>
                </c:pt>
                <c:pt idx="4">
                  <c:v>0.32291666666666669</c:v>
                </c:pt>
                <c:pt idx="5">
                  <c:v>0.32291666666666669</c:v>
                </c:pt>
                <c:pt idx="6">
                  <c:v>0.32291666666666669</c:v>
                </c:pt>
                <c:pt idx="7">
                  <c:v>0.32291666666666669</c:v>
                </c:pt>
                <c:pt idx="8">
                  <c:v>0.32291666666666669</c:v>
                </c:pt>
                <c:pt idx="9">
                  <c:v>0.32291666666666669</c:v>
                </c:pt>
                <c:pt idx="10">
                  <c:v>0.32291666666666669</c:v>
                </c:pt>
                <c:pt idx="11">
                  <c:v>0.32291666666666669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79-4B59-B109-746CCE348A9E}"/>
            </c:ext>
          </c:extLst>
        </c:ser>
        <c:ser>
          <c:idx val="1"/>
          <c:order val="1"/>
          <c:tx>
            <c:strRef>
              <c:f>Relatório!$C$86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Relatório!$A$87:$A$98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Relatório!$C$87:$C$98</c:f>
              <c:numCache>
                <c:formatCode>hh:mm;;;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0.43379629629629629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79-4B59-B109-746CCE348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5087280"/>
        <c:axId val="1835089456"/>
      </c:lineChart>
      <c:catAx>
        <c:axId val="183508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835089456"/>
        <c:crosses val="autoZero"/>
        <c:auto val="1"/>
        <c:lblAlgn val="ctr"/>
        <c:lblOffset val="100"/>
        <c:noMultiLvlLbl val="0"/>
      </c:catAx>
      <c:valAx>
        <c:axId val="1835089456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h:mm;;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835087280"/>
        <c:crosses val="autoZero"/>
        <c:crossBetween val="between"/>
        <c:majorUnit val="2.0000000000000004E-2"/>
        <c:minorUnit val="2.0000000000000005E-3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Tempo médio de saída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Relatório!$D$86</c:f>
              <c:strCache>
                <c:ptCount val="1"/>
                <c:pt idx="0">
                  <c:v>Referencial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Relatório!$A$87:$A$98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Relatório!$D$87:$D$98</c:f>
              <c:numCache>
                <c:formatCode>hh:mm;;;</c:formatCode>
                <c:ptCount val="12"/>
                <c:pt idx="0">
                  <c:v>0.69791666666666663</c:v>
                </c:pt>
                <c:pt idx="1">
                  <c:v>0.69791666666666663</c:v>
                </c:pt>
                <c:pt idx="2">
                  <c:v>0.69791666666666663</c:v>
                </c:pt>
                <c:pt idx="3">
                  <c:v>0.69791666666666663</c:v>
                </c:pt>
                <c:pt idx="4">
                  <c:v>0.69791666666666663</c:v>
                </c:pt>
                <c:pt idx="5">
                  <c:v>0.69791666666666663</c:v>
                </c:pt>
                <c:pt idx="6">
                  <c:v>0.69791666666666663</c:v>
                </c:pt>
                <c:pt idx="7">
                  <c:v>0.69791666666666663</c:v>
                </c:pt>
                <c:pt idx="8">
                  <c:v>0.69791666666666663</c:v>
                </c:pt>
                <c:pt idx="9">
                  <c:v>0.69791666666666663</c:v>
                </c:pt>
                <c:pt idx="10">
                  <c:v>0.69791666666666663</c:v>
                </c:pt>
                <c:pt idx="11">
                  <c:v>0.69791666666666663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97-4811-AD64-F9675EA48644}"/>
            </c:ext>
          </c:extLst>
        </c:ser>
        <c:ser>
          <c:idx val="1"/>
          <c:order val="1"/>
          <c:tx>
            <c:strRef>
              <c:f>Relatório!$E$86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Relatório!$A$87:$A$98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Relatório!$E$87:$E$98</c:f>
              <c:numCache>
                <c:formatCode>hh:mm;;;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0.65150462962962974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97-4811-AD64-F9675EA48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5097616"/>
        <c:axId val="1835085648"/>
      </c:lineChart>
      <c:catAx>
        <c:axId val="183509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835085648"/>
        <c:crosses val="autoZero"/>
        <c:auto val="1"/>
        <c:lblAlgn val="ctr"/>
        <c:lblOffset val="100"/>
        <c:noMultiLvlLbl val="0"/>
      </c:catAx>
      <c:valAx>
        <c:axId val="1835085648"/>
        <c:scaling>
          <c:orientation val="minMax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h:mm;;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1835097616"/>
        <c:crosses val="autoZero"/>
        <c:crossBetween val="between"/>
        <c:majorUnit val="3.0000000000000006E-2"/>
        <c:minorUnit val="3.0000000000000009E-3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</xdr:rowOff>
    </xdr:from>
    <xdr:to>
      <xdr:col>1</xdr:col>
      <xdr:colOff>359833</xdr:colOff>
      <xdr:row>5</xdr:row>
      <xdr:rowOff>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93" b="8941"/>
        <a:stretch/>
      </xdr:blipFill>
      <xdr:spPr>
        <a:xfrm>
          <a:off x="0" y="4"/>
          <a:ext cx="1693333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816427</xdr:colOff>
      <xdr:row>16</xdr:row>
      <xdr:rowOff>163287</xdr:rowOff>
    </xdr:from>
    <xdr:to>
      <xdr:col>10</xdr:col>
      <xdr:colOff>476250</xdr:colOff>
      <xdr:row>36</xdr:row>
      <xdr:rowOff>27215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60026</xdr:colOff>
      <xdr:row>0</xdr:row>
      <xdr:rowOff>182139</xdr:rowOff>
    </xdr:from>
    <xdr:to>
      <xdr:col>0</xdr:col>
      <xdr:colOff>1504799</xdr:colOff>
      <xdr:row>6</xdr:row>
      <xdr:rowOff>35582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93" b="8941"/>
        <a:stretch/>
      </xdr:blipFill>
      <xdr:spPr>
        <a:xfrm>
          <a:off x="60026" y="182139"/>
          <a:ext cx="1444773" cy="819550"/>
        </a:xfrm>
        <a:prstGeom prst="rect">
          <a:avLst/>
        </a:prstGeom>
      </xdr:spPr>
    </xdr:pic>
    <xdr:clientData/>
  </xdr:twoCellAnchor>
  <xdr:twoCellAnchor>
    <xdr:from>
      <xdr:col>15</xdr:col>
      <xdr:colOff>204108</xdr:colOff>
      <xdr:row>18</xdr:row>
      <xdr:rowOff>22412</xdr:rowOff>
    </xdr:from>
    <xdr:to>
      <xdr:col>24</xdr:col>
      <xdr:colOff>775607</xdr:colOff>
      <xdr:row>33</xdr:row>
      <xdr:rowOff>68036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53</xdr:row>
      <xdr:rowOff>115662</xdr:rowOff>
    </xdr:from>
    <xdr:to>
      <xdr:col>25</xdr:col>
      <xdr:colOff>13607</xdr:colOff>
      <xdr:row>68</xdr:row>
      <xdr:rowOff>61232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68</xdr:row>
      <xdr:rowOff>121227</xdr:rowOff>
    </xdr:from>
    <xdr:to>
      <xdr:col>25</xdr:col>
      <xdr:colOff>13608</xdr:colOff>
      <xdr:row>82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68834</xdr:colOff>
      <xdr:row>83</xdr:row>
      <xdr:rowOff>6184</xdr:rowOff>
    </xdr:from>
    <xdr:to>
      <xdr:col>14</xdr:col>
      <xdr:colOff>822243</xdr:colOff>
      <xdr:row>98</xdr:row>
      <xdr:rowOff>16738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169107</xdr:colOff>
      <xdr:row>83</xdr:row>
      <xdr:rowOff>1035</xdr:rowOff>
    </xdr:from>
    <xdr:to>
      <xdr:col>25</xdr:col>
      <xdr:colOff>39288</xdr:colOff>
      <xdr:row>98</xdr:row>
      <xdr:rowOff>11207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48570"/>
  <sheetViews>
    <sheetView showGridLines="0" zoomScaleNormal="100" zoomScaleSheetLayoutView="130" workbookViewId="0">
      <pane xSplit="7" ySplit="12" topLeftCell="H13" activePane="bottomRight" state="frozen"/>
      <selection pane="topRight" activeCell="H1" sqref="H1"/>
      <selection pane="bottomLeft" activeCell="A13" sqref="A13"/>
      <selection pane="bottomRight" activeCell="B26" sqref="B26"/>
    </sheetView>
  </sheetViews>
  <sheetFormatPr defaultColWidth="9.140625" defaultRowHeight="14.25" x14ac:dyDescent="0.2"/>
  <cols>
    <col min="1" max="1" width="20" style="29" bestFit="1" customWidth="1"/>
    <col min="2" max="2" width="109" style="67" customWidth="1"/>
    <col min="3" max="3" width="18.140625" style="10" customWidth="1"/>
    <col min="4" max="4" width="15.5703125" style="10" customWidth="1"/>
    <col min="5" max="5" width="17.28515625" style="10" bestFit="1" customWidth="1"/>
    <col min="6" max="6" width="17.28515625" style="10" customWidth="1"/>
    <col min="7" max="7" width="71.85546875" style="10" bestFit="1" customWidth="1"/>
    <col min="8" max="10" width="9.42578125" style="10" bestFit="1" customWidth="1"/>
    <col min="11" max="16384" width="9.140625" style="10"/>
  </cols>
  <sheetData>
    <row r="1" spans="1:7" ht="15" customHeight="1" x14ac:dyDescent="0.2">
      <c r="A1" s="98" t="s">
        <v>16</v>
      </c>
      <c r="B1" s="98"/>
      <c r="C1" s="98"/>
      <c r="D1" s="98"/>
      <c r="E1" s="98"/>
      <c r="F1" s="98"/>
      <c r="G1" s="98"/>
    </row>
    <row r="2" spans="1:7" ht="15" customHeight="1" x14ac:dyDescent="0.2">
      <c r="A2" s="98"/>
      <c r="B2" s="98"/>
      <c r="C2" s="98"/>
      <c r="D2" s="98"/>
      <c r="E2" s="98"/>
      <c r="F2" s="98"/>
      <c r="G2" s="98"/>
    </row>
    <row r="3" spans="1:7" ht="15" customHeight="1" x14ac:dyDescent="0.2">
      <c r="A3" s="98"/>
      <c r="B3" s="98"/>
      <c r="C3" s="98"/>
      <c r="D3" s="98"/>
      <c r="E3" s="98"/>
      <c r="F3" s="98"/>
      <c r="G3" s="98"/>
    </row>
    <row r="4" spans="1:7" ht="15" customHeight="1" x14ac:dyDescent="0.2">
      <c r="A4" s="98"/>
      <c r="B4" s="98"/>
      <c r="C4" s="98"/>
      <c r="D4" s="98"/>
      <c r="E4" s="98"/>
      <c r="F4" s="98"/>
      <c r="G4" s="98"/>
    </row>
    <row r="5" spans="1:7" ht="15" customHeight="1" x14ac:dyDescent="0.2">
      <c r="A5" s="98"/>
      <c r="B5" s="98"/>
      <c r="C5" s="98"/>
      <c r="D5" s="98"/>
      <c r="E5" s="98"/>
      <c r="F5" s="98"/>
      <c r="G5" s="98"/>
    </row>
    <row r="6" spans="1:7" ht="15" thickBot="1" x14ac:dyDescent="0.25"/>
    <row r="7" spans="1:7" ht="15" thickBot="1" x14ac:dyDescent="0.25">
      <c r="A7" s="99" t="s">
        <v>17</v>
      </c>
      <c r="B7" s="100"/>
      <c r="C7" s="100"/>
      <c r="D7" s="100"/>
      <c r="E7" s="100"/>
      <c r="F7" s="100"/>
      <c r="G7" s="100"/>
    </row>
    <row r="8" spans="1:7" ht="15.75" thickBot="1" x14ac:dyDescent="0.25">
      <c r="A8" s="68" t="s">
        <v>0</v>
      </c>
      <c r="B8" s="69"/>
      <c r="C8" s="101">
        <v>2023</v>
      </c>
      <c r="D8" s="101"/>
      <c r="E8" s="101"/>
      <c r="F8" s="101"/>
      <c r="G8" s="102"/>
    </row>
    <row r="9" spans="1:7" ht="15.75" thickBot="1" x14ac:dyDescent="0.25">
      <c r="A9" s="68" t="s">
        <v>1</v>
      </c>
      <c r="B9" s="70"/>
      <c r="C9" s="103"/>
      <c r="D9" s="103"/>
      <c r="E9" s="103"/>
      <c r="F9" s="103"/>
      <c r="G9" s="104"/>
    </row>
    <row r="10" spans="1:7" ht="15" thickBot="1" x14ac:dyDescent="0.25">
      <c r="A10" s="71"/>
    </row>
    <row r="11" spans="1:7" x14ac:dyDescent="0.2">
      <c r="A11" s="105" t="s">
        <v>18</v>
      </c>
      <c r="B11" s="106"/>
      <c r="C11" s="106"/>
      <c r="D11" s="106"/>
      <c r="E11" s="106"/>
      <c r="F11" s="106"/>
      <c r="G11" s="106"/>
    </row>
    <row r="12" spans="1:7" s="75" customFormat="1" ht="15" x14ac:dyDescent="0.25">
      <c r="A12" s="72" t="s">
        <v>19</v>
      </c>
      <c r="B12" s="73" t="s">
        <v>20</v>
      </c>
      <c r="C12" s="74" t="s">
        <v>21</v>
      </c>
      <c r="D12" s="74" t="s">
        <v>14</v>
      </c>
      <c r="E12" s="74" t="s">
        <v>15</v>
      </c>
      <c r="F12" s="74" t="s">
        <v>65</v>
      </c>
      <c r="G12" s="74" t="s">
        <v>22</v>
      </c>
    </row>
    <row r="13" spans="1:7" x14ac:dyDescent="0.2">
      <c r="A13" s="76">
        <v>45019</v>
      </c>
      <c r="B13" s="77" t="s">
        <v>79</v>
      </c>
      <c r="C13" s="78" t="s">
        <v>77</v>
      </c>
      <c r="D13" s="79">
        <v>0.42708333333333331</v>
      </c>
      <c r="E13" s="79">
        <v>0.70138888888888884</v>
      </c>
      <c r="F13" s="79">
        <f t="shared" ref="F13:F72" si="0">E13-D13</f>
        <v>0.27430555555555552</v>
      </c>
      <c r="G13" s="80"/>
    </row>
    <row r="14" spans="1:7" x14ac:dyDescent="0.2">
      <c r="A14" s="76">
        <v>45019</v>
      </c>
      <c r="B14" s="77" t="s">
        <v>80</v>
      </c>
      <c r="C14" s="78" t="s">
        <v>77</v>
      </c>
      <c r="D14" s="79">
        <v>0.57291666666666663</v>
      </c>
      <c r="E14" s="79">
        <v>0.625</v>
      </c>
      <c r="F14" s="79">
        <f t="shared" si="0"/>
        <v>5.208333333333337E-2</v>
      </c>
      <c r="G14" s="77"/>
    </row>
    <row r="15" spans="1:7" x14ac:dyDescent="0.2">
      <c r="A15" s="76">
        <v>45019</v>
      </c>
      <c r="B15" s="77" t="s">
        <v>81</v>
      </c>
      <c r="C15" s="78" t="s">
        <v>6</v>
      </c>
      <c r="D15" s="81">
        <v>0.65347222222222223</v>
      </c>
      <c r="E15" s="81">
        <v>0.6875</v>
      </c>
      <c r="F15" s="79">
        <f t="shared" si="0"/>
        <v>3.4027777777777768E-2</v>
      </c>
      <c r="G15" s="77"/>
    </row>
    <row r="16" spans="1:7" ht="28.5" x14ac:dyDescent="0.2">
      <c r="A16" s="76">
        <v>45020</v>
      </c>
      <c r="B16" s="77" t="s">
        <v>82</v>
      </c>
      <c r="C16" s="78" t="s">
        <v>76</v>
      </c>
      <c r="D16" s="81">
        <v>0.38541666666666669</v>
      </c>
      <c r="E16" s="81">
        <v>0.58333333333333337</v>
      </c>
      <c r="F16" s="79">
        <f t="shared" si="0"/>
        <v>0.19791666666666669</v>
      </c>
      <c r="G16" s="77"/>
    </row>
    <row r="17" spans="1:7" x14ac:dyDescent="0.2">
      <c r="A17" s="76">
        <v>45020</v>
      </c>
      <c r="B17" s="77" t="s">
        <v>83</v>
      </c>
      <c r="C17" s="78" t="s">
        <v>76</v>
      </c>
      <c r="D17" s="81">
        <v>0.4604166666666667</v>
      </c>
      <c r="E17" s="81">
        <v>0.46388888888888885</v>
      </c>
      <c r="F17" s="79">
        <f t="shared" si="0"/>
        <v>3.4722222222221544E-3</v>
      </c>
      <c r="G17" s="77"/>
    </row>
    <row r="18" spans="1:7" x14ac:dyDescent="0.2">
      <c r="A18" s="76">
        <v>45021</v>
      </c>
      <c r="B18" s="77" t="s">
        <v>84</v>
      </c>
      <c r="C18" s="78" t="s">
        <v>76</v>
      </c>
      <c r="D18" s="81">
        <v>0.46388888888888885</v>
      </c>
      <c r="E18" s="81">
        <v>0.46527777777777773</v>
      </c>
      <c r="F18" s="79">
        <f t="shared" si="0"/>
        <v>1.388888888888884E-3</v>
      </c>
      <c r="G18" s="77"/>
    </row>
    <row r="19" spans="1:7" ht="28.5" x14ac:dyDescent="0.2">
      <c r="A19" s="76">
        <v>45021</v>
      </c>
      <c r="B19" s="77" t="s">
        <v>85</v>
      </c>
      <c r="C19" s="78" t="s">
        <v>8</v>
      </c>
      <c r="D19" s="81">
        <v>0.63888888888888895</v>
      </c>
      <c r="E19" s="81">
        <v>0.67986111111111114</v>
      </c>
      <c r="F19" s="79">
        <f t="shared" si="0"/>
        <v>4.0972222222222188E-2</v>
      </c>
      <c r="G19" s="77"/>
    </row>
    <row r="20" spans="1:7" x14ac:dyDescent="0.2">
      <c r="A20" s="76">
        <v>45022</v>
      </c>
      <c r="B20" s="77" t="s">
        <v>86</v>
      </c>
      <c r="C20" s="78" t="s">
        <v>76</v>
      </c>
      <c r="D20" s="81">
        <v>0.48819444444444443</v>
      </c>
      <c r="E20" s="81">
        <v>0.50347222222222221</v>
      </c>
      <c r="F20" s="79">
        <f t="shared" si="0"/>
        <v>1.5277777777777779E-2</v>
      </c>
      <c r="G20" s="77"/>
    </row>
    <row r="21" spans="1:7" collapsed="1" x14ac:dyDescent="0.2">
      <c r="A21" s="76">
        <v>45022</v>
      </c>
      <c r="B21" s="77" t="s">
        <v>89</v>
      </c>
      <c r="C21" s="78" t="s">
        <v>8</v>
      </c>
      <c r="D21" s="81">
        <v>0.3611111111111111</v>
      </c>
      <c r="E21" s="81">
        <v>0.63888888888888895</v>
      </c>
      <c r="F21" s="79">
        <f t="shared" si="0"/>
        <v>0.27777777777777785</v>
      </c>
      <c r="G21" s="80"/>
    </row>
    <row r="22" spans="1:7" x14ac:dyDescent="0.2">
      <c r="A22" s="76">
        <v>45028</v>
      </c>
      <c r="B22" s="77" t="s">
        <v>90</v>
      </c>
      <c r="C22" s="78" t="s">
        <v>76</v>
      </c>
      <c r="D22" s="81"/>
      <c r="E22" s="81"/>
      <c r="F22" s="79">
        <f t="shared" si="0"/>
        <v>0</v>
      </c>
      <c r="G22" s="80"/>
    </row>
    <row r="23" spans="1:7" ht="28.5" x14ac:dyDescent="0.2">
      <c r="A23" s="76">
        <v>45029</v>
      </c>
      <c r="B23" s="77" t="s">
        <v>87</v>
      </c>
      <c r="C23" s="78" t="s">
        <v>77</v>
      </c>
      <c r="D23" s="81">
        <v>0.56944444444444442</v>
      </c>
      <c r="E23" s="81">
        <v>0.61805555555555558</v>
      </c>
      <c r="F23" s="79">
        <f t="shared" si="0"/>
        <v>4.861111111111116E-2</v>
      </c>
      <c r="G23" s="77"/>
    </row>
    <row r="24" spans="1:7" x14ac:dyDescent="0.2">
      <c r="A24" s="76">
        <v>45030</v>
      </c>
      <c r="B24" s="77" t="s">
        <v>91</v>
      </c>
      <c r="C24" s="78" t="s">
        <v>6</v>
      </c>
      <c r="D24" s="81">
        <v>0.52361111111111114</v>
      </c>
      <c r="E24" s="81">
        <v>0.6875</v>
      </c>
      <c r="F24" s="79">
        <f t="shared" si="0"/>
        <v>0.16388888888888886</v>
      </c>
      <c r="G24" s="77"/>
    </row>
    <row r="25" spans="1:7" x14ac:dyDescent="0.2">
      <c r="A25" s="76">
        <v>45030</v>
      </c>
      <c r="B25" s="77" t="s">
        <v>88</v>
      </c>
      <c r="C25" s="78" t="s">
        <v>76</v>
      </c>
      <c r="D25" s="81">
        <v>0.57916666666666672</v>
      </c>
      <c r="E25" s="81">
        <v>0.59027777777777779</v>
      </c>
      <c r="F25" s="79">
        <f t="shared" si="0"/>
        <v>1.1111111111111072E-2</v>
      </c>
      <c r="G25" s="80"/>
    </row>
    <row r="26" spans="1:7" ht="28.5" x14ac:dyDescent="0.2">
      <c r="A26" s="76">
        <v>45030</v>
      </c>
      <c r="B26" s="77" t="s">
        <v>92</v>
      </c>
      <c r="C26" s="78" t="s">
        <v>77</v>
      </c>
      <c r="D26" s="81">
        <v>0.39583333333333331</v>
      </c>
      <c r="E26" s="81">
        <v>0.52083333333333337</v>
      </c>
      <c r="F26" s="79">
        <f t="shared" si="0"/>
        <v>0.12500000000000006</v>
      </c>
      <c r="G26" s="80"/>
    </row>
    <row r="27" spans="1:7" x14ac:dyDescent="0.2">
      <c r="A27" s="76"/>
      <c r="B27" s="77"/>
      <c r="C27" s="78"/>
      <c r="D27" s="81"/>
      <c r="E27" s="81"/>
      <c r="F27" s="79">
        <f t="shared" si="0"/>
        <v>0</v>
      </c>
      <c r="G27" s="80"/>
    </row>
    <row r="28" spans="1:7" x14ac:dyDescent="0.2">
      <c r="A28" s="76"/>
      <c r="B28" s="77"/>
      <c r="C28" s="78"/>
      <c r="D28" s="81"/>
      <c r="E28" s="81"/>
      <c r="F28" s="79">
        <f t="shared" si="0"/>
        <v>0</v>
      </c>
      <c r="G28" s="80"/>
    </row>
    <row r="29" spans="1:7" x14ac:dyDescent="0.2">
      <c r="A29" s="76"/>
      <c r="B29" s="77"/>
      <c r="C29" s="78"/>
      <c r="D29" s="81"/>
      <c r="E29" s="81"/>
      <c r="F29" s="79">
        <f t="shared" si="0"/>
        <v>0</v>
      </c>
      <c r="G29" s="80"/>
    </row>
    <row r="30" spans="1:7" x14ac:dyDescent="0.2">
      <c r="A30" s="76"/>
      <c r="B30" s="77"/>
      <c r="C30" s="78"/>
      <c r="D30" s="81"/>
      <c r="E30" s="81"/>
      <c r="F30" s="79">
        <f t="shared" si="0"/>
        <v>0</v>
      </c>
      <c r="G30" s="80"/>
    </row>
    <row r="31" spans="1:7" x14ac:dyDescent="0.2">
      <c r="A31" s="76"/>
      <c r="B31" s="77"/>
      <c r="C31" s="78"/>
      <c r="D31" s="81"/>
      <c r="E31" s="81"/>
      <c r="F31" s="79">
        <f t="shared" si="0"/>
        <v>0</v>
      </c>
      <c r="G31" s="80"/>
    </row>
    <row r="32" spans="1:7" x14ac:dyDescent="0.2">
      <c r="A32" s="76"/>
      <c r="B32" s="77"/>
      <c r="C32" s="78"/>
      <c r="D32" s="81"/>
      <c r="E32" s="81"/>
      <c r="F32" s="79">
        <f t="shared" si="0"/>
        <v>0</v>
      </c>
      <c r="G32" s="80"/>
    </row>
    <row r="33" spans="1:7" x14ac:dyDescent="0.2">
      <c r="A33" s="76"/>
      <c r="B33" s="77"/>
      <c r="C33" s="78"/>
      <c r="D33" s="81"/>
      <c r="E33" s="81"/>
      <c r="F33" s="79">
        <f t="shared" si="0"/>
        <v>0</v>
      </c>
      <c r="G33" s="80"/>
    </row>
    <row r="34" spans="1:7" x14ac:dyDescent="0.2">
      <c r="A34" s="76"/>
      <c r="B34" s="77"/>
      <c r="C34" s="78"/>
      <c r="D34" s="81"/>
      <c r="E34" s="81"/>
      <c r="F34" s="79">
        <f t="shared" si="0"/>
        <v>0</v>
      </c>
      <c r="G34" s="80"/>
    </row>
    <row r="35" spans="1:7" x14ac:dyDescent="0.2">
      <c r="A35" s="76"/>
      <c r="B35" s="77"/>
      <c r="C35" s="78"/>
      <c r="D35" s="81"/>
      <c r="E35" s="81"/>
      <c r="F35" s="79">
        <f t="shared" si="0"/>
        <v>0</v>
      </c>
      <c r="G35" s="80"/>
    </row>
    <row r="36" spans="1:7" x14ac:dyDescent="0.2">
      <c r="A36" s="97"/>
      <c r="B36" s="77"/>
      <c r="C36" s="78"/>
      <c r="D36" s="81"/>
      <c r="E36" s="81"/>
      <c r="F36" s="79">
        <f t="shared" si="0"/>
        <v>0</v>
      </c>
      <c r="G36" s="80"/>
    </row>
    <row r="37" spans="1:7" x14ac:dyDescent="0.2">
      <c r="A37" s="97"/>
      <c r="B37" s="77"/>
      <c r="C37" s="78"/>
      <c r="D37" s="81"/>
      <c r="E37" s="81"/>
      <c r="F37" s="79">
        <f t="shared" si="0"/>
        <v>0</v>
      </c>
      <c r="G37" s="80"/>
    </row>
    <row r="38" spans="1:7" x14ac:dyDescent="0.2">
      <c r="A38" s="97"/>
      <c r="B38" s="77"/>
      <c r="C38" s="78"/>
      <c r="D38" s="81"/>
      <c r="E38" s="81"/>
      <c r="F38" s="79">
        <f t="shared" si="0"/>
        <v>0</v>
      </c>
      <c r="G38" s="80"/>
    </row>
    <row r="39" spans="1:7" x14ac:dyDescent="0.2">
      <c r="A39" s="97"/>
      <c r="B39" s="77"/>
      <c r="C39" s="78"/>
      <c r="D39" s="81"/>
      <c r="E39" s="81"/>
      <c r="F39" s="79">
        <f t="shared" si="0"/>
        <v>0</v>
      </c>
      <c r="G39" s="80"/>
    </row>
    <row r="40" spans="1:7" x14ac:dyDescent="0.2">
      <c r="A40" s="97"/>
      <c r="B40" s="77"/>
      <c r="C40" s="78"/>
      <c r="D40" s="81"/>
      <c r="E40" s="81"/>
      <c r="F40" s="79">
        <f t="shared" si="0"/>
        <v>0</v>
      </c>
      <c r="G40" s="80"/>
    </row>
    <row r="41" spans="1:7" x14ac:dyDescent="0.2">
      <c r="A41" s="97"/>
      <c r="B41" s="77"/>
      <c r="C41" s="78"/>
      <c r="D41" s="81"/>
      <c r="E41" s="81"/>
      <c r="F41" s="79">
        <f t="shared" si="0"/>
        <v>0</v>
      </c>
      <c r="G41" s="80"/>
    </row>
    <row r="42" spans="1:7" x14ac:dyDescent="0.2">
      <c r="A42" s="97"/>
      <c r="B42" s="77"/>
      <c r="C42" s="78"/>
      <c r="D42" s="81"/>
      <c r="E42" s="81"/>
      <c r="F42" s="79">
        <f t="shared" si="0"/>
        <v>0</v>
      </c>
      <c r="G42" s="80"/>
    </row>
    <row r="43" spans="1:7" x14ac:dyDescent="0.2">
      <c r="A43" s="97"/>
      <c r="B43" s="77"/>
      <c r="C43" s="78"/>
      <c r="D43" s="81"/>
      <c r="E43" s="81"/>
      <c r="F43" s="79">
        <f t="shared" si="0"/>
        <v>0</v>
      </c>
      <c r="G43" s="80"/>
    </row>
    <row r="44" spans="1:7" x14ac:dyDescent="0.2">
      <c r="A44" s="97"/>
      <c r="B44" s="77"/>
      <c r="C44" s="78"/>
      <c r="D44" s="81"/>
      <c r="E44" s="81"/>
      <c r="F44" s="79">
        <f t="shared" si="0"/>
        <v>0</v>
      </c>
      <c r="G44" s="80"/>
    </row>
    <row r="45" spans="1:7" x14ac:dyDescent="0.2">
      <c r="A45" s="97"/>
      <c r="B45" s="77"/>
      <c r="C45" s="78"/>
      <c r="D45" s="81"/>
      <c r="E45" s="81"/>
      <c r="F45" s="79">
        <f t="shared" si="0"/>
        <v>0</v>
      </c>
      <c r="G45" s="80"/>
    </row>
    <row r="46" spans="1:7" x14ac:dyDescent="0.2">
      <c r="A46" s="97"/>
      <c r="B46" s="77"/>
      <c r="C46" s="78"/>
      <c r="D46" s="81"/>
      <c r="E46" s="81"/>
      <c r="F46" s="79">
        <f t="shared" si="0"/>
        <v>0</v>
      </c>
      <c r="G46" s="80"/>
    </row>
    <row r="47" spans="1:7" x14ac:dyDescent="0.2">
      <c r="A47" s="97"/>
      <c r="B47" s="77"/>
      <c r="C47" s="78"/>
      <c r="D47" s="81"/>
      <c r="E47" s="81"/>
      <c r="F47" s="79">
        <f t="shared" si="0"/>
        <v>0</v>
      </c>
      <c r="G47" s="80"/>
    </row>
    <row r="48" spans="1:7" x14ac:dyDescent="0.2">
      <c r="A48" s="97"/>
      <c r="B48" s="77"/>
      <c r="C48" s="78"/>
      <c r="D48" s="81"/>
      <c r="E48" s="81"/>
      <c r="F48" s="79">
        <f t="shared" si="0"/>
        <v>0</v>
      </c>
      <c r="G48" s="80"/>
    </row>
    <row r="49" spans="1:7" x14ac:dyDescent="0.2">
      <c r="A49" s="97"/>
      <c r="B49" s="77"/>
      <c r="C49" s="78"/>
      <c r="D49" s="81"/>
      <c r="E49" s="81"/>
      <c r="F49" s="79">
        <f t="shared" si="0"/>
        <v>0</v>
      </c>
      <c r="G49" s="80"/>
    </row>
    <row r="50" spans="1:7" x14ac:dyDescent="0.2">
      <c r="A50" s="97"/>
      <c r="B50" s="77"/>
      <c r="C50" s="78"/>
      <c r="D50" s="81"/>
      <c r="E50" s="81"/>
      <c r="F50" s="79">
        <f t="shared" si="0"/>
        <v>0</v>
      </c>
      <c r="G50" s="80"/>
    </row>
    <row r="51" spans="1:7" x14ac:dyDescent="0.2">
      <c r="A51" s="97"/>
      <c r="B51" s="77"/>
      <c r="C51" s="78"/>
      <c r="D51" s="81"/>
      <c r="E51" s="81"/>
      <c r="F51" s="79">
        <f t="shared" si="0"/>
        <v>0</v>
      </c>
      <c r="G51" s="80"/>
    </row>
    <row r="52" spans="1:7" x14ac:dyDescent="0.2">
      <c r="A52" s="97"/>
      <c r="B52" s="77"/>
      <c r="C52" s="78"/>
      <c r="D52" s="81"/>
      <c r="E52" s="81"/>
      <c r="F52" s="79">
        <f t="shared" si="0"/>
        <v>0</v>
      </c>
      <c r="G52" s="80"/>
    </row>
    <row r="53" spans="1:7" x14ac:dyDescent="0.2">
      <c r="A53" s="76"/>
      <c r="B53" s="77"/>
      <c r="C53" s="78"/>
      <c r="D53" s="81"/>
      <c r="E53" s="81"/>
      <c r="F53" s="79">
        <f t="shared" si="0"/>
        <v>0</v>
      </c>
      <c r="G53" s="80"/>
    </row>
    <row r="54" spans="1:7" x14ac:dyDescent="0.2">
      <c r="A54" s="76"/>
      <c r="B54" s="77"/>
      <c r="C54" s="78"/>
      <c r="D54" s="81"/>
      <c r="E54" s="81"/>
      <c r="F54" s="79">
        <f t="shared" si="0"/>
        <v>0</v>
      </c>
      <c r="G54" s="80"/>
    </row>
    <row r="55" spans="1:7" x14ac:dyDescent="0.2">
      <c r="A55" s="76"/>
      <c r="B55" s="77"/>
      <c r="C55" s="78"/>
      <c r="D55" s="81"/>
      <c r="E55" s="81"/>
      <c r="F55" s="79">
        <f t="shared" si="0"/>
        <v>0</v>
      </c>
      <c r="G55" s="80"/>
    </row>
    <row r="56" spans="1:7" x14ac:dyDescent="0.2">
      <c r="A56" s="76"/>
      <c r="B56" s="77"/>
      <c r="C56" s="78"/>
      <c r="D56" s="81"/>
      <c r="E56" s="81"/>
      <c r="F56" s="79">
        <f t="shared" si="0"/>
        <v>0</v>
      </c>
      <c r="G56" s="80"/>
    </row>
    <row r="57" spans="1:7" x14ac:dyDescent="0.2">
      <c r="A57" s="76"/>
      <c r="B57" s="77"/>
      <c r="C57" s="78"/>
      <c r="D57" s="81"/>
      <c r="E57" s="81"/>
      <c r="F57" s="79">
        <f t="shared" si="0"/>
        <v>0</v>
      </c>
      <c r="G57" s="80"/>
    </row>
    <row r="58" spans="1:7" x14ac:dyDescent="0.2">
      <c r="A58" s="76"/>
      <c r="B58" s="77"/>
      <c r="C58" s="78"/>
      <c r="D58" s="81"/>
      <c r="E58" s="81"/>
      <c r="F58" s="79">
        <f t="shared" si="0"/>
        <v>0</v>
      </c>
      <c r="G58" s="80"/>
    </row>
    <row r="59" spans="1:7" x14ac:dyDescent="0.2">
      <c r="A59" s="76"/>
      <c r="B59" s="77"/>
      <c r="C59" s="78"/>
      <c r="D59" s="81"/>
      <c r="E59" s="81"/>
      <c r="F59" s="79">
        <f t="shared" si="0"/>
        <v>0</v>
      </c>
      <c r="G59" s="80"/>
    </row>
    <row r="60" spans="1:7" x14ac:dyDescent="0.2">
      <c r="A60" s="76"/>
      <c r="B60" s="77"/>
      <c r="C60" s="78"/>
      <c r="D60" s="81"/>
      <c r="E60" s="81"/>
      <c r="F60" s="79">
        <f t="shared" si="0"/>
        <v>0</v>
      </c>
      <c r="G60" s="80"/>
    </row>
    <row r="61" spans="1:7" x14ac:dyDescent="0.2">
      <c r="A61" s="76"/>
      <c r="B61" s="77"/>
      <c r="C61" s="78"/>
      <c r="D61" s="81"/>
      <c r="E61" s="81"/>
      <c r="F61" s="79">
        <f t="shared" si="0"/>
        <v>0</v>
      </c>
      <c r="G61" s="80"/>
    </row>
    <row r="62" spans="1:7" x14ac:dyDescent="0.2">
      <c r="A62" s="76"/>
      <c r="B62" s="77"/>
      <c r="C62" s="78"/>
      <c r="D62" s="81"/>
      <c r="E62" s="81"/>
      <c r="F62" s="79">
        <f t="shared" si="0"/>
        <v>0</v>
      </c>
      <c r="G62" s="80"/>
    </row>
    <row r="63" spans="1:7" x14ac:dyDescent="0.2">
      <c r="A63" s="76"/>
      <c r="B63" s="77"/>
      <c r="C63" s="78"/>
      <c r="D63" s="81"/>
      <c r="E63" s="81"/>
      <c r="F63" s="79">
        <f t="shared" si="0"/>
        <v>0</v>
      </c>
      <c r="G63" s="80"/>
    </row>
    <row r="64" spans="1:7" x14ac:dyDescent="0.2">
      <c r="A64" s="76"/>
      <c r="B64" s="77"/>
      <c r="C64" s="78"/>
      <c r="D64" s="81"/>
      <c r="E64" s="81"/>
      <c r="F64" s="79">
        <f t="shared" si="0"/>
        <v>0</v>
      </c>
      <c r="G64" s="80"/>
    </row>
    <row r="65" spans="1:7" x14ac:dyDescent="0.2">
      <c r="A65" s="76"/>
      <c r="B65" s="77"/>
      <c r="C65" s="78"/>
      <c r="D65" s="81"/>
      <c r="E65" s="81"/>
      <c r="F65" s="79">
        <f t="shared" si="0"/>
        <v>0</v>
      </c>
      <c r="G65" s="78"/>
    </row>
    <row r="66" spans="1:7" x14ac:dyDescent="0.2">
      <c r="A66" s="76"/>
      <c r="B66" s="77"/>
      <c r="C66" s="78"/>
      <c r="D66" s="81"/>
      <c r="E66" s="81"/>
      <c r="F66" s="79">
        <f t="shared" si="0"/>
        <v>0</v>
      </c>
      <c r="G66" s="77"/>
    </row>
    <row r="67" spans="1:7" x14ac:dyDescent="0.2">
      <c r="A67" s="76"/>
      <c r="B67" s="77"/>
      <c r="C67" s="78"/>
      <c r="D67" s="81"/>
      <c r="E67" s="81"/>
      <c r="F67" s="79">
        <f t="shared" si="0"/>
        <v>0</v>
      </c>
      <c r="G67" s="77"/>
    </row>
    <row r="68" spans="1:7" x14ac:dyDescent="0.2">
      <c r="A68" s="76"/>
      <c r="B68" s="77"/>
      <c r="C68" s="78"/>
      <c r="D68" s="81"/>
      <c r="E68" s="81"/>
      <c r="F68" s="79">
        <f t="shared" si="0"/>
        <v>0</v>
      </c>
      <c r="G68" s="77"/>
    </row>
    <row r="69" spans="1:7" x14ac:dyDescent="0.2">
      <c r="A69" s="76"/>
      <c r="B69" s="77"/>
      <c r="C69" s="78"/>
      <c r="D69" s="81"/>
      <c r="E69" s="81"/>
      <c r="F69" s="79">
        <f t="shared" si="0"/>
        <v>0</v>
      </c>
      <c r="G69" s="77"/>
    </row>
    <row r="70" spans="1:7" x14ac:dyDescent="0.2">
      <c r="A70" s="76"/>
      <c r="B70" s="77"/>
      <c r="C70" s="78"/>
      <c r="D70" s="81"/>
      <c r="E70" s="81"/>
      <c r="F70" s="79">
        <f t="shared" si="0"/>
        <v>0</v>
      </c>
      <c r="G70" s="78"/>
    </row>
    <row r="71" spans="1:7" x14ac:dyDescent="0.2">
      <c r="A71" s="76"/>
      <c r="B71" s="77"/>
      <c r="C71" s="78"/>
      <c r="D71" s="81"/>
      <c r="E71" s="81"/>
      <c r="F71" s="79">
        <f t="shared" si="0"/>
        <v>0</v>
      </c>
      <c r="G71" s="78"/>
    </row>
    <row r="72" spans="1:7" x14ac:dyDescent="0.2">
      <c r="A72" s="76"/>
      <c r="B72" s="77"/>
      <c r="C72" s="78"/>
      <c r="D72" s="81"/>
      <c r="E72" s="81"/>
      <c r="F72" s="79">
        <f t="shared" si="0"/>
        <v>0</v>
      </c>
      <c r="G72" s="78"/>
    </row>
    <row r="73" spans="1:7" x14ac:dyDescent="0.2">
      <c r="A73" s="76"/>
      <c r="B73" s="77"/>
      <c r="C73" s="78"/>
      <c r="D73" s="81"/>
      <c r="E73" s="81"/>
      <c r="F73" s="79">
        <f t="shared" ref="F73:F139" si="1">E73-D73</f>
        <v>0</v>
      </c>
      <c r="G73" s="77"/>
    </row>
    <row r="74" spans="1:7" x14ac:dyDescent="0.2">
      <c r="A74" s="76"/>
      <c r="B74" s="77"/>
      <c r="C74" s="78"/>
      <c r="D74" s="81"/>
      <c r="E74" s="81"/>
      <c r="F74" s="79">
        <f t="shared" si="1"/>
        <v>0</v>
      </c>
      <c r="G74" s="77"/>
    </row>
    <row r="75" spans="1:7" x14ac:dyDescent="0.2">
      <c r="A75" s="76"/>
      <c r="B75" s="77"/>
      <c r="C75" s="78"/>
      <c r="D75" s="81"/>
      <c r="E75" s="81"/>
      <c r="F75" s="79">
        <f t="shared" si="1"/>
        <v>0</v>
      </c>
      <c r="G75" s="77"/>
    </row>
    <row r="76" spans="1:7" x14ac:dyDescent="0.2">
      <c r="A76" s="76"/>
      <c r="B76" s="77"/>
      <c r="C76" s="78"/>
      <c r="D76" s="81"/>
      <c r="E76" s="81"/>
      <c r="F76" s="79">
        <f t="shared" si="1"/>
        <v>0</v>
      </c>
      <c r="G76" s="78"/>
    </row>
    <row r="77" spans="1:7" x14ac:dyDescent="0.2">
      <c r="A77" s="76"/>
      <c r="B77" s="77"/>
      <c r="C77" s="78"/>
      <c r="D77" s="81"/>
      <c r="E77" s="81"/>
      <c r="F77" s="79">
        <f t="shared" si="1"/>
        <v>0</v>
      </c>
      <c r="G77" s="78"/>
    </row>
    <row r="78" spans="1:7" x14ac:dyDescent="0.2">
      <c r="A78" s="76"/>
      <c r="B78" s="77"/>
      <c r="C78" s="78"/>
      <c r="D78" s="81"/>
      <c r="E78" s="81"/>
      <c r="F78" s="79">
        <f t="shared" si="1"/>
        <v>0</v>
      </c>
      <c r="G78" s="78"/>
    </row>
    <row r="79" spans="1:7" x14ac:dyDescent="0.2">
      <c r="A79" s="76"/>
      <c r="B79" s="77"/>
      <c r="C79" s="78"/>
      <c r="D79" s="81"/>
      <c r="E79" s="81"/>
      <c r="F79" s="79">
        <f t="shared" si="1"/>
        <v>0</v>
      </c>
      <c r="G79" s="78"/>
    </row>
    <row r="80" spans="1:7" x14ac:dyDescent="0.2">
      <c r="A80" s="76"/>
      <c r="B80" s="77"/>
      <c r="C80" s="78"/>
      <c r="D80" s="81"/>
      <c r="E80" s="81"/>
      <c r="F80" s="79">
        <f t="shared" si="1"/>
        <v>0</v>
      </c>
      <c r="G80" s="78"/>
    </row>
    <row r="81" spans="1:7" x14ac:dyDescent="0.2">
      <c r="A81" s="76"/>
      <c r="B81" s="77"/>
      <c r="C81" s="78"/>
      <c r="D81" s="81"/>
      <c r="E81" s="81"/>
      <c r="F81" s="79">
        <f t="shared" si="1"/>
        <v>0</v>
      </c>
      <c r="G81" s="78"/>
    </row>
    <row r="82" spans="1:7" x14ac:dyDescent="0.2">
      <c r="A82" s="76"/>
      <c r="B82" s="77"/>
      <c r="C82" s="78"/>
      <c r="D82" s="81"/>
      <c r="E82" s="81"/>
      <c r="F82" s="79">
        <f t="shared" si="1"/>
        <v>0</v>
      </c>
      <c r="G82" s="78"/>
    </row>
    <row r="83" spans="1:7" x14ac:dyDescent="0.2">
      <c r="A83" s="76"/>
      <c r="B83" s="77"/>
      <c r="C83" s="78"/>
      <c r="D83" s="81"/>
      <c r="E83" s="81"/>
      <c r="F83" s="79">
        <f t="shared" si="1"/>
        <v>0</v>
      </c>
      <c r="G83" s="78"/>
    </row>
    <row r="84" spans="1:7" x14ac:dyDescent="0.2">
      <c r="A84" s="76"/>
      <c r="B84" s="77"/>
      <c r="C84" s="78"/>
      <c r="D84" s="81"/>
      <c r="E84" s="81"/>
      <c r="F84" s="79">
        <f t="shared" si="1"/>
        <v>0</v>
      </c>
      <c r="G84" s="78"/>
    </row>
    <row r="85" spans="1:7" x14ac:dyDescent="0.2">
      <c r="A85" s="76"/>
      <c r="B85" s="77"/>
      <c r="C85" s="78"/>
      <c r="D85" s="81"/>
      <c r="E85" s="81"/>
      <c r="F85" s="79">
        <f t="shared" si="1"/>
        <v>0</v>
      </c>
      <c r="G85" s="78"/>
    </row>
    <row r="86" spans="1:7" x14ac:dyDescent="0.2">
      <c r="A86" s="76"/>
      <c r="B86" s="77"/>
      <c r="C86" s="78"/>
      <c r="D86" s="81"/>
      <c r="E86" s="81"/>
      <c r="F86" s="79">
        <f t="shared" si="1"/>
        <v>0</v>
      </c>
      <c r="G86" s="78"/>
    </row>
    <row r="87" spans="1:7" x14ac:dyDescent="0.2">
      <c r="A87" s="76"/>
      <c r="B87" s="77"/>
      <c r="C87" s="78"/>
      <c r="D87" s="81"/>
      <c r="E87" s="81"/>
      <c r="F87" s="79">
        <f t="shared" si="1"/>
        <v>0</v>
      </c>
      <c r="G87" s="78"/>
    </row>
    <row r="88" spans="1:7" x14ac:dyDescent="0.2">
      <c r="A88" s="76"/>
      <c r="B88" s="77"/>
      <c r="C88" s="78"/>
      <c r="D88" s="81"/>
      <c r="E88" s="81"/>
      <c r="F88" s="79">
        <f t="shared" si="1"/>
        <v>0</v>
      </c>
      <c r="G88" s="78"/>
    </row>
    <row r="89" spans="1:7" x14ac:dyDescent="0.2">
      <c r="A89" s="76"/>
      <c r="B89" s="77"/>
      <c r="C89" s="78"/>
      <c r="D89" s="81"/>
      <c r="E89" s="81"/>
      <c r="F89" s="79">
        <f t="shared" si="1"/>
        <v>0</v>
      </c>
      <c r="G89" s="78"/>
    </row>
    <row r="90" spans="1:7" x14ac:dyDescent="0.2">
      <c r="A90" s="76"/>
      <c r="B90" s="77"/>
      <c r="C90" s="78"/>
      <c r="D90" s="81"/>
      <c r="E90" s="81"/>
      <c r="F90" s="79">
        <f t="shared" si="1"/>
        <v>0</v>
      </c>
      <c r="G90" s="78"/>
    </row>
    <row r="91" spans="1:7" x14ac:dyDescent="0.2">
      <c r="A91" s="76"/>
      <c r="B91" s="19"/>
      <c r="C91" s="78"/>
      <c r="D91" s="81"/>
      <c r="E91" s="81"/>
      <c r="F91" s="79">
        <f t="shared" si="1"/>
        <v>0</v>
      </c>
      <c r="G91" s="78"/>
    </row>
    <row r="92" spans="1:7" x14ac:dyDescent="0.2">
      <c r="A92" s="76"/>
      <c r="B92" s="77"/>
      <c r="C92" s="78"/>
      <c r="D92" s="81"/>
      <c r="E92" s="81"/>
      <c r="F92" s="79">
        <f t="shared" si="1"/>
        <v>0</v>
      </c>
      <c r="G92" s="77"/>
    </row>
    <row r="93" spans="1:7" x14ac:dyDescent="0.2">
      <c r="A93" s="76"/>
      <c r="B93" s="77"/>
      <c r="C93" s="78"/>
      <c r="D93" s="81"/>
      <c r="E93" s="81"/>
      <c r="F93" s="79">
        <f t="shared" si="1"/>
        <v>0</v>
      </c>
      <c r="G93" s="78"/>
    </row>
    <row r="94" spans="1:7" x14ac:dyDescent="0.2">
      <c r="A94" s="76"/>
      <c r="B94" s="77"/>
      <c r="C94" s="78"/>
      <c r="D94" s="81"/>
      <c r="E94" s="81"/>
      <c r="F94" s="79">
        <f t="shared" si="1"/>
        <v>0</v>
      </c>
      <c r="G94" s="78"/>
    </row>
    <row r="95" spans="1:7" x14ac:dyDescent="0.2">
      <c r="A95" s="76"/>
      <c r="B95" s="77"/>
      <c r="C95" s="78"/>
      <c r="D95" s="81"/>
      <c r="E95" s="81"/>
      <c r="F95" s="79">
        <f t="shared" si="1"/>
        <v>0</v>
      </c>
      <c r="G95" s="78"/>
    </row>
    <row r="96" spans="1:7" x14ac:dyDescent="0.2">
      <c r="A96" s="76"/>
      <c r="B96" s="77"/>
      <c r="C96" s="78"/>
      <c r="D96" s="81"/>
      <c r="E96" s="81"/>
      <c r="F96" s="79">
        <f t="shared" si="1"/>
        <v>0</v>
      </c>
      <c r="G96" s="78"/>
    </row>
    <row r="97" spans="1:7" x14ac:dyDescent="0.2">
      <c r="A97" s="76"/>
      <c r="B97" s="77"/>
      <c r="C97" s="78"/>
      <c r="D97" s="81"/>
      <c r="E97" s="81"/>
      <c r="F97" s="79">
        <f t="shared" si="1"/>
        <v>0</v>
      </c>
      <c r="G97" s="77"/>
    </row>
    <row r="98" spans="1:7" x14ac:dyDescent="0.2">
      <c r="A98" s="76"/>
      <c r="B98" s="77"/>
      <c r="C98" s="78"/>
      <c r="D98" s="81"/>
      <c r="E98" s="81"/>
      <c r="F98" s="79">
        <f t="shared" si="1"/>
        <v>0</v>
      </c>
      <c r="G98" s="77"/>
    </row>
    <row r="99" spans="1:7" x14ac:dyDescent="0.2">
      <c r="A99" s="76"/>
      <c r="B99" s="77"/>
      <c r="C99" s="78"/>
      <c r="D99" s="81"/>
      <c r="E99" s="81"/>
      <c r="F99" s="79">
        <f t="shared" si="1"/>
        <v>0</v>
      </c>
      <c r="G99" s="82"/>
    </row>
    <row r="100" spans="1:7" x14ac:dyDescent="0.2">
      <c r="A100" s="76"/>
      <c r="B100" s="77"/>
      <c r="C100" s="78"/>
      <c r="D100" s="81"/>
      <c r="E100" s="81"/>
      <c r="F100" s="79">
        <f t="shared" si="1"/>
        <v>0</v>
      </c>
      <c r="G100" s="78"/>
    </row>
    <row r="101" spans="1:7" x14ac:dyDescent="0.2">
      <c r="A101" s="76"/>
      <c r="B101" s="77"/>
      <c r="C101" s="78"/>
      <c r="D101" s="81"/>
      <c r="E101" s="81"/>
      <c r="F101" s="79">
        <f t="shared" si="1"/>
        <v>0</v>
      </c>
      <c r="G101" s="77"/>
    </row>
    <row r="102" spans="1:7" x14ac:dyDescent="0.2">
      <c r="A102" s="76"/>
      <c r="B102" s="77"/>
      <c r="C102" s="78"/>
      <c r="D102" s="81"/>
      <c r="E102" s="81"/>
      <c r="F102" s="79">
        <f t="shared" si="1"/>
        <v>0</v>
      </c>
      <c r="G102" s="77"/>
    </row>
    <row r="103" spans="1:7" x14ac:dyDescent="0.2">
      <c r="A103" s="76"/>
      <c r="B103" s="77"/>
      <c r="C103" s="78"/>
      <c r="D103" s="81"/>
      <c r="E103" s="81"/>
      <c r="F103" s="79">
        <f t="shared" si="1"/>
        <v>0</v>
      </c>
      <c r="G103" s="77"/>
    </row>
    <row r="104" spans="1:7" x14ac:dyDescent="0.2">
      <c r="A104" s="76"/>
      <c r="B104" s="77"/>
      <c r="C104" s="78"/>
      <c r="D104" s="81"/>
      <c r="E104" s="81"/>
      <c r="F104" s="79">
        <f t="shared" si="1"/>
        <v>0</v>
      </c>
      <c r="G104" s="77"/>
    </row>
    <row r="105" spans="1:7" x14ac:dyDescent="0.2">
      <c r="A105" s="76"/>
      <c r="B105" s="77"/>
      <c r="C105" s="78"/>
      <c r="D105" s="81"/>
      <c r="E105" s="81"/>
      <c r="F105" s="79">
        <f t="shared" si="1"/>
        <v>0</v>
      </c>
      <c r="G105" s="77"/>
    </row>
    <row r="106" spans="1:7" x14ac:dyDescent="0.2">
      <c r="A106" s="76"/>
      <c r="B106" s="77"/>
      <c r="C106" s="78"/>
      <c r="D106" s="81"/>
      <c r="E106" s="81"/>
      <c r="F106" s="79">
        <f t="shared" si="1"/>
        <v>0</v>
      </c>
      <c r="G106" s="78"/>
    </row>
    <row r="107" spans="1:7" x14ac:dyDescent="0.2">
      <c r="A107" s="76"/>
      <c r="B107" s="77"/>
      <c r="C107" s="78"/>
      <c r="D107" s="81"/>
      <c r="E107" s="81"/>
      <c r="F107" s="79">
        <f t="shared" si="1"/>
        <v>0</v>
      </c>
      <c r="G107" s="78"/>
    </row>
    <row r="108" spans="1:7" x14ac:dyDescent="0.2">
      <c r="A108" s="76"/>
      <c r="B108" s="77"/>
      <c r="C108" s="78"/>
      <c r="D108" s="81"/>
      <c r="E108" s="81"/>
      <c r="F108" s="79">
        <f t="shared" si="1"/>
        <v>0</v>
      </c>
      <c r="G108" s="78"/>
    </row>
    <row r="109" spans="1:7" x14ac:dyDescent="0.2">
      <c r="A109" s="76"/>
      <c r="B109" s="77"/>
      <c r="C109" s="78"/>
      <c r="D109" s="81"/>
      <c r="E109" s="81"/>
      <c r="F109" s="79">
        <f>E109-D109</f>
        <v>0</v>
      </c>
      <c r="G109" s="78"/>
    </row>
    <row r="110" spans="1:7" x14ac:dyDescent="0.2">
      <c r="A110" s="76"/>
      <c r="B110" s="77"/>
      <c r="C110" s="78"/>
      <c r="D110" s="81"/>
      <c r="E110" s="81"/>
      <c r="F110" s="79">
        <f t="shared" si="1"/>
        <v>0</v>
      </c>
      <c r="G110" s="78"/>
    </row>
    <row r="111" spans="1:7" x14ac:dyDescent="0.2">
      <c r="A111" s="76"/>
      <c r="B111" s="77"/>
      <c r="C111" s="78"/>
      <c r="D111" s="81"/>
      <c r="E111" s="81"/>
      <c r="F111" s="79">
        <f t="shared" si="1"/>
        <v>0</v>
      </c>
      <c r="G111" s="78"/>
    </row>
    <row r="112" spans="1:7" x14ac:dyDescent="0.2">
      <c r="A112" s="76"/>
      <c r="B112" s="77"/>
      <c r="C112" s="78"/>
      <c r="D112" s="81"/>
      <c r="E112" s="81"/>
      <c r="F112" s="79">
        <f t="shared" si="1"/>
        <v>0</v>
      </c>
      <c r="G112" s="78"/>
    </row>
    <row r="113" spans="1:7" x14ac:dyDescent="0.2">
      <c r="A113" s="76"/>
      <c r="B113" s="77"/>
      <c r="C113" s="78"/>
      <c r="D113" s="81"/>
      <c r="E113" s="81"/>
      <c r="F113" s="79">
        <f t="shared" si="1"/>
        <v>0</v>
      </c>
      <c r="G113" s="78"/>
    </row>
    <row r="114" spans="1:7" x14ac:dyDescent="0.2">
      <c r="A114" s="76"/>
      <c r="B114" s="77"/>
      <c r="C114" s="78"/>
      <c r="D114" s="81"/>
      <c r="E114" s="81"/>
      <c r="F114" s="79">
        <f t="shared" si="1"/>
        <v>0</v>
      </c>
      <c r="G114" s="78"/>
    </row>
    <row r="115" spans="1:7" x14ac:dyDescent="0.2">
      <c r="A115" s="76"/>
      <c r="B115" s="77"/>
      <c r="C115" s="78"/>
      <c r="D115" s="81"/>
      <c r="E115" s="81"/>
      <c r="F115" s="79">
        <f t="shared" si="1"/>
        <v>0</v>
      </c>
      <c r="G115" s="78"/>
    </row>
    <row r="116" spans="1:7" x14ac:dyDescent="0.2">
      <c r="A116" s="76"/>
      <c r="B116" s="77"/>
      <c r="C116" s="78"/>
      <c r="D116" s="81"/>
      <c r="E116" s="81"/>
      <c r="F116" s="79">
        <f t="shared" si="1"/>
        <v>0</v>
      </c>
      <c r="G116" s="78"/>
    </row>
    <row r="117" spans="1:7" x14ac:dyDescent="0.2">
      <c r="A117" s="76"/>
      <c r="B117" s="77"/>
      <c r="C117" s="78"/>
      <c r="D117" s="81"/>
      <c r="E117" s="81"/>
      <c r="F117" s="79">
        <f t="shared" si="1"/>
        <v>0</v>
      </c>
      <c r="G117" s="78"/>
    </row>
    <row r="118" spans="1:7" x14ac:dyDescent="0.2">
      <c r="A118" s="76"/>
      <c r="B118" s="77"/>
      <c r="C118" s="78"/>
      <c r="D118" s="81"/>
      <c r="E118" s="81"/>
      <c r="F118" s="79">
        <f t="shared" si="1"/>
        <v>0</v>
      </c>
      <c r="G118" s="78"/>
    </row>
    <row r="119" spans="1:7" x14ac:dyDescent="0.2">
      <c r="A119" s="76"/>
      <c r="B119" s="77"/>
      <c r="C119" s="78"/>
      <c r="D119" s="81"/>
      <c r="E119" s="81"/>
      <c r="F119" s="79">
        <f t="shared" si="1"/>
        <v>0</v>
      </c>
      <c r="G119" s="78"/>
    </row>
    <row r="120" spans="1:7" x14ac:dyDescent="0.2">
      <c r="A120" s="76"/>
      <c r="B120" s="77"/>
      <c r="C120" s="78"/>
      <c r="D120" s="81"/>
      <c r="E120" s="81"/>
      <c r="F120" s="79">
        <f t="shared" si="1"/>
        <v>0</v>
      </c>
      <c r="G120" s="78"/>
    </row>
    <row r="121" spans="1:7" x14ac:dyDescent="0.2">
      <c r="A121" s="76"/>
      <c r="B121" s="77"/>
      <c r="C121" s="78"/>
      <c r="D121" s="81"/>
      <c r="E121" s="81"/>
      <c r="F121" s="79">
        <f t="shared" si="1"/>
        <v>0</v>
      </c>
      <c r="G121" s="78"/>
    </row>
    <row r="122" spans="1:7" x14ac:dyDescent="0.2">
      <c r="A122" s="76"/>
      <c r="B122" s="77"/>
      <c r="C122" s="78"/>
      <c r="D122" s="81"/>
      <c r="E122" s="81"/>
      <c r="F122" s="79">
        <f t="shared" si="1"/>
        <v>0</v>
      </c>
      <c r="G122" s="78"/>
    </row>
    <row r="123" spans="1:7" x14ac:dyDescent="0.2">
      <c r="A123" s="76"/>
      <c r="B123" s="77"/>
      <c r="C123" s="78"/>
      <c r="D123" s="81"/>
      <c r="E123" s="81"/>
      <c r="F123" s="79">
        <f t="shared" si="1"/>
        <v>0</v>
      </c>
      <c r="G123" s="78"/>
    </row>
    <row r="124" spans="1:7" x14ac:dyDescent="0.2">
      <c r="A124" s="76"/>
      <c r="B124" s="77"/>
      <c r="C124" s="78"/>
      <c r="D124" s="81"/>
      <c r="E124" s="81"/>
      <c r="F124" s="79">
        <f t="shared" si="1"/>
        <v>0</v>
      </c>
      <c r="G124" s="80"/>
    </row>
    <row r="125" spans="1:7" x14ac:dyDescent="0.2">
      <c r="A125" s="76"/>
      <c r="B125" s="77"/>
      <c r="C125" s="78"/>
      <c r="D125" s="81"/>
      <c r="E125" s="81"/>
      <c r="F125" s="79">
        <f t="shared" si="1"/>
        <v>0</v>
      </c>
      <c r="G125" s="78"/>
    </row>
    <row r="126" spans="1:7" x14ac:dyDescent="0.2">
      <c r="A126" s="76"/>
      <c r="B126" s="77"/>
      <c r="C126" s="78"/>
      <c r="D126" s="81"/>
      <c r="E126" s="81"/>
      <c r="F126" s="79">
        <f t="shared" si="1"/>
        <v>0</v>
      </c>
      <c r="G126" s="78"/>
    </row>
    <row r="127" spans="1:7" x14ac:dyDescent="0.2">
      <c r="A127" s="76"/>
      <c r="B127" s="77"/>
      <c r="C127" s="78"/>
      <c r="D127" s="81"/>
      <c r="E127" s="81"/>
      <c r="F127" s="79">
        <f t="shared" si="1"/>
        <v>0</v>
      </c>
      <c r="G127" s="78"/>
    </row>
    <row r="128" spans="1:7" x14ac:dyDescent="0.2">
      <c r="A128" s="76"/>
      <c r="B128" s="77"/>
      <c r="C128" s="78"/>
      <c r="D128" s="81"/>
      <c r="E128" s="81"/>
      <c r="F128" s="79">
        <f t="shared" si="1"/>
        <v>0</v>
      </c>
      <c r="G128" s="78"/>
    </row>
    <row r="129" spans="1:7" x14ac:dyDescent="0.2">
      <c r="A129" s="76"/>
      <c r="B129" s="77"/>
      <c r="C129" s="78"/>
      <c r="D129" s="81"/>
      <c r="E129" s="81"/>
      <c r="F129" s="79">
        <f t="shared" si="1"/>
        <v>0</v>
      </c>
      <c r="G129" s="78"/>
    </row>
    <row r="130" spans="1:7" x14ac:dyDescent="0.2">
      <c r="A130" s="76"/>
      <c r="B130" s="77"/>
      <c r="C130" s="78"/>
      <c r="D130" s="81"/>
      <c r="E130" s="81"/>
      <c r="F130" s="79">
        <f t="shared" si="1"/>
        <v>0</v>
      </c>
      <c r="G130" s="78"/>
    </row>
    <row r="131" spans="1:7" x14ac:dyDescent="0.2">
      <c r="A131" s="76"/>
      <c r="B131" s="77"/>
      <c r="C131" s="78"/>
      <c r="D131" s="81"/>
      <c r="E131" s="81"/>
      <c r="F131" s="79">
        <f t="shared" si="1"/>
        <v>0</v>
      </c>
      <c r="G131" s="78"/>
    </row>
    <row r="132" spans="1:7" x14ac:dyDescent="0.2">
      <c r="A132" s="76"/>
      <c r="B132" s="77"/>
      <c r="C132" s="78"/>
      <c r="D132" s="81"/>
      <c r="E132" s="81"/>
      <c r="F132" s="79">
        <f t="shared" si="1"/>
        <v>0</v>
      </c>
      <c r="G132" s="78"/>
    </row>
    <row r="133" spans="1:7" x14ac:dyDescent="0.2">
      <c r="A133" s="76"/>
      <c r="B133" s="77"/>
      <c r="C133" s="78"/>
      <c r="D133" s="81"/>
      <c r="E133" s="81"/>
      <c r="F133" s="79">
        <f t="shared" si="1"/>
        <v>0</v>
      </c>
      <c r="G133" s="78"/>
    </row>
    <row r="134" spans="1:7" x14ac:dyDescent="0.2">
      <c r="A134" s="76"/>
      <c r="B134" s="77"/>
      <c r="C134" s="78"/>
      <c r="D134" s="81"/>
      <c r="E134" s="81"/>
      <c r="F134" s="79">
        <f t="shared" si="1"/>
        <v>0</v>
      </c>
      <c r="G134" s="78"/>
    </row>
    <row r="135" spans="1:7" x14ac:dyDescent="0.2">
      <c r="A135" s="76"/>
      <c r="B135" s="77"/>
      <c r="C135" s="78"/>
      <c r="D135" s="81"/>
      <c r="E135" s="81"/>
      <c r="F135" s="79">
        <f t="shared" si="1"/>
        <v>0</v>
      </c>
      <c r="G135" s="78"/>
    </row>
    <row r="136" spans="1:7" x14ac:dyDescent="0.2">
      <c r="A136" s="76"/>
      <c r="B136" s="77"/>
      <c r="C136" s="78"/>
      <c r="D136" s="81"/>
      <c r="E136" s="81"/>
      <c r="F136" s="79">
        <f t="shared" si="1"/>
        <v>0</v>
      </c>
      <c r="G136" s="78"/>
    </row>
    <row r="137" spans="1:7" x14ac:dyDescent="0.2">
      <c r="A137" s="76"/>
      <c r="B137" s="77"/>
      <c r="C137" s="78"/>
      <c r="D137" s="81"/>
      <c r="E137" s="81"/>
      <c r="F137" s="79">
        <f t="shared" si="1"/>
        <v>0</v>
      </c>
      <c r="G137" s="78"/>
    </row>
    <row r="138" spans="1:7" x14ac:dyDescent="0.2">
      <c r="A138" s="76"/>
      <c r="B138" s="77"/>
      <c r="C138" s="78"/>
      <c r="D138" s="81"/>
      <c r="E138" s="81"/>
      <c r="F138" s="79">
        <f t="shared" si="1"/>
        <v>0</v>
      </c>
      <c r="G138" s="78"/>
    </row>
    <row r="139" spans="1:7" x14ac:dyDescent="0.2">
      <c r="A139" s="76"/>
      <c r="B139" s="77"/>
      <c r="C139" s="78"/>
      <c r="D139" s="81"/>
      <c r="E139" s="81"/>
      <c r="F139" s="79">
        <f t="shared" si="1"/>
        <v>0</v>
      </c>
      <c r="G139" s="78"/>
    </row>
    <row r="140" spans="1:7" x14ac:dyDescent="0.2">
      <c r="A140" s="76"/>
      <c r="B140" s="77"/>
      <c r="C140" s="78"/>
      <c r="D140" s="81"/>
      <c r="E140" s="81"/>
      <c r="F140" s="79">
        <f t="shared" ref="F140:F203" si="2">E140-D140</f>
        <v>0</v>
      </c>
      <c r="G140" s="78"/>
    </row>
    <row r="141" spans="1:7" x14ac:dyDescent="0.2">
      <c r="A141" s="76"/>
      <c r="B141" s="77"/>
      <c r="C141" s="78"/>
      <c r="D141" s="81"/>
      <c r="E141" s="81"/>
      <c r="F141" s="79">
        <f t="shared" si="2"/>
        <v>0</v>
      </c>
      <c r="G141" s="78"/>
    </row>
    <row r="142" spans="1:7" x14ac:dyDescent="0.2">
      <c r="A142" s="76"/>
      <c r="B142" s="77"/>
      <c r="C142" s="78"/>
      <c r="D142" s="81"/>
      <c r="E142" s="81"/>
      <c r="F142" s="79">
        <f t="shared" si="2"/>
        <v>0</v>
      </c>
      <c r="G142" s="80"/>
    </row>
    <row r="143" spans="1:7" x14ac:dyDescent="0.2">
      <c r="A143" s="76"/>
      <c r="B143" s="77"/>
      <c r="C143" s="78"/>
      <c r="D143" s="81"/>
      <c r="E143" s="81"/>
      <c r="F143" s="79">
        <f t="shared" si="2"/>
        <v>0</v>
      </c>
      <c r="G143" s="78"/>
    </row>
    <row r="144" spans="1:7" x14ac:dyDescent="0.2">
      <c r="A144" s="76"/>
      <c r="B144" s="77"/>
      <c r="C144" s="78"/>
      <c r="D144" s="81"/>
      <c r="E144" s="81"/>
      <c r="F144" s="79">
        <f t="shared" si="2"/>
        <v>0</v>
      </c>
      <c r="G144" s="78"/>
    </row>
    <row r="145" spans="1:7" x14ac:dyDescent="0.2">
      <c r="A145" s="76"/>
      <c r="B145" s="77"/>
      <c r="C145" s="78"/>
      <c r="D145" s="81"/>
      <c r="E145" s="81"/>
      <c r="F145" s="79">
        <f t="shared" si="2"/>
        <v>0</v>
      </c>
      <c r="G145" s="78"/>
    </row>
    <row r="146" spans="1:7" x14ac:dyDescent="0.2">
      <c r="A146" s="76"/>
      <c r="B146" s="77"/>
      <c r="C146" s="78"/>
      <c r="D146" s="81"/>
      <c r="E146" s="81"/>
      <c r="F146" s="79">
        <f t="shared" si="2"/>
        <v>0</v>
      </c>
      <c r="G146" s="78"/>
    </row>
    <row r="147" spans="1:7" x14ac:dyDescent="0.2">
      <c r="A147" s="76"/>
      <c r="B147" s="77"/>
      <c r="C147" s="78"/>
      <c r="D147" s="81"/>
      <c r="E147" s="81"/>
      <c r="F147" s="79">
        <f t="shared" si="2"/>
        <v>0</v>
      </c>
      <c r="G147" s="78"/>
    </row>
    <row r="148" spans="1:7" x14ac:dyDescent="0.2">
      <c r="A148" s="76"/>
      <c r="B148" s="77"/>
      <c r="C148" s="78"/>
      <c r="D148" s="81"/>
      <c r="E148" s="81"/>
      <c r="F148" s="79">
        <f t="shared" si="2"/>
        <v>0</v>
      </c>
      <c r="G148" s="78"/>
    </row>
    <row r="149" spans="1:7" x14ac:dyDescent="0.2">
      <c r="A149" s="76"/>
      <c r="B149" s="77"/>
      <c r="C149" s="78"/>
      <c r="D149" s="81"/>
      <c r="E149" s="81"/>
      <c r="F149" s="79">
        <f t="shared" si="2"/>
        <v>0</v>
      </c>
      <c r="G149" s="78"/>
    </row>
    <row r="150" spans="1:7" x14ac:dyDescent="0.2">
      <c r="A150" s="76"/>
      <c r="B150" s="77"/>
      <c r="C150" s="78"/>
      <c r="D150" s="81"/>
      <c r="E150" s="81"/>
      <c r="F150" s="79">
        <f t="shared" si="2"/>
        <v>0</v>
      </c>
      <c r="G150" s="80"/>
    </row>
    <row r="151" spans="1:7" x14ac:dyDescent="0.2">
      <c r="A151" s="76"/>
      <c r="B151" s="77"/>
      <c r="C151" s="78"/>
      <c r="D151" s="81"/>
      <c r="E151" s="81"/>
      <c r="F151" s="79">
        <f t="shared" si="2"/>
        <v>0</v>
      </c>
      <c r="G151" s="78"/>
    </row>
    <row r="152" spans="1:7" x14ac:dyDescent="0.2">
      <c r="A152" s="76"/>
      <c r="B152" s="77"/>
      <c r="C152" s="78"/>
      <c r="D152" s="81"/>
      <c r="E152" s="81"/>
      <c r="F152" s="79">
        <f t="shared" si="2"/>
        <v>0</v>
      </c>
      <c r="G152" s="78"/>
    </row>
    <row r="153" spans="1:7" x14ac:dyDescent="0.2">
      <c r="A153" s="76"/>
      <c r="B153" s="77"/>
      <c r="C153" s="78"/>
      <c r="D153" s="81"/>
      <c r="E153" s="81"/>
      <c r="F153" s="79">
        <f t="shared" si="2"/>
        <v>0</v>
      </c>
      <c r="G153" s="78"/>
    </row>
    <row r="154" spans="1:7" x14ac:dyDescent="0.2">
      <c r="A154" s="76"/>
      <c r="B154" s="77"/>
      <c r="C154" s="78"/>
      <c r="D154" s="81"/>
      <c r="E154" s="81"/>
      <c r="F154" s="79">
        <f t="shared" si="2"/>
        <v>0</v>
      </c>
      <c r="G154" s="78"/>
    </row>
    <row r="155" spans="1:7" x14ac:dyDescent="0.2">
      <c r="A155" s="76"/>
      <c r="B155" s="77"/>
      <c r="C155" s="78"/>
      <c r="D155" s="81"/>
      <c r="E155" s="81"/>
      <c r="F155" s="79">
        <f t="shared" si="2"/>
        <v>0</v>
      </c>
      <c r="G155" s="80"/>
    </row>
    <row r="156" spans="1:7" x14ac:dyDescent="0.2">
      <c r="A156" s="76"/>
      <c r="B156" s="77"/>
      <c r="C156" s="78"/>
      <c r="D156" s="81"/>
      <c r="E156" s="81"/>
      <c r="F156" s="79">
        <f t="shared" si="2"/>
        <v>0</v>
      </c>
      <c r="G156" s="80"/>
    </row>
    <row r="157" spans="1:7" x14ac:dyDescent="0.2">
      <c r="A157" s="76"/>
      <c r="B157" s="77"/>
      <c r="C157" s="78"/>
      <c r="D157" s="81"/>
      <c r="E157" s="81"/>
      <c r="F157" s="79">
        <f t="shared" si="2"/>
        <v>0</v>
      </c>
      <c r="G157" s="80"/>
    </row>
    <row r="158" spans="1:7" x14ac:dyDescent="0.2">
      <c r="A158" s="76"/>
      <c r="B158" s="77"/>
      <c r="C158" s="78"/>
      <c r="D158" s="81"/>
      <c r="E158" s="81"/>
      <c r="F158" s="79">
        <f t="shared" si="2"/>
        <v>0</v>
      </c>
      <c r="G158" s="80"/>
    </row>
    <row r="159" spans="1:7" x14ac:dyDescent="0.2">
      <c r="A159" s="76"/>
      <c r="B159" s="77"/>
      <c r="C159" s="78"/>
      <c r="D159" s="81"/>
      <c r="E159" s="81"/>
      <c r="F159" s="79">
        <f t="shared" si="2"/>
        <v>0</v>
      </c>
      <c r="G159" s="80"/>
    </row>
    <row r="160" spans="1:7" x14ac:dyDescent="0.2">
      <c r="A160" s="76"/>
      <c r="B160" s="77"/>
      <c r="C160" s="78"/>
      <c r="D160" s="81"/>
      <c r="E160" s="81"/>
      <c r="F160" s="79">
        <f t="shared" si="2"/>
        <v>0</v>
      </c>
      <c r="G160" s="80"/>
    </row>
    <row r="161" spans="1:7" x14ac:dyDescent="0.2">
      <c r="A161" s="76"/>
      <c r="B161" s="77"/>
      <c r="C161" s="78"/>
      <c r="D161" s="81"/>
      <c r="E161" s="81"/>
      <c r="F161" s="79">
        <f t="shared" si="2"/>
        <v>0</v>
      </c>
      <c r="G161" s="80"/>
    </row>
    <row r="162" spans="1:7" x14ac:dyDescent="0.2">
      <c r="A162" s="76"/>
      <c r="B162" s="77"/>
      <c r="C162" s="78"/>
      <c r="D162" s="81"/>
      <c r="E162" s="81"/>
      <c r="F162" s="79">
        <f t="shared" si="2"/>
        <v>0</v>
      </c>
      <c r="G162" s="78"/>
    </row>
    <row r="163" spans="1:7" x14ac:dyDescent="0.2">
      <c r="A163" s="76"/>
      <c r="B163" s="77"/>
      <c r="C163" s="78"/>
      <c r="D163" s="81"/>
      <c r="E163" s="81"/>
      <c r="F163" s="79">
        <f t="shared" si="2"/>
        <v>0</v>
      </c>
      <c r="G163" s="78"/>
    </row>
    <row r="164" spans="1:7" x14ac:dyDescent="0.2">
      <c r="A164" s="76"/>
      <c r="B164" s="77"/>
      <c r="C164" s="78"/>
      <c r="D164" s="81"/>
      <c r="E164" s="81"/>
      <c r="F164" s="79">
        <f t="shared" si="2"/>
        <v>0</v>
      </c>
      <c r="G164" s="80"/>
    </row>
    <row r="165" spans="1:7" x14ac:dyDescent="0.2">
      <c r="A165" s="76"/>
      <c r="B165" s="77"/>
      <c r="C165" s="78"/>
      <c r="D165" s="81"/>
      <c r="E165" s="81"/>
      <c r="F165" s="79">
        <f t="shared" si="2"/>
        <v>0</v>
      </c>
      <c r="G165" s="78"/>
    </row>
    <row r="166" spans="1:7" x14ac:dyDescent="0.2">
      <c r="A166" s="76"/>
      <c r="B166" s="77"/>
      <c r="C166" s="78"/>
      <c r="D166" s="81"/>
      <c r="E166" s="81"/>
      <c r="F166" s="79">
        <f t="shared" si="2"/>
        <v>0</v>
      </c>
      <c r="G166" s="78"/>
    </row>
    <row r="167" spans="1:7" x14ac:dyDescent="0.2">
      <c r="A167" s="76"/>
      <c r="B167" s="77"/>
      <c r="C167" s="78"/>
      <c r="D167" s="81"/>
      <c r="E167" s="81"/>
      <c r="F167" s="79">
        <f t="shared" si="2"/>
        <v>0</v>
      </c>
      <c r="G167" s="78"/>
    </row>
    <row r="168" spans="1:7" x14ac:dyDescent="0.2">
      <c r="A168" s="76"/>
      <c r="B168" s="77"/>
      <c r="C168" s="78"/>
      <c r="D168" s="81"/>
      <c r="E168" s="81"/>
      <c r="F168" s="79">
        <f t="shared" si="2"/>
        <v>0</v>
      </c>
      <c r="G168" s="78"/>
    </row>
    <row r="169" spans="1:7" x14ac:dyDescent="0.2">
      <c r="A169" s="76"/>
      <c r="B169" s="77"/>
      <c r="C169" s="78"/>
      <c r="D169" s="81"/>
      <c r="E169" s="81"/>
      <c r="F169" s="79">
        <f t="shared" si="2"/>
        <v>0</v>
      </c>
      <c r="G169" s="78"/>
    </row>
    <row r="170" spans="1:7" x14ac:dyDescent="0.2">
      <c r="A170" s="76"/>
      <c r="B170" s="77"/>
      <c r="C170" s="78"/>
      <c r="D170" s="81"/>
      <c r="E170" s="81"/>
      <c r="F170" s="79">
        <f t="shared" si="2"/>
        <v>0</v>
      </c>
      <c r="G170" s="78"/>
    </row>
    <row r="171" spans="1:7" x14ac:dyDescent="0.2">
      <c r="A171" s="76"/>
      <c r="B171" s="77"/>
      <c r="C171" s="78"/>
      <c r="D171" s="81"/>
      <c r="E171" s="81"/>
      <c r="F171" s="79">
        <f t="shared" si="2"/>
        <v>0</v>
      </c>
      <c r="G171" s="78"/>
    </row>
    <row r="172" spans="1:7" x14ac:dyDescent="0.2">
      <c r="A172" s="76"/>
      <c r="B172" s="77"/>
      <c r="C172" s="78"/>
      <c r="D172" s="81"/>
      <c r="E172" s="81"/>
      <c r="F172" s="79">
        <f t="shared" si="2"/>
        <v>0</v>
      </c>
      <c r="G172" s="80"/>
    </row>
    <row r="173" spans="1:7" x14ac:dyDescent="0.2">
      <c r="A173" s="76"/>
      <c r="B173" s="77"/>
      <c r="C173" s="78"/>
      <c r="D173" s="81"/>
      <c r="E173" s="81"/>
      <c r="F173" s="79">
        <f t="shared" si="2"/>
        <v>0</v>
      </c>
      <c r="G173" s="78"/>
    </row>
    <row r="174" spans="1:7" x14ac:dyDescent="0.2">
      <c r="A174" s="76"/>
      <c r="B174" s="77"/>
      <c r="C174" s="78"/>
      <c r="D174" s="81"/>
      <c r="E174" s="81"/>
      <c r="F174" s="79">
        <f t="shared" si="2"/>
        <v>0</v>
      </c>
      <c r="G174" s="78"/>
    </row>
    <row r="175" spans="1:7" x14ac:dyDescent="0.2">
      <c r="A175" s="76"/>
      <c r="B175" s="77"/>
      <c r="C175" s="78"/>
      <c r="D175" s="81"/>
      <c r="E175" s="81"/>
      <c r="F175" s="79">
        <f t="shared" si="2"/>
        <v>0</v>
      </c>
      <c r="G175" s="78"/>
    </row>
    <row r="176" spans="1:7" x14ac:dyDescent="0.2">
      <c r="A176" s="76"/>
      <c r="B176" s="77"/>
      <c r="C176" s="78"/>
      <c r="D176" s="81"/>
      <c r="E176" s="81"/>
      <c r="F176" s="79">
        <f t="shared" si="2"/>
        <v>0</v>
      </c>
      <c r="G176" s="78"/>
    </row>
    <row r="177" spans="1:7" x14ac:dyDescent="0.2">
      <c r="A177" s="76"/>
      <c r="B177" s="77"/>
      <c r="C177" s="78"/>
      <c r="D177" s="81"/>
      <c r="E177" s="81"/>
      <c r="F177" s="79">
        <f t="shared" si="2"/>
        <v>0</v>
      </c>
      <c r="G177" s="78"/>
    </row>
    <row r="178" spans="1:7" x14ac:dyDescent="0.2">
      <c r="A178" s="76"/>
      <c r="B178" s="77"/>
      <c r="C178" s="78"/>
      <c r="D178" s="81"/>
      <c r="E178" s="81"/>
      <c r="F178" s="79">
        <f t="shared" si="2"/>
        <v>0</v>
      </c>
      <c r="G178" s="78"/>
    </row>
    <row r="179" spans="1:7" x14ac:dyDescent="0.2">
      <c r="A179" s="76"/>
      <c r="B179" s="77"/>
      <c r="C179" s="78"/>
      <c r="D179" s="81"/>
      <c r="E179" s="81"/>
      <c r="F179" s="79">
        <f t="shared" si="2"/>
        <v>0</v>
      </c>
      <c r="G179" s="78"/>
    </row>
    <row r="180" spans="1:7" x14ac:dyDescent="0.2">
      <c r="A180" s="76"/>
      <c r="B180" s="77"/>
      <c r="C180" s="78"/>
      <c r="D180" s="81"/>
      <c r="E180" s="81"/>
      <c r="F180" s="79">
        <f t="shared" si="2"/>
        <v>0</v>
      </c>
      <c r="G180" s="78"/>
    </row>
    <row r="181" spans="1:7" x14ac:dyDescent="0.2">
      <c r="A181" s="76"/>
      <c r="B181" s="77"/>
      <c r="C181" s="78"/>
      <c r="D181" s="81"/>
      <c r="E181" s="81"/>
      <c r="F181" s="79">
        <f t="shared" si="2"/>
        <v>0</v>
      </c>
      <c r="G181" s="78"/>
    </row>
    <row r="182" spans="1:7" x14ac:dyDescent="0.2">
      <c r="A182" s="76"/>
      <c r="B182" s="77"/>
      <c r="C182" s="78"/>
      <c r="D182" s="81"/>
      <c r="E182" s="81"/>
      <c r="F182" s="79">
        <f t="shared" si="2"/>
        <v>0</v>
      </c>
      <c r="G182" s="78"/>
    </row>
    <row r="183" spans="1:7" x14ac:dyDescent="0.2">
      <c r="A183" s="76"/>
      <c r="B183" s="77"/>
      <c r="C183" s="78"/>
      <c r="D183" s="81"/>
      <c r="E183" s="81"/>
      <c r="F183" s="79">
        <f t="shared" si="2"/>
        <v>0</v>
      </c>
      <c r="G183" s="78"/>
    </row>
    <row r="184" spans="1:7" x14ac:dyDescent="0.2">
      <c r="A184" s="76"/>
      <c r="B184" s="77"/>
      <c r="C184" s="78"/>
      <c r="D184" s="81"/>
      <c r="E184" s="81"/>
      <c r="F184" s="79">
        <f t="shared" si="2"/>
        <v>0</v>
      </c>
      <c r="G184" s="78"/>
    </row>
    <row r="185" spans="1:7" x14ac:dyDescent="0.2">
      <c r="A185" s="76"/>
      <c r="B185" s="77"/>
      <c r="C185" s="78"/>
      <c r="D185" s="81"/>
      <c r="E185" s="81"/>
      <c r="F185" s="79">
        <f t="shared" si="2"/>
        <v>0</v>
      </c>
      <c r="G185" s="78"/>
    </row>
    <row r="186" spans="1:7" x14ac:dyDescent="0.2">
      <c r="A186" s="76"/>
      <c r="B186" s="77"/>
      <c r="C186" s="78"/>
      <c r="D186" s="81"/>
      <c r="E186" s="81"/>
      <c r="F186" s="79">
        <f t="shared" si="2"/>
        <v>0</v>
      </c>
      <c r="G186" s="78"/>
    </row>
    <row r="187" spans="1:7" x14ac:dyDescent="0.2">
      <c r="A187" s="76"/>
      <c r="B187" s="77"/>
      <c r="C187" s="78"/>
      <c r="D187" s="81"/>
      <c r="E187" s="81"/>
      <c r="F187" s="79">
        <f t="shared" si="2"/>
        <v>0</v>
      </c>
      <c r="G187" s="80"/>
    </row>
    <row r="188" spans="1:7" x14ac:dyDescent="0.2">
      <c r="A188" s="76"/>
      <c r="B188" s="77"/>
      <c r="C188" s="78"/>
      <c r="D188" s="81"/>
      <c r="E188" s="81"/>
      <c r="F188" s="79">
        <f t="shared" si="2"/>
        <v>0</v>
      </c>
      <c r="G188" s="78"/>
    </row>
    <row r="189" spans="1:7" x14ac:dyDescent="0.2">
      <c r="A189" s="76"/>
      <c r="B189" s="77"/>
      <c r="C189" s="78"/>
      <c r="D189" s="81"/>
      <c r="E189" s="81"/>
      <c r="F189" s="79">
        <f t="shared" si="2"/>
        <v>0</v>
      </c>
      <c r="G189" s="78"/>
    </row>
    <row r="190" spans="1:7" x14ac:dyDescent="0.2">
      <c r="A190" s="76"/>
      <c r="B190" s="77"/>
      <c r="C190" s="78"/>
      <c r="D190" s="81"/>
      <c r="E190" s="81"/>
      <c r="F190" s="79">
        <f t="shared" si="2"/>
        <v>0</v>
      </c>
      <c r="G190" s="78"/>
    </row>
    <row r="191" spans="1:7" x14ac:dyDescent="0.2">
      <c r="A191" s="76"/>
      <c r="B191" s="77"/>
      <c r="C191" s="78"/>
      <c r="D191" s="81"/>
      <c r="E191" s="81"/>
      <c r="F191" s="79">
        <f>E191-D191</f>
        <v>0</v>
      </c>
      <c r="G191" s="78"/>
    </row>
    <row r="192" spans="1:7" x14ac:dyDescent="0.2">
      <c r="A192" s="76"/>
      <c r="B192" s="77"/>
      <c r="C192" s="78"/>
      <c r="D192" s="81"/>
      <c r="E192" s="81"/>
      <c r="F192" s="79">
        <f t="shared" si="2"/>
        <v>0</v>
      </c>
      <c r="G192" s="78"/>
    </row>
    <row r="193" spans="1:7" x14ac:dyDescent="0.2">
      <c r="A193" s="76"/>
      <c r="B193" s="77"/>
      <c r="C193" s="78"/>
      <c r="D193" s="81"/>
      <c r="E193" s="81"/>
      <c r="F193" s="79">
        <f t="shared" si="2"/>
        <v>0</v>
      </c>
      <c r="G193" s="78"/>
    </row>
    <row r="194" spans="1:7" x14ac:dyDescent="0.2">
      <c r="A194" s="76"/>
      <c r="B194" s="77"/>
      <c r="C194" s="78"/>
      <c r="D194" s="81"/>
      <c r="E194" s="81"/>
      <c r="F194" s="79">
        <f t="shared" si="2"/>
        <v>0</v>
      </c>
      <c r="G194" s="78"/>
    </row>
    <row r="195" spans="1:7" x14ac:dyDescent="0.2">
      <c r="A195" s="76"/>
      <c r="B195" s="77"/>
      <c r="C195" s="78"/>
      <c r="D195" s="81"/>
      <c r="E195" s="81"/>
      <c r="F195" s="79">
        <f t="shared" si="2"/>
        <v>0</v>
      </c>
      <c r="G195" s="80"/>
    </row>
    <row r="196" spans="1:7" x14ac:dyDescent="0.2">
      <c r="A196" s="76"/>
      <c r="B196" s="77"/>
      <c r="C196" s="78"/>
      <c r="D196" s="81"/>
      <c r="E196" s="81"/>
      <c r="F196" s="79">
        <f t="shared" si="2"/>
        <v>0</v>
      </c>
      <c r="G196" s="78"/>
    </row>
    <row r="197" spans="1:7" x14ac:dyDescent="0.2">
      <c r="A197" s="76"/>
      <c r="B197" s="77"/>
      <c r="C197" s="78"/>
      <c r="D197" s="81"/>
      <c r="E197" s="81"/>
      <c r="F197" s="79">
        <f t="shared" si="2"/>
        <v>0</v>
      </c>
      <c r="G197" s="78"/>
    </row>
    <row r="198" spans="1:7" x14ac:dyDescent="0.2">
      <c r="A198" s="76"/>
      <c r="B198" s="77"/>
      <c r="C198" s="78"/>
      <c r="D198" s="81"/>
      <c r="E198" s="81"/>
      <c r="F198" s="79">
        <f t="shared" si="2"/>
        <v>0</v>
      </c>
      <c r="G198" s="78"/>
    </row>
    <row r="199" spans="1:7" x14ac:dyDescent="0.2">
      <c r="A199" s="76"/>
      <c r="B199" s="77"/>
      <c r="C199" s="78"/>
      <c r="D199" s="81"/>
      <c r="E199" s="81"/>
      <c r="F199" s="79">
        <f t="shared" si="2"/>
        <v>0</v>
      </c>
      <c r="G199" s="78"/>
    </row>
    <row r="200" spans="1:7" x14ac:dyDescent="0.2">
      <c r="A200" s="76"/>
      <c r="B200" s="77"/>
      <c r="C200" s="78"/>
      <c r="D200" s="81"/>
      <c r="E200" s="81"/>
      <c r="F200" s="79">
        <f t="shared" si="2"/>
        <v>0</v>
      </c>
      <c r="G200" s="80"/>
    </row>
    <row r="201" spans="1:7" x14ac:dyDescent="0.2">
      <c r="A201" s="76"/>
      <c r="B201" s="77"/>
      <c r="C201" s="78"/>
      <c r="D201" s="81"/>
      <c r="E201" s="81"/>
      <c r="F201" s="79">
        <f t="shared" si="2"/>
        <v>0</v>
      </c>
      <c r="G201" s="78"/>
    </row>
    <row r="202" spans="1:7" x14ac:dyDescent="0.2">
      <c r="A202" s="76"/>
      <c r="B202" s="77"/>
      <c r="C202" s="78"/>
      <c r="D202" s="81"/>
      <c r="E202" s="81"/>
      <c r="F202" s="79">
        <f t="shared" si="2"/>
        <v>0</v>
      </c>
      <c r="G202" s="78"/>
    </row>
    <row r="203" spans="1:7" x14ac:dyDescent="0.2">
      <c r="A203" s="76"/>
      <c r="B203" s="77"/>
      <c r="C203" s="78"/>
      <c r="D203" s="81"/>
      <c r="E203" s="81"/>
      <c r="F203" s="79">
        <f t="shared" si="2"/>
        <v>0</v>
      </c>
      <c r="G203" s="78"/>
    </row>
    <row r="204" spans="1:7" x14ac:dyDescent="0.2">
      <c r="A204" s="76"/>
      <c r="B204" s="77"/>
      <c r="C204" s="78"/>
      <c r="D204" s="81"/>
      <c r="E204" s="81"/>
      <c r="F204" s="79">
        <f t="shared" ref="F204:F267" si="3">E204-D204</f>
        <v>0</v>
      </c>
      <c r="G204" s="80"/>
    </row>
    <row r="205" spans="1:7" x14ac:dyDescent="0.2">
      <c r="A205" s="76"/>
      <c r="B205" s="77"/>
      <c r="C205" s="78"/>
      <c r="D205" s="81"/>
      <c r="E205" s="81"/>
      <c r="F205" s="79">
        <f t="shared" si="3"/>
        <v>0</v>
      </c>
      <c r="G205" s="78"/>
    </row>
    <row r="206" spans="1:7" x14ac:dyDescent="0.2">
      <c r="A206" s="76"/>
      <c r="B206" s="77"/>
      <c r="C206" s="78"/>
      <c r="D206" s="81"/>
      <c r="E206" s="81"/>
      <c r="F206" s="79">
        <f t="shared" si="3"/>
        <v>0</v>
      </c>
      <c r="G206" s="78"/>
    </row>
    <row r="207" spans="1:7" x14ac:dyDescent="0.2">
      <c r="A207" s="76"/>
      <c r="B207" s="77"/>
      <c r="C207" s="78"/>
      <c r="D207" s="81"/>
      <c r="E207" s="81"/>
      <c r="F207" s="79">
        <f t="shared" si="3"/>
        <v>0</v>
      </c>
      <c r="G207" s="80"/>
    </row>
    <row r="208" spans="1:7" x14ac:dyDescent="0.2">
      <c r="A208" s="76"/>
      <c r="B208" s="77"/>
      <c r="C208" s="78"/>
      <c r="D208" s="81"/>
      <c r="E208" s="81"/>
      <c r="F208" s="79">
        <f t="shared" si="3"/>
        <v>0</v>
      </c>
      <c r="G208" s="78"/>
    </row>
    <row r="209" spans="1:7" x14ac:dyDescent="0.2">
      <c r="A209" s="76"/>
      <c r="B209" s="77"/>
      <c r="C209" s="78"/>
      <c r="D209" s="81"/>
      <c r="E209" s="81"/>
      <c r="F209" s="79">
        <f t="shared" si="3"/>
        <v>0</v>
      </c>
      <c r="G209" s="78"/>
    </row>
    <row r="210" spans="1:7" x14ac:dyDescent="0.2">
      <c r="A210" s="76"/>
      <c r="B210" s="77"/>
      <c r="C210" s="78"/>
      <c r="D210" s="81"/>
      <c r="E210" s="81"/>
      <c r="F210" s="79">
        <f t="shared" si="3"/>
        <v>0</v>
      </c>
      <c r="G210" s="78"/>
    </row>
    <row r="211" spans="1:7" x14ac:dyDescent="0.2">
      <c r="A211" s="76"/>
      <c r="B211" s="77"/>
      <c r="C211" s="78"/>
      <c r="D211" s="81"/>
      <c r="E211" s="81"/>
      <c r="F211" s="79">
        <f t="shared" si="3"/>
        <v>0</v>
      </c>
      <c r="G211" s="78"/>
    </row>
    <row r="212" spans="1:7" x14ac:dyDescent="0.2">
      <c r="A212" s="76"/>
      <c r="B212" s="77"/>
      <c r="C212" s="78"/>
      <c r="D212" s="81"/>
      <c r="E212" s="81"/>
      <c r="F212" s="79">
        <f t="shared" si="3"/>
        <v>0</v>
      </c>
      <c r="G212" s="78"/>
    </row>
    <row r="213" spans="1:7" x14ac:dyDescent="0.2">
      <c r="A213" s="76"/>
      <c r="B213" s="77"/>
      <c r="C213" s="78"/>
      <c r="D213" s="81"/>
      <c r="E213" s="81"/>
      <c r="F213" s="79">
        <f t="shared" si="3"/>
        <v>0</v>
      </c>
      <c r="G213" s="78"/>
    </row>
    <row r="214" spans="1:7" x14ac:dyDescent="0.2">
      <c r="A214" s="76"/>
      <c r="B214" s="77"/>
      <c r="C214" s="78"/>
      <c r="D214" s="81"/>
      <c r="E214" s="81"/>
      <c r="F214" s="79">
        <f t="shared" si="3"/>
        <v>0</v>
      </c>
      <c r="G214" s="78"/>
    </row>
    <row r="215" spans="1:7" x14ac:dyDescent="0.2">
      <c r="A215" s="76"/>
      <c r="B215" s="77"/>
      <c r="C215" s="78"/>
      <c r="D215" s="81"/>
      <c r="E215" s="81"/>
      <c r="F215" s="79">
        <f t="shared" si="3"/>
        <v>0</v>
      </c>
      <c r="G215" s="78"/>
    </row>
    <row r="216" spans="1:7" x14ac:dyDescent="0.2">
      <c r="A216" s="76"/>
      <c r="B216" s="77"/>
      <c r="C216" s="78"/>
      <c r="D216" s="81"/>
      <c r="E216" s="81"/>
      <c r="F216" s="79">
        <f t="shared" si="3"/>
        <v>0</v>
      </c>
      <c r="G216" s="78"/>
    </row>
    <row r="217" spans="1:7" x14ac:dyDescent="0.2">
      <c r="A217" s="76"/>
      <c r="B217" s="77"/>
      <c r="C217" s="78"/>
      <c r="D217" s="81"/>
      <c r="E217" s="81"/>
      <c r="F217" s="79">
        <f t="shared" si="3"/>
        <v>0</v>
      </c>
      <c r="G217" s="78"/>
    </row>
    <row r="218" spans="1:7" x14ac:dyDescent="0.2">
      <c r="A218" s="76"/>
      <c r="B218" s="77"/>
      <c r="C218" s="78"/>
      <c r="D218" s="81"/>
      <c r="E218" s="81"/>
      <c r="F218" s="79">
        <f t="shared" si="3"/>
        <v>0</v>
      </c>
      <c r="G218" s="78"/>
    </row>
    <row r="219" spans="1:7" x14ac:dyDescent="0.2">
      <c r="A219" s="76"/>
      <c r="B219" s="77"/>
      <c r="C219" s="78"/>
      <c r="D219" s="81"/>
      <c r="E219" s="81"/>
      <c r="F219" s="79">
        <f t="shared" si="3"/>
        <v>0</v>
      </c>
      <c r="G219" s="78"/>
    </row>
    <row r="220" spans="1:7" x14ac:dyDescent="0.2">
      <c r="A220" s="76"/>
      <c r="B220" s="77"/>
      <c r="C220" s="78"/>
      <c r="D220" s="81"/>
      <c r="E220" s="81"/>
      <c r="F220" s="79">
        <f t="shared" si="3"/>
        <v>0</v>
      </c>
      <c r="G220" s="80"/>
    </row>
    <row r="221" spans="1:7" x14ac:dyDescent="0.2">
      <c r="A221" s="76"/>
      <c r="B221" s="77"/>
      <c r="C221" s="78"/>
      <c r="D221" s="81"/>
      <c r="E221" s="81"/>
      <c r="F221" s="79">
        <f t="shared" si="3"/>
        <v>0</v>
      </c>
      <c r="G221" s="78"/>
    </row>
    <row r="222" spans="1:7" x14ac:dyDescent="0.2">
      <c r="A222" s="76"/>
      <c r="B222" s="77"/>
      <c r="C222" s="78"/>
      <c r="D222" s="81"/>
      <c r="E222" s="81"/>
      <c r="F222" s="79">
        <f t="shared" si="3"/>
        <v>0</v>
      </c>
      <c r="G222" s="78"/>
    </row>
    <row r="223" spans="1:7" x14ac:dyDescent="0.2">
      <c r="A223" s="76"/>
      <c r="B223" s="77"/>
      <c r="C223" s="78"/>
      <c r="D223" s="81"/>
      <c r="E223" s="81"/>
      <c r="F223" s="79">
        <f t="shared" si="3"/>
        <v>0</v>
      </c>
      <c r="G223" s="78"/>
    </row>
    <row r="224" spans="1:7" x14ac:dyDescent="0.2">
      <c r="A224" s="76"/>
      <c r="B224" s="77"/>
      <c r="C224" s="78"/>
      <c r="D224" s="81"/>
      <c r="E224" s="81"/>
      <c r="F224" s="79">
        <f t="shared" si="3"/>
        <v>0</v>
      </c>
      <c r="G224" s="78"/>
    </row>
    <row r="225" spans="1:7" x14ac:dyDescent="0.2">
      <c r="A225" s="76"/>
      <c r="B225" s="77"/>
      <c r="C225" s="78"/>
      <c r="D225" s="81"/>
      <c r="E225" s="81"/>
      <c r="F225" s="79">
        <f t="shared" si="3"/>
        <v>0</v>
      </c>
      <c r="G225" s="80"/>
    </row>
    <row r="226" spans="1:7" x14ac:dyDescent="0.2">
      <c r="A226" s="76"/>
      <c r="B226" s="77"/>
      <c r="C226" s="78"/>
      <c r="D226" s="81"/>
      <c r="E226" s="81"/>
      <c r="F226" s="79">
        <f t="shared" si="3"/>
        <v>0</v>
      </c>
      <c r="G226" s="78"/>
    </row>
    <row r="227" spans="1:7" x14ac:dyDescent="0.2">
      <c r="A227" s="76"/>
      <c r="B227" s="77"/>
      <c r="C227" s="78"/>
      <c r="D227" s="81"/>
      <c r="E227" s="81"/>
      <c r="F227" s="79">
        <f t="shared" si="3"/>
        <v>0</v>
      </c>
      <c r="G227" s="78"/>
    </row>
    <row r="228" spans="1:7" x14ac:dyDescent="0.2">
      <c r="A228" s="76"/>
      <c r="B228" s="77"/>
      <c r="C228" s="78"/>
      <c r="D228" s="81"/>
      <c r="E228" s="81"/>
      <c r="F228" s="79">
        <f t="shared" si="3"/>
        <v>0</v>
      </c>
      <c r="G228" s="78"/>
    </row>
    <row r="229" spans="1:7" x14ac:dyDescent="0.2">
      <c r="A229" s="76"/>
      <c r="B229" s="77"/>
      <c r="C229" s="78"/>
      <c r="D229" s="81"/>
      <c r="E229" s="81"/>
      <c r="F229" s="79">
        <f t="shared" si="3"/>
        <v>0</v>
      </c>
      <c r="G229" s="78"/>
    </row>
    <row r="230" spans="1:7" x14ac:dyDescent="0.2">
      <c r="A230" s="76"/>
      <c r="B230" s="77"/>
      <c r="C230" s="78"/>
      <c r="D230" s="81"/>
      <c r="E230" s="81"/>
      <c r="F230" s="79">
        <f t="shared" si="3"/>
        <v>0</v>
      </c>
      <c r="G230" s="78"/>
    </row>
    <row r="231" spans="1:7" x14ac:dyDescent="0.2">
      <c r="A231" s="76"/>
      <c r="B231" s="77"/>
      <c r="C231" s="78"/>
      <c r="D231" s="81"/>
      <c r="E231" s="81"/>
      <c r="F231" s="79">
        <f t="shared" si="3"/>
        <v>0</v>
      </c>
      <c r="G231" s="78"/>
    </row>
    <row r="232" spans="1:7" x14ac:dyDescent="0.2">
      <c r="A232" s="76"/>
      <c r="B232" s="77"/>
      <c r="C232" s="78"/>
      <c r="D232" s="81"/>
      <c r="E232" s="81"/>
      <c r="F232" s="79">
        <f t="shared" si="3"/>
        <v>0</v>
      </c>
      <c r="G232" s="78"/>
    </row>
    <row r="233" spans="1:7" x14ac:dyDescent="0.2">
      <c r="A233" s="76"/>
      <c r="B233" s="77"/>
      <c r="C233" s="78"/>
      <c r="D233" s="81"/>
      <c r="E233" s="81"/>
      <c r="F233" s="79">
        <f t="shared" si="3"/>
        <v>0</v>
      </c>
      <c r="G233" s="78"/>
    </row>
    <row r="234" spans="1:7" x14ac:dyDescent="0.2">
      <c r="A234" s="76"/>
      <c r="B234" s="77"/>
      <c r="C234" s="78"/>
      <c r="D234" s="81"/>
      <c r="E234" s="81"/>
      <c r="F234" s="79">
        <f t="shared" si="3"/>
        <v>0</v>
      </c>
      <c r="G234" s="78"/>
    </row>
    <row r="235" spans="1:7" x14ac:dyDescent="0.2">
      <c r="A235" s="76"/>
      <c r="B235" s="77"/>
      <c r="C235" s="78"/>
      <c r="D235" s="81"/>
      <c r="E235" s="81"/>
      <c r="F235" s="79">
        <f t="shared" si="3"/>
        <v>0</v>
      </c>
      <c r="G235" s="78"/>
    </row>
    <row r="236" spans="1:7" x14ac:dyDescent="0.2">
      <c r="A236" s="76"/>
      <c r="B236" s="77"/>
      <c r="C236" s="78"/>
      <c r="D236" s="81"/>
      <c r="E236" s="81"/>
      <c r="F236" s="79">
        <f t="shared" si="3"/>
        <v>0</v>
      </c>
      <c r="G236" s="78"/>
    </row>
    <row r="237" spans="1:7" x14ac:dyDescent="0.2">
      <c r="A237" s="76"/>
      <c r="B237" s="77"/>
      <c r="C237" s="78"/>
      <c r="D237" s="81"/>
      <c r="E237" s="81"/>
      <c r="F237" s="79">
        <f t="shared" si="3"/>
        <v>0</v>
      </c>
      <c r="G237" s="78"/>
    </row>
    <row r="238" spans="1:7" x14ac:dyDescent="0.2">
      <c r="A238" s="76"/>
      <c r="B238" s="77"/>
      <c r="C238" s="78"/>
      <c r="D238" s="81"/>
      <c r="E238" s="81"/>
      <c r="F238" s="79">
        <f t="shared" si="3"/>
        <v>0</v>
      </c>
      <c r="G238" s="78"/>
    </row>
    <row r="239" spans="1:7" x14ac:dyDescent="0.2">
      <c r="A239" s="76"/>
      <c r="B239" s="77"/>
      <c r="C239" s="78"/>
      <c r="D239" s="81"/>
      <c r="E239" s="81"/>
      <c r="F239" s="79">
        <f t="shared" si="3"/>
        <v>0</v>
      </c>
      <c r="G239" s="78"/>
    </row>
    <row r="240" spans="1:7" x14ac:dyDescent="0.2">
      <c r="A240" s="76"/>
      <c r="B240" s="77"/>
      <c r="C240" s="78"/>
      <c r="D240" s="81"/>
      <c r="E240" s="81"/>
      <c r="F240" s="79">
        <f t="shared" si="3"/>
        <v>0</v>
      </c>
      <c r="G240" s="78"/>
    </row>
    <row r="241" spans="1:7" x14ac:dyDescent="0.2">
      <c r="A241" s="76"/>
      <c r="B241" s="77"/>
      <c r="C241" s="78"/>
      <c r="D241" s="81"/>
      <c r="E241" s="81"/>
      <c r="F241" s="79">
        <f t="shared" si="3"/>
        <v>0</v>
      </c>
      <c r="G241" s="78"/>
    </row>
    <row r="242" spans="1:7" x14ac:dyDescent="0.2">
      <c r="A242" s="76"/>
      <c r="B242" s="77"/>
      <c r="C242" s="78"/>
      <c r="D242" s="81"/>
      <c r="E242" s="81"/>
      <c r="F242" s="79">
        <f t="shared" si="3"/>
        <v>0</v>
      </c>
      <c r="G242" s="78"/>
    </row>
    <row r="243" spans="1:7" x14ac:dyDescent="0.2">
      <c r="A243" s="76"/>
      <c r="B243" s="77"/>
      <c r="C243" s="78"/>
      <c r="D243" s="81"/>
      <c r="E243" s="81"/>
      <c r="F243" s="79">
        <f t="shared" si="3"/>
        <v>0</v>
      </c>
      <c r="G243" s="78"/>
    </row>
    <row r="244" spans="1:7" x14ac:dyDescent="0.2">
      <c r="A244" s="76"/>
      <c r="B244" s="77"/>
      <c r="C244" s="78"/>
      <c r="D244" s="81"/>
      <c r="E244" s="81"/>
      <c r="F244" s="79">
        <f t="shared" si="3"/>
        <v>0</v>
      </c>
      <c r="G244" s="78"/>
    </row>
    <row r="245" spans="1:7" x14ac:dyDescent="0.2">
      <c r="A245" s="76"/>
      <c r="B245" s="77"/>
      <c r="C245" s="78"/>
      <c r="D245" s="81"/>
      <c r="E245" s="81"/>
      <c r="F245" s="79">
        <f t="shared" si="3"/>
        <v>0</v>
      </c>
      <c r="G245" s="78"/>
    </row>
    <row r="246" spans="1:7" x14ac:dyDescent="0.2">
      <c r="A246" s="76"/>
      <c r="B246" s="77"/>
      <c r="C246" s="78"/>
      <c r="D246" s="81"/>
      <c r="E246" s="81"/>
      <c r="F246" s="79">
        <f t="shared" si="3"/>
        <v>0</v>
      </c>
      <c r="G246" s="78"/>
    </row>
    <row r="247" spans="1:7" x14ac:dyDescent="0.2">
      <c r="A247" s="76"/>
      <c r="B247" s="77"/>
      <c r="C247" s="78"/>
      <c r="D247" s="81"/>
      <c r="E247" s="81"/>
      <c r="F247" s="79">
        <f t="shared" si="3"/>
        <v>0</v>
      </c>
      <c r="G247" s="78"/>
    </row>
    <row r="248" spans="1:7" x14ac:dyDescent="0.2">
      <c r="A248" s="76"/>
      <c r="B248" s="77"/>
      <c r="C248" s="78"/>
      <c r="D248" s="81"/>
      <c r="E248" s="81"/>
      <c r="F248" s="79">
        <f t="shared" si="3"/>
        <v>0</v>
      </c>
      <c r="G248" s="78"/>
    </row>
    <row r="249" spans="1:7" x14ac:dyDescent="0.2">
      <c r="A249" s="76"/>
      <c r="B249" s="77"/>
      <c r="C249" s="78"/>
      <c r="D249" s="81"/>
      <c r="E249" s="81"/>
      <c r="F249" s="79">
        <f t="shared" si="3"/>
        <v>0</v>
      </c>
      <c r="G249" s="80"/>
    </row>
    <row r="250" spans="1:7" x14ac:dyDescent="0.2">
      <c r="A250" s="76"/>
      <c r="B250" s="77"/>
      <c r="C250" s="78"/>
      <c r="D250" s="81"/>
      <c r="E250" s="81"/>
      <c r="F250" s="79">
        <f t="shared" si="3"/>
        <v>0</v>
      </c>
      <c r="G250" s="78"/>
    </row>
    <row r="251" spans="1:7" x14ac:dyDescent="0.2">
      <c r="A251" s="76"/>
      <c r="B251" s="77"/>
      <c r="C251" s="78"/>
      <c r="D251" s="81"/>
      <c r="E251" s="81"/>
      <c r="F251" s="79">
        <f t="shared" si="3"/>
        <v>0</v>
      </c>
      <c r="G251" s="78"/>
    </row>
    <row r="252" spans="1:7" x14ac:dyDescent="0.2">
      <c r="A252" s="76"/>
      <c r="B252" s="77"/>
      <c r="C252" s="78"/>
      <c r="D252" s="81"/>
      <c r="E252" s="81"/>
      <c r="F252" s="79">
        <f t="shared" si="3"/>
        <v>0</v>
      </c>
      <c r="G252" s="78"/>
    </row>
    <row r="253" spans="1:7" x14ac:dyDescent="0.2">
      <c r="A253" s="76"/>
      <c r="B253" s="77"/>
      <c r="C253" s="78"/>
      <c r="D253" s="81"/>
      <c r="E253" s="81"/>
      <c r="F253" s="79">
        <f t="shared" si="3"/>
        <v>0</v>
      </c>
      <c r="G253" s="78"/>
    </row>
    <row r="254" spans="1:7" x14ac:dyDescent="0.2">
      <c r="A254" s="76"/>
      <c r="B254" s="77"/>
      <c r="C254" s="78"/>
      <c r="D254" s="81"/>
      <c r="E254" s="81"/>
      <c r="F254" s="79">
        <f t="shared" si="3"/>
        <v>0</v>
      </c>
      <c r="G254" s="78"/>
    </row>
    <row r="255" spans="1:7" x14ac:dyDescent="0.2">
      <c r="A255" s="76"/>
      <c r="B255" s="77"/>
      <c r="C255" s="78"/>
      <c r="D255" s="81"/>
      <c r="E255" s="81"/>
      <c r="F255" s="79">
        <f t="shared" si="3"/>
        <v>0</v>
      </c>
      <c r="G255" s="77"/>
    </row>
    <row r="256" spans="1:7" x14ac:dyDescent="0.2">
      <c r="A256" s="76"/>
      <c r="B256" s="77"/>
      <c r="C256" s="78"/>
      <c r="D256" s="81"/>
      <c r="E256" s="81"/>
      <c r="F256" s="79">
        <f t="shared" si="3"/>
        <v>0</v>
      </c>
      <c r="G256" s="78"/>
    </row>
    <row r="257" spans="1:7" x14ac:dyDescent="0.2">
      <c r="A257" s="76"/>
      <c r="B257" s="77"/>
      <c r="C257" s="78"/>
      <c r="D257" s="81"/>
      <c r="E257" s="81"/>
      <c r="F257" s="79">
        <f t="shared" si="3"/>
        <v>0</v>
      </c>
      <c r="G257" s="78"/>
    </row>
    <row r="258" spans="1:7" x14ac:dyDescent="0.2">
      <c r="A258" s="76"/>
      <c r="B258" s="77"/>
      <c r="C258" s="78"/>
      <c r="D258" s="81"/>
      <c r="E258" s="81"/>
      <c r="F258" s="79">
        <f t="shared" si="3"/>
        <v>0</v>
      </c>
      <c r="G258" s="78"/>
    </row>
    <row r="259" spans="1:7" x14ac:dyDescent="0.2">
      <c r="A259" s="76"/>
      <c r="B259" s="77"/>
      <c r="C259" s="78"/>
      <c r="D259" s="81"/>
      <c r="E259" s="81"/>
      <c r="F259" s="79">
        <f t="shared" si="3"/>
        <v>0</v>
      </c>
      <c r="G259" s="78"/>
    </row>
    <row r="260" spans="1:7" x14ac:dyDescent="0.2">
      <c r="A260" s="76"/>
      <c r="B260" s="77"/>
      <c r="C260" s="78"/>
      <c r="D260" s="81"/>
      <c r="E260" s="81"/>
      <c r="F260" s="79">
        <f t="shared" si="3"/>
        <v>0</v>
      </c>
      <c r="G260" s="78"/>
    </row>
    <row r="261" spans="1:7" x14ac:dyDescent="0.2">
      <c r="A261" s="76"/>
      <c r="B261" s="77"/>
      <c r="C261" s="78"/>
      <c r="D261" s="81"/>
      <c r="E261" s="81"/>
      <c r="F261" s="79">
        <f t="shared" si="3"/>
        <v>0</v>
      </c>
      <c r="G261" s="78"/>
    </row>
    <row r="262" spans="1:7" x14ac:dyDescent="0.2">
      <c r="A262" s="76"/>
      <c r="B262" s="77"/>
      <c r="C262" s="78"/>
      <c r="D262" s="81"/>
      <c r="E262" s="81"/>
      <c r="F262" s="79">
        <f t="shared" si="3"/>
        <v>0</v>
      </c>
      <c r="G262" s="78"/>
    </row>
    <row r="263" spans="1:7" x14ac:dyDescent="0.2">
      <c r="A263" s="76"/>
      <c r="B263" s="77"/>
      <c r="C263" s="78"/>
      <c r="D263" s="81"/>
      <c r="E263" s="81"/>
      <c r="F263" s="79">
        <f t="shared" si="3"/>
        <v>0</v>
      </c>
      <c r="G263" s="78"/>
    </row>
    <row r="264" spans="1:7" x14ac:dyDescent="0.2">
      <c r="A264" s="76"/>
      <c r="B264" s="77"/>
      <c r="C264" s="78"/>
      <c r="D264" s="81"/>
      <c r="E264" s="81"/>
      <c r="F264" s="79">
        <f t="shared" si="3"/>
        <v>0</v>
      </c>
      <c r="G264" s="78"/>
    </row>
    <row r="265" spans="1:7" x14ac:dyDescent="0.2">
      <c r="A265" s="76"/>
      <c r="B265" s="77"/>
      <c r="C265" s="78"/>
      <c r="D265" s="81"/>
      <c r="E265" s="81"/>
      <c r="F265" s="79">
        <f t="shared" si="3"/>
        <v>0</v>
      </c>
      <c r="G265" s="78"/>
    </row>
    <row r="266" spans="1:7" x14ac:dyDescent="0.2">
      <c r="A266" s="76"/>
      <c r="B266" s="77"/>
      <c r="C266" s="78"/>
      <c r="D266" s="81"/>
      <c r="E266" s="81"/>
      <c r="F266" s="79">
        <f>E266-D266</f>
        <v>0</v>
      </c>
      <c r="G266" s="78"/>
    </row>
    <row r="267" spans="1:7" x14ac:dyDescent="0.2">
      <c r="A267" s="76"/>
      <c r="B267" s="77"/>
      <c r="C267" s="78"/>
      <c r="D267" s="81"/>
      <c r="E267" s="81"/>
      <c r="F267" s="79">
        <f t="shared" si="3"/>
        <v>0</v>
      </c>
      <c r="G267" s="78"/>
    </row>
    <row r="268" spans="1:7" x14ac:dyDescent="0.2">
      <c r="A268" s="76"/>
      <c r="B268" s="77"/>
      <c r="C268" s="78"/>
      <c r="D268" s="81"/>
      <c r="E268" s="81"/>
      <c r="F268" s="79">
        <f>E268-D268</f>
        <v>0</v>
      </c>
      <c r="G268" s="78"/>
    </row>
    <row r="269" spans="1:7" x14ac:dyDescent="0.2">
      <c r="A269" s="76"/>
      <c r="B269" s="77"/>
      <c r="C269" s="78"/>
      <c r="D269" s="81"/>
      <c r="E269" s="81"/>
      <c r="F269" s="79">
        <f>E269-D269</f>
        <v>0</v>
      </c>
      <c r="G269" s="78"/>
    </row>
    <row r="270" spans="1:7" x14ac:dyDescent="0.2">
      <c r="A270" s="76"/>
      <c r="B270" s="77"/>
      <c r="C270" s="78"/>
      <c r="D270" s="81"/>
      <c r="E270" s="81"/>
      <c r="F270" s="79">
        <f>E270-D270</f>
        <v>0</v>
      </c>
      <c r="G270" s="78"/>
    </row>
    <row r="271" spans="1:7" x14ac:dyDescent="0.2">
      <c r="A271" s="76"/>
      <c r="B271" s="77"/>
      <c r="C271" s="78"/>
      <c r="D271" s="81"/>
      <c r="E271" s="81"/>
      <c r="F271" s="79">
        <f t="shared" ref="F271:F333" si="4">E271-D271</f>
        <v>0</v>
      </c>
      <c r="G271" s="78"/>
    </row>
    <row r="272" spans="1:7" x14ac:dyDescent="0.2">
      <c r="A272" s="76"/>
      <c r="B272" s="77"/>
      <c r="C272" s="78"/>
      <c r="D272" s="81"/>
      <c r="E272" s="81"/>
      <c r="F272" s="79">
        <f t="shared" si="4"/>
        <v>0</v>
      </c>
      <c r="G272" s="78"/>
    </row>
    <row r="273" spans="1:7" x14ac:dyDescent="0.2">
      <c r="A273" s="76"/>
      <c r="B273" s="77"/>
      <c r="C273" s="78"/>
      <c r="D273" s="81"/>
      <c r="E273" s="81"/>
      <c r="F273" s="79">
        <f t="shared" si="4"/>
        <v>0</v>
      </c>
      <c r="G273" s="78"/>
    </row>
    <row r="274" spans="1:7" x14ac:dyDescent="0.2">
      <c r="A274" s="76"/>
      <c r="B274" s="77"/>
      <c r="C274" s="78"/>
      <c r="D274" s="81"/>
      <c r="E274" s="81"/>
      <c r="F274" s="79">
        <f t="shared" si="4"/>
        <v>0</v>
      </c>
      <c r="G274" s="78"/>
    </row>
    <row r="275" spans="1:7" x14ac:dyDescent="0.2">
      <c r="A275" s="76"/>
      <c r="B275" s="77"/>
      <c r="C275" s="78"/>
      <c r="D275" s="81"/>
      <c r="E275" s="81"/>
      <c r="F275" s="79">
        <f t="shared" si="4"/>
        <v>0</v>
      </c>
      <c r="G275" s="78"/>
    </row>
    <row r="276" spans="1:7" x14ac:dyDescent="0.2">
      <c r="A276" s="76"/>
      <c r="B276" s="77"/>
      <c r="C276" s="78"/>
      <c r="D276" s="81"/>
      <c r="E276" s="81"/>
      <c r="F276" s="79">
        <f t="shared" si="4"/>
        <v>0</v>
      </c>
      <c r="G276" s="78"/>
    </row>
    <row r="277" spans="1:7" x14ac:dyDescent="0.2">
      <c r="A277" s="76"/>
      <c r="B277" s="77"/>
      <c r="C277" s="78"/>
      <c r="D277" s="81"/>
      <c r="E277" s="81"/>
      <c r="F277" s="79">
        <f t="shared" si="4"/>
        <v>0</v>
      </c>
      <c r="G277" s="78"/>
    </row>
    <row r="278" spans="1:7" x14ac:dyDescent="0.2">
      <c r="A278" s="76"/>
      <c r="B278" s="77"/>
      <c r="C278" s="78"/>
      <c r="D278" s="81"/>
      <c r="E278" s="81"/>
      <c r="F278" s="79">
        <f t="shared" si="4"/>
        <v>0</v>
      </c>
      <c r="G278" s="78"/>
    </row>
    <row r="279" spans="1:7" x14ac:dyDescent="0.2">
      <c r="A279" s="76"/>
      <c r="B279" s="77"/>
      <c r="C279" s="78"/>
      <c r="D279" s="81"/>
      <c r="E279" s="81"/>
      <c r="F279" s="79">
        <f t="shared" si="4"/>
        <v>0</v>
      </c>
      <c r="G279" s="78"/>
    </row>
    <row r="280" spans="1:7" x14ac:dyDescent="0.2">
      <c r="A280" s="76"/>
      <c r="B280" s="77"/>
      <c r="C280" s="78"/>
      <c r="D280" s="81"/>
      <c r="E280" s="81"/>
      <c r="F280" s="79">
        <f t="shared" si="4"/>
        <v>0</v>
      </c>
      <c r="G280" s="78"/>
    </row>
    <row r="281" spans="1:7" x14ac:dyDescent="0.2">
      <c r="A281" s="76"/>
      <c r="B281" s="77"/>
      <c r="C281" s="78"/>
      <c r="D281" s="81"/>
      <c r="E281" s="81"/>
      <c r="F281" s="79">
        <f t="shared" si="4"/>
        <v>0</v>
      </c>
      <c r="G281" s="78"/>
    </row>
    <row r="282" spans="1:7" x14ac:dyDescent="0.2">
      <c r="A282" s="76"/>
      <c r="B282" s="77"/>
      <c r="C282" s="78"/>
      <c r="D282" s="81"/>
      <c r="E282" s="81"/>
      <c r="F282" s="79">
        <f t="shared" si="4"/>
        <v>0</v>
      </c>
      <c r="G282" s="78"/>
    </row>
    <row r="283" spans="1:7" x14ac:dyDescent="0.2">
      <c r="A283" s="76"/>
      <c r="B283" s="77"/>
      <c r="C283" s="78"/>
      <c r="D283" s="81"/>
      <c r="E283" s="81"/>
      <c r="F283" s="79">
        <f t="shared" si="4"/>
        <v>0</v>
      </c>
      <c r="G283" s="78"/>
    </row>
    <row r="284" spans="1:7" x14ac:dyDescent="0.2">
      <c r="A284" s="76"/>
      <c r="B284" s="77"/>
      <c r="C284" s="78"/>
      <c r="D284" s="81"/>
      <c r="E284" s="81"/>
      <c r="F284" s="79">
        <f t="shared" si="4"/>
        <v>0</v>
      </c>
      <c r="G284" s="78"/>
    </row>
    <row r="285" spans="1:7" x14ac:dyDescent="0.2">
      <c r="A285" s="76"/>
      <c r="B285" s="77"/>
      <c r="C285" s="78"/>
      <c r="D285" s="81"/>
      <c r="E285" s="81"/>
      <c r="F285" s="79">
        <f t="shared" si="4"/>
        <v>0</v>
      </c>
      <c r="G285" s="78"/>
    </row>
    <row r="286" spans="1:7" x14ac:dyDescent="0.2">
      <c r="A286" s="76"/>
      <c r="B286" s="77"/>
      <c r="C286" s="78"/>
      <c r="D286" s="81"/>
      <c r="E286" s="81"/>
      <c r="F286" s="79">
        <f t="shared" si="4"/>
        <v>0</v>
      </c>
      <c r="G286" s="78"/>
    </row>
    <row r="287" spans="1:7" x14ac:dyDescent="0.2">
      <c r="A287" s="76"/>
      <c r="B287" s="77"/>
      <c r="C287" s="78"/>
      <c r="D287" s="81"/>
      <c r="E287" s="81"/>
      <c r="F287" s="79">
        <f t="shared" si="4"/>
        <v>0</v>
      </c>
      <c r="G287" s="78"/>
    </row>
    <row r="288" spans="1:7" x14ac:dyDescent="0.2">
      <c r="A288" s="76"/>
      <c r="B288" s="77"/>
      <c r="C288" s="78"/>
      <c r="D288" s="81"/>
      <c r="E288" s="81"/>
      <c r="F288" s="79">
        <f t="shared" si="4"/>
        <v>0</v>
      </c>
      <c r="G288" s="78"/>
    </row>
    <row r="289" spans="1:7" x14ac:dyDescent="0.2">
      <c r="A289" s="76"/>
      <c r="B289" s="77"/>
      <c r="C289" s="78"/>
      <c r="D289" s="81"/>
      <c r="E289" s="81"/>
      <c r="F289" s="79">
        <f t="shared" si="4"/>
        <v>0</v>
      </c>
      <c r="G289" s="78"/>
    </row>
    <row r="290" spans="1:7" x14ac:dyDescent="0.2">
      <c r="A290" s="76"/>
      <c r="B290" s="77"/>
      <c r="C290" s="78"/>
      <c r="D290" s="81"/>
      <c r="E290" s="81"/>
      <c r="F290" s="79">
        <f t="shared" si="4"/>
        <v>0</v>
      </c>
      <c r="G290" s="78"/>
    </row>
    <row r="291" spans="1:7" x14ac:dyDescent="0.2">
      <c r="A291" s="76"/>
      <c r="B291" s="77"/>
      <c r="C291" s="78"/>
      <c r="D291" s="81"/>
      <c r="E291" s="81"/>
      <c r="F291" s="79">
        <f t="shared" si="4"/>
        <v>0</v>
      </c>
      <c r="G291" s="78"/>
    </row>
    <row r="292" spans="1:7" x14ac:dyDescent="0.2">
      <c r="A292" s="76"/>
      <c r="B292" s="77"/>
      <c r="C292" s="78"/>
      <c r="D292" s="81"/>
      <c r="E292" s="81"/>
      <c r="F292" s="79">
        <f t="shared" si="4"/>
        <v>0</v>
      </c>
      <c r="G292" s="78"/>
    </row>
    <row r="293" spans="1:7" x14ac:dyDescent="0.2">
      <c r="A293" s="76"/>
      <c r="B293" s="77"/>
      <c r="C293" s="78"/>
      <c r="D293" s="81"/>
      <c r="E293" s="81"/>
      <c r="F293" s="79">
        <f t="shared" si="4"/>
        <v>0</v>
      </c>
      <c r="G293" s="78"/>
    </row>
    <row r="294" spans="1:7" x14ac:dyDescent="0.2">
      <c r="A294" s="76"/>
      <c r="B294" s="77"/>
      <c r="C294" s="78"/>
      <c r="D294" s="81"/>
      <c r="E294" s="81"/>
      <c r="F294" s="79">
        <f t="shared" si="4"/>
        <v>0</v>
      </c>
      <c r="G294" s="80"/>
    </row>
    <row r="295" spans="1:7" x14ac:dyDescent="0.2">
      <c r="A295" s="76"/>
      <c r="B295" s="77"/>
      <c r="C295" s="78"/>
      <c r="D295" s="81"/>
      <c r="E295" s="81"/>
      <c r="F295" s="79">
        <f t="shared" si="4"/>
        <v>0</v>
      </c>
      <c r="G295" s="78"/>
    </row>
    <row r="296" spans="1:7" x14ac:dyDescent="0.2">
      <c r="A296" s="76"/>
      <c r="B296" s="77"/>
      <c r="C296" s="78"/>
      <c r="D296" s="81"/>
      <c r="E296" s="81"/>
      <c r="F296" s="79">
        <f t="shared" si="4"/>
        <v>0</v>
      </c>
      <c r="G296" s="78"/>
    </row>
    <row r="297" spans="1:7" x14ac:dyDescent="0.2">
      <c r="A297" s="76"/>
      <c r="B297" s="77"/>
      <c r="C297" s="78"/>
      <c r="D297" s="81"/>
      <c r="E297" s="81"/>
      <c r="F297" s="79">
        <f t="shared" si="4"/>
        <v>0</v>
      </c>
      <c r="G297" s="80" t="s">
        <v>72</v>
      </c>
    </row>
    <row r="298" spans="1:7" x14ac:dyDescent="0.2">
      <c r="A298" s="76"/>
      <c r="B298" s="77"/>
      <c r="C298" s="78"/>
      <c r="D298" s="81"/>
      <c r="E298" s="81"/>
      <c r="F298" s="79">
        <f t="shared" si="4"/>
        <v>0</v>
      </c>
      <c r="G298" s="78"/>
    </row>
    <row r="299" spans="1:7" x14ac:dyDescent="0.2">
      <c r="A299" s="76"/>
      <c r="B299" s="77"/>
      <c r="C299" s="78"/>
      <c r="D299" s="81"/>
      <c r="E299" s="81"/>
      <c r="F299" s="79">
        <f t="shared" si="4"/>
        <v>0</v>
      </c>
      <c r="G299" s="80" t="s">
        <v>71</v>
      </c>
    </row>
    <row r="300" spans="1:7" x14ac:dyDescent="0.2">
      <c r="A300" s="76"/>
      <c r="B300" s="77"/>
      <c r="C300" s="78"/>
      <c r="D300" s="81"/>
      <c r="E300" s="81"/>
      <c r="F300" s="79">
        <f t="shared" si="4"/>
        <v>0</v>
      </c>
      <c r="G300" s="78"/>
    </row>
    <row r="301" spans="1:7" x14ac:dyDescent="0.2">
      <c r="A301" s="76"/>
      <c r="B301" s="77"/>
      <c r="C301" s="78"/>
      <c r="D301" s="81"/>
      <c r="E301" s="81"/>
      <c r="F301" s="79">
        <f t="shared" si="4"/>
        <v>0</v>
      </c>
      <c r="G301" s="78"/>
    </row>
    <row r="302" spans="1:7" x14ac:dyDescent="0.2">
      <c r="A302" s="76"/>
      <c r="B302" s="77"/>
      <c r="C302" s="78"/>
      <c r="D302" s="81"/>
      <c r="E302" s="81"/>
      <c r="F302" s="79">
        <f t="shared" si="4"/>
        <v>0</v>
      </c>
      <c r="G302" s="78"/>
    </row>
    <row r="303" spans="1:7" x14ac:dyDescent="0.2">
      <c r="A303" s="76"/>
      <c r="B303" s="77"/>
      <c r="C303" s="78"/>
      <c r="D303" s="81"/>
      <c r="E303" s="81"/>
      <c r="F303" s="79">
        <f t="shared" si="4"/>
        <v>0</v>
      </c>
      <c r="G303" s="78"/>
    </row>
    <row r="304" spans="1:7" x14ac:dyDescent="0.2">
      <c r="A304" s="76"/>
      <c r="B304" s="77"/>
      <c r="C304" s="78"/>
      <c r="D304" s="81"/>
      <c r="E304" s="81"/>
      <c r="F304" s="79">
        <f t="shared" si="4"/>
        <v>0</v>
      </c>
      <c r="G304" s="78"/>
    </row>
    <row r="305" spans="1:7" x14ac:dyDescent="0.2">
      <c r="A305" s="76"/>
      <c r="B305" s="77"/>
      <c r="C305" s="78"/>
      <c r="D305" s="81"/>
      <c r="E305" s="81"/>
      <c r="F305" s="79">
        <f t="shared" si="4"/>
        <v>0</v>
      </c>
      <c r="G305" s="78"/>
    </row>
    <row r="306" spans="1:7" x14ac:dyDescent="0.2">
      <c r="A306" s="76"/>
      <c r="B306" s="77"/>
      <c r="C306" s="78"/>
      <c r="D306" s="81"/>
      <c r="E306" s="81"/>
      <c r="F306" s="79">
        <f t="shared" si="4"/>
        <v>0</v>
      </c>
      <c r="G306" s="78"/>
    </row>
    <row r="307" spans="1:7" x14ac:dyDescent="0.2">
      <c r="A307" s="76"/>
      <c r="B307" s="77"/>
      <c r="C307" s="78"/>
      <c r="D307" s="81"/>
      <c r="E307" s="81"/>
      <c r="F307" s="79">
        <f t="shared" si="4"/>
        <v>0</v>
      </c>
      <c r="G307" s="78"/>
    </row>
    <row r="308" spans="1:7" x14ac:dyDescent="0.2">
      <c r="A308" s="76"/>
      <c r="B308" s="77"/>
      <c r="C308" s="78"/>
      <c r="D308" s="81"/>
      <c r="E308" s="81"/>
      <c r="F308" s="79">
        <f t="shared" si="4"/>
        <v>0</v>
      </c>
      <c r="G308" s="78"/>
    </row>
    <row r="309" spans="1:7" x14ac:dyDescent="0.2">
      <c r="A309" s="76"/>
      <c r="B309" s="77"/>
      <c r="C309" s="78"/>
      <c r="D309" s="81"/>
      <c r="E309" s="81"/>
      <c r="F309" s="79">
        <f t="shared" si="4"/>
        <v>0</v>
      </c>
      <c r="G309" s="78"/>
    </row>
    <row r="310" spans="1:7" x14ac:dyDescent="0.2">
      <c r="A310" s="76"/>
      <c r="B310" s="77"/>
      <c r="C310" s="78"/>
      <c r="D310" s="81"/>
      <c r="E310" s="81"/>
      <c r="F310" s="79">
        <f t="shared" si="4"/>
        <v>0</v>
      </c>
      <c r="G310" s="78"/>
    </row>
    <row r="311" spans="1:7" x14ac:dyDescent="0.2">
      <c r="A311" s="76"/>
      <c r="B311" s="77"/>
      <c r="C311" s="78"/>
      <c r="D311" s="81"/>
      <c r="E311" s="81"/>
      <c r="F311" s="79">
        <f t="shared" si="4"/>
        <v>0</v>
      </c>
      <c r="G311" s="78"/>
    </row>
    <row r="312" spans="1:7" x14ac:dyDescent="0.2">
      <c r="A312" s="76"/>
      <c r="B312" s="77"/>
      <c r="C312" s="78"/>
      <c r="D312" s="81"/>
      <c r="E312" s="81"/>
      <c r="F312" s="79">
        <f t="shared" si="4"/>
        <v>0</v>
      </c>
      <c r="G312" s="78"/>
    </row>
    <row r="313" spans="1:7" x14ac:dyDescent="0.2">
      <c r="A313" s="76"/>
      <c r="B313" s="77"/>
      <c r="C313" s="78"/>
      <c r="D313" s="81"/>
      <c r="E313" s="81"/>
      <c r="F313" s="79">
        <f t="shared" si="4"/>
        <v>0</v>
      </c>
      <c r="G313" s="78"/>
    </row>
    <row r="314" spans="1:7" x14ac:dyDescent="0.2">
      <c r="A314" s="76"/>
      <c r="B314" s="77"/>
      <c r="C314" s="78"/>
      <c r="D314" s="81"/>
      <c r="E314" s="81"/>
      <c r="F314" s="79">
        <f t="shared" si="4"/>
        <v>0</v>
      </c>
      <c r="G314" s="78"/>
    </row>
    <row r="315" spans="1:7" x14ac:dyDescent="0.2">
      <c r="A315" s="76"/>
      <c r="B315" s="77"/>
      <c r="C315" s="78"/>
      <c r="D315" s="81"/>
      <c r="E315" s="81"/>
      <c r="F315" s="79">
        <f t="shared" si="4"/>
        <v>0</v>
      </c>
      <c r="G315" s="78"/>
    </row>
    <row r="316" spans="1:7" x14ac:dyDescent="0.2">
      <c r="A316" s="76"/>
      <c r="B316" s="77"/>
      <c r="C316" s="78"/>
      <c r="D316" s="81"/>
      <c r="E316" s="81"/>
      <c r="F316" s="79">
        <f t="shared" si="4"/>
        <v>0</v>
      </c>
      <c r="G316" s="78"/>
    </row>
    <row r="317" spans="1:7" x14ac:dyDescent="0.2">
      <c r="A317" s="76"/>
      <c r="B317" s="77"/>
      <c r="C317" s="78"/>
      <c r="D317" s="81"/>
      <c r="E317" s="81"/>
      <c r="F317" s="79">
        <f t="shared" si="4"/>
        <v>0</v>
      </c>
      <c r="G317" s="78"/>
    </row>
    <row r="318" spans="1:7" x14ac:dyDescent="0.2">
      <c r="A318" s="76"/>
      <c r="B318" s="77"/>
      <c r="C318" s="78"/>
      <c r="D318" s="81"/>
      <c r="E318" s="81"/>
      <c r="F318" s="79">
        <f t="shared" si="4"/>
        <v>0</v>
      </c>
      <c r="G318" s="78"/>
    </row>
    <row r="319" spans="1:7" x14ac:dyDescent="0.2">
      <c r="A319" s="76"/>
      <c r="B319" s="77"/>
      <c r="C319" s="78"/>
      <c r="D319" s="81"/>
      <c r="E319" s="81"/>
      <c r="F319" s="79">
        <f t="shared" si="4"/>
        <v>0</v>
      </c>
      <c r="G319" s="78"/>
    </row>
    <row r="320" spans="1:7" x14ac:dyDescent="0.2">
      <c r="A320" s="76"/>
      <c r="B320" s="77"/>
      <c r="C320" s="78"/>
      <c r="D320" s="81"/>
      <c r="E320" s="81"/>
      <c r="F320" s="79">
        <f t="shared" si="4"/>
        <v>0</v>
      </c>
      <c r="G320" s="80"/>
    </row>
    <row r="321" spans="1:7" x14ac:dyDescent="0.2">
      <c r="A321" s="76"/>
      <c r="B321" s="77"/>
      <c r="C321" s="78"/>
      <c r="D321" s="81"/>
      <c r="E321" s="81"/>
      <c r="F321" s="79">
        <f t="shared" si="4"/>
        <v>0</v>
      </c>
      <c r="G321" s="78"/>
    </row>
    <row r="322" spans="1:7" x14ac:dyDescent="0.2">
      <c r="A322" s="76"/>
      <c r="B322" s="77"/>
      <c r="C322" s="78"/>
      <c r="D322" s="81"/>
      <c r="E322" s="81"/>
      <c r="F322" s="79">
        <f t="shared" si="4"/>
        <v>0</v>
      </c>
      <c r="G322" s="78"/>
    </row>
    <row r="323" spans="1:7" x14ac:dyDescent="0.2">
      <c r="A323" s="76"/>
      <c r="B323" s="77"/>
      <c r="C323" s="78"/>
      <c r="D323" s="81"/>
      <c r="E323" s="81"/>
      <c r="F323" s="79">
        <f t="shared" si="4"/>
        <v>0</v>
      </c>
      <c r="G323" s="78"/>
    </row>
    <row r="324" spans="1:7" x14ac:dyDescent="0.2">
      <c r="A324" s="76"/>
      <c r="B324" s="77"/>
      <c r="C324" s="78"/>
      <c r="D324" s="81"/>
      <c r="E324" s="81"/>
      <c r="F324" s="79">
        <f t="shared" si="4"/>
        <v>0</v>
      </c>
      <c r="G324" s="78"/>
    </row>
    <row r="325" spans="1:7" x14ac:dyDescent="0.2">
      <c r="A325" s="76"/>
      <c r="B325" s="77"/>
      <c r="C325" s="78"/>
      <c r="D325" s="81"/>
      <c r="E325" s="81"/>
      <c r="F325" s="79">
        <f t="shared" si="4"/>
        <v>0</v>
      </c>
      <c r="G325" s="78"/>
    </row>
    <row r="326" spans="1:7" x14ac:dyDescent="0.2">
      <c r="A326" s="76"/>
      <c r="B326" s="77"/>
      <c r="C326" s="78"/>
      <c r="D326" s="81"/>
      <c r="E326" s="81"/>
      <c r="F326" s="79">
        <f t="shared" si="4"/>
        <v>0</v>
      </c>
      <c r="G326" s="78"/>
    </row>
    <row r="327" spans="1:7" x14ac:dyDescent="0.2">
      <c r="A327" s="76"/>
      <c r="B327" s="77"/>
      <c r="C327" s="78"/>
      <c r="D327" s="81"/>
      <c r="E327" s="81"/>
      <c r="F327" s="79">
        <f t="shared" si="4"/>
        <v>0</v>
      </c>
      <c r="G327" s="78"/>
    </row>
    <row r="328" spans="1:7" x14ac:dyDescent="0.2">
      <c r="A328" s="76"/>
      <c r="B328" s="77"/>
      <c r="C328" s="78"/>
      <c r="D328" s="81"/>
      <c r="E328" s="81"/>
      <c r="F328" s="79">
        <f t="shared" si="4"/>
        <v>0</v>
      </c>
      <c r="G328" s="80"/>
    </row>
    <row r="329" spans="1:7" x14ac:dyDescent="0.2">
      <c r="A329" s="76"/>
      <c r="B329" s="77"/>
      <c r="C329" s="78"/>
      <c r="D329" s="81"/>
      <c r="E329" s="81"/>
      <c r="F329" s="79">
        <f t="shared" si="4"/>
        <v>0</v>
      </c>
      <c r="G329" s="78"/>
    </row>
    <row r="330" spans="1:7" x14ac:dyDescent="0.2">
      <c r="A330" s="76"/>
      <c r="B330" s="77"/>
      <c r="C330" s="78"/>
      <c r="D330" s="81"/>
      <c r="E330" s="81"/>
      <c r="F330" s="79">
        <f t="shared" si="4"/>
        <v>0</v>
      </c>
      <c r="G330" s="78"/>
    </row>
    <row r="331" spans="1:7" x14ac:dyDescent="0.2">
      <c r="A331" s="76"/>
      <c r="B331" s="77"/>
      <c r="C331" s="78"/>
      <c r="D331" s="81"/>
      <c r="E331" s="81"/>
      <c r="F331" s="79">
        <f t="shared" si="4"/>
        <v>0</v>
      </c>
      <c r="G331" s="80" t="s">
        <v>73</v>
      </c>
    </row>
    <row r="332" spans="1:7" x14ac:dyDescent="0.2">
      <c r="A332" s="76"/>
      <c r="B332" s="77"/>
      <c r="C332" s="78"/>
      <c r="D332" s="81"/>
      <c r="E332" s="81"/>
      <c r="F332" s="79">
        <f t="shared" si="4"/>
        <v>0</v>
      </c>
      <c r="G332" s="78"/>
    </row>
    <row r="333" spans="1:7" x14ac:dyDescent="0.2">
      <c r="A333" s="76"/>
      <c r="B333" s="77"/>
      <c r="C333" s="78"/>
      <c r="D333" s="81"/>
      <c r="E333" s="81"/>
      <c r="F333" s="79">
        <f t="shared" si="4"/>
        <v>0</v>
      </c>
      <c r="G333" s="80"/>
    </row>
    <row r="334" spans="1:7" x14ac:dyDescent="0.2">
      <c r="A334" s="76"/>
      <c r="B334" s="77"/>
      <c r="C334" s="78"/>
      <c r="D334" s="81"/>
      <c r="E334" s="81"/>
      <c r="F334" s="79">
        <f t="shared" ref="F334:F396" si="5">E334-D334</f>
        <v>0</v>
      </c>
      <c r="G334" s="78"/>
    </row>
    <row r="335" spans="1:7" x14ac:dyDescent="0.2">
      <c r="A335" s="76"/>
      <c r="B335" s="77"/>
      <c r="C335" s="78"/>
      <c r="D335" s="81"/>
      <c r="E335" s="81"/>
      <c r="F335" s="79">
        <f t="shared" si="5"/>
        <v>0</v>
      </c>
      <c r="G335" s="78"/>
    </row>
    <row r="336" spans="1:7" x14ac:dyDescent="0.2">
      <c r="A336" s="76"/>
      <c r="B336" s="77"/>
      <c r="C336" s="78"/>
      <c r="D336" s="81"/>
      <c r="E336" s="81"/>
      <c r="F336" s="79">
        <f t="shared" si="5"/>
        <v>0</v>
      </c>
      <c r="G336" s="80"/>
    </row>
    <row r="337" spans="1:7" x14ac:dyDescent="0.2">
      <c r="A337" s="76"/>
      <c r="B337" s="77"/>
      <c r="C337" s="78"/>
      <c r="D337" s="81"/>
      <c r="E337" s="81"/>
      <c r="F337" s="79">
        <f t="shared" si="5"/>
        <v>0</v>
      </c>
      <c r="G337" s="78"/>
    </row>
    <row r="338" spans="1:7" x14ac:dyDescent="0.2">
      <c r="A338" s="76"/>
      <c r="B338" s="77"/>
      <c r="C338" s="78"/>
      <c r="D338" s="81"/>
      <c r="E338" s="81"/>
      <c r="F338" s="79">
        <f t="shared" si="5"/>
        <v>0</v>
      </c>
      <c r="G338" s="78"/>
    </row>
    <row r="339" spans="1:7" x14ac:dyDescent="0.2">
      <c r="A339" s="76"/>
      <c r="B339" s="77"/>
      <c r="C339" s="78"/>
      <c r="D339" s="81"/>
      <c r="E339" s="81"/>
      <c r="F339" s="79">
        <f t="shared" si="5"/>
        <v>0</v>
      </c>
      <c r="G339" s="78"/>
    </row>
    <row r="340" spans="1:7" x14ac:dyDescent="0.2">
      <c r="A340" s="76"/>
      <c r="B340" s="77"/>
      <c r="C340" s="78"/>
      <c r="D340" s="81"/>
      <c r="E340" s="81"/>
      <c r="F340" s="79">
        <f t="shared" si="5"/>
        <v>0</v>
      </c>
      <c r="G340" s="78"/>
    </row>
    <row r="341" spans="1:7" x14ac:dyDescent="0.2">
      <c r="A341" s="76"/>
      <c r="B341" s="77"/>
      <c r="C341" s="78"/>
      <c r="D341" s="81"/>
      <c r="E341" s="81"/>
      <c r="F341" s="79">
        <f t="shared" si="5"/>
        <v>0</v>
      </c>
      <c r="G341" s="78"/>
    </row>
    <row r="342" spans="1:7" x14ac:dyDescent="0.2">
      <c r="A342" s="76"/>
      <c r="B342" s="77"/>
      <c r="C342" s="78"/>
      <c r="D342" s="81"/>
      <c r="E342" s="81"/>
      <c r="F342" s="79">
        <f t="shared" si="5"/>
        <v>0</v>
      </c>
      <c r="G342" s="78"/>
    </row>
    <row r="343" spans="1:7" x14ac:dyDescent="0.2">
      <c r="A343" s="76"/>
      <c r="B343" s="77"/>
      <c r="C343" s="78"/>
      <c r="D343" s="81"/>
      <c r="E343" s="81"/>
      <c r="F343" s="79">
        <f t="shared" si="5"/>
        <v>0</v>
      </c>
      <c r="G343" s="80" t="s">
        <v>74</v>
      </c>
    </row>
    <row r="344" spans="1:7" x14ac:dyDescent="0.2">
      <c r="A344" s="76"/>
      <c r="B344" s="77"/>
      <c r="C344" s="78"/>
      <c r="D344" s="81"/>
      <c r="E344" s="81"/>
      <c r="F344" s="79">
        <f>E344-D344</f>
        <v>0</v>
      </c>
      <c r="G344" s="80" t="s">
        <v>75</v>
      </c>
    </row>
    <row r="345" spans="1:7" x14ac:dyDescent="0.2">
      <c r="A345" s="76"/>
      <c r="B345" s="77"/>
      <c r="C345" s="78"/>
      <c r="D345" s="81"/>
      <c r="E345" s="81"/>
      <c r="F345" s="79">
        <f t="shared" si="5"/>
        <v>0</v>
      </c>
      <c r="G345" s="78"/>
    </row>
    <row r="346" spans="1:7" x14ac:dyDescent="0.2">
      <c r="A346" s="76"/>
      <c r="B346" s="77"/>
      <c r="C346" s="78"/>
      <c r="D346" s="81"/>
      <c r="E346" s="81"/>
      <c r="F346" s="79">
        <f t="shared" si="5"/>
        <v>0</v>
      </c>
      <c r="G346" s="78"/>
    </row>
    <row r="347" spans="1:7" x14ac:dyDescent="0.2">
      <c r="A347" s="76"/>
      <c r="B347" s="77"/>
      <c r="C347" s="78"/>
      <c r="D347" s="81"/>
      <c r="E347" s="81"/>
      <c r="F347" s="79">
        <f t="shared" si="5"/>
        <v>0</v>
      </c>
      <c r="G347" s="80"/>
    </row>
    <row r="348" spans="1:7" x14ac:dyDescent="0.2">
      <c r="A348" s="76"/>
      <c r="B348" s="77"/>
      <c r="C348" s="78"/>
      <c r="D348" s="81"/>
      <c r="E348" s="81"/>
      <c r="F348" s="79">
        <f t="shared" si="5"/>
        <v>0</v>
      </c>
      <c r="G348" s="80"/>
    </row>
    <row r="349" spans="1:7" x14ac:dyDescent="0.2">
      <c r="A349" s="76"/>
      <c r="B349" s="77"/>
      <c r="C349" s="78"/>
      <c r="D349" s="81"/>
      <c r="E349" s="81"/>
      <c r="F349" s="79">
        <f t="shared" si="5"/>
        <v>0</v>
      </c>
      <c r="G349" s="80"/>
    </row>
    <row r="350" spans="1:7" x14ac:dyDescent="0.2">
      <c r="A350" s="76"/>
      <c r="B350" s="77"/>
      <c r="C350" s="78"/>
      <c r="D350" s="81"/>
      <c r="E350" s="81"/>
      <c r="F350" s="79">
        <f t="shared" si="5"/>
        <v>0</v>
      </c>
      <c r="G350" s="80"/>
    </row>
    <row r="351" spans="1:7" x14ac:dyDescent="0.2">
      <c r="A351" s="76"/>
      <c r="B351" s="77"/>
      <c r="C351" s="78"/>
      <c r="D351" s="81"/>
      <c r="E351" s="81"/>
      <c r="F351" s="79">
        <f t="shared" si="5"/>
        <v>0</v>
      </c>
      <c r="G351" s="78"/>
    </row>
    <row r="352" spans="1:7" x14ac:dyDescent="0.2">
      <c r="A352" s="76"/>
      <c r="B352" s="77"/>
      <c r="C352" s="78"/>
      <c r="D352" s="81"/>
      <c r="E352" s="81"/>
      <c r="F352" s="79">
        <f t="shared" si="5"/>
        <v>0</v>
      </c>
      <c r="G352" s="78"/>
    </row>
    <row r="353" spans="1:7" x14ac:dyDescent="0.2">
      <c r="A353" s="76"/>
      <c r="B353" s="77"/>
      <c r="C353" s="78"/>
      <c r="D353" s="81"/>
      <c r="E353" s="81"/>
      <c r="F353" s="79">
        <f t="shared" si="5"/>
        <v>0</v>
      </c>
      <c r="G353" s="78"/>
    </row>
    <row r="354" spans="1:7" x14ac:dyDescent="0.2">
      <c r="A354" s="76"/>
      <c r="B354" s="77"/>
      <c r="C354" s="78"/>
      <c r="D354" s="81"/>
      <c r="E354" s="81"/>
      <c r="F354" s="79">
        <f t="shared" si="5"/>
        <v>0</v>
      </c>
      <c r="G354" s="78"/>
    </row>
    <row r="355" spans="1:7" x14ac:dyDescent="0.2">
      <c r="A355" s="76"/>
      <c r="B355" s="77"/>
      <c r="C355" s="78"/>
      <c r="D355" s="81"/>
      <c r="E355" s="81"/>
      <c r="F355" s="79">
        <f t="shared" si="5"/>
        <v>0</v>
      </c>
      <c r="G355" s="78"/>
    </row>
    <row r="356" spans="1:7" x14ac:dyDescent="0.2">
      <c r="A356" s="76"/>
      <c r="B356" s="77"/>
      <c r="C356" s="78"/>
      <c r="D356" s="81"/>
      <c r="E356" s="81"/>
      <c r="F356" s="79">
        <f t="shared" si="5"/>
        <v>0</v>
      </c>
      <c r="G356" s="78"/>
    </row>
    <row r="357" spans="1:7" x14ac:dyDescent="0.2">
      <c r="A357" s="76"/>
      <c r="B357" s="77"/>
      <c r="C357" s="78"/>
      <c r="D357" s="81"/>
      <c r="E357" s="81"/>
      <c r="F357" s="79">
        <f t="shared" si="5"/>
        <v>0</v>
      </c>
      <c r="G357" s="78"/>
    </row>
    <row r="358" spans="1:7" x14ac:dyDescent="0.2">
      <c r="A358" s="76"/>
      <c r="B358" s="77"/>
      <c r="C358" s="78"/>
      <c r="D358" s="81"/>
      <c r="E358" s="81"/>
      <c r="F358" s="79">
        <f>E358-D358</f>
        <v>0</v>
      </c>
      <c r="G358" s="78"/>
    </row>
    <row r="359" spans="1:7" x14ac:dyDescent="0.2">
      <c r="A359" s="76"/>
      <c r="B359" s="77"/>
      <c r="C359" s="78"/>
      <c r="D359" s="81"/>
      <c r="E359" s="81"/>
      <c r="F359" s="79">
        <f t="shared" si="5"/>
        <v>0</v>
      </c>
      <c r="G359" s="80"/>
    </row>
    <row r="360" spans="1:7" x14ac:dyDescent="0.2">
      <c r="A360" s="76"/>
      <c r="B360" s="77"/>
      <c r="C360" s="78"/>
      <c r="D360" s="81"/>
      <c r="E360" s="81"/>
      <c r="F360" s="79">
        <f t="shared" si="5"/>
        <v>0</v>
      </c>
      <c r="G360" s="78"/>
    </row>
    <row r="361" spans="1:7" x14ac:dyDescent="0.2">
      <c r="A361" s="76"/>
      <c r="B361" s="77"/>
      <c r="C361" s="78"/>
      <c r="D361" s="81"/>
      <c r="E361" s="81"/>
      <c r="F361" s="79">
        <f t="shared" si="5"/>
        <v>0</v>
      </c>
      <c r="G361" s="78"/>
    </row>
    <row r="362" spans="1:7" x14ac:dyDescent="0.2">
      <c r="A362" s="76"/>
      <c r="B362" s="77"/>
      <c r="C362" s="78"/>
      <c r="D362" s="81"/>
      <c r="E362" s="81"/>
      <c r="F362" s="79">
        <f t="shared" si="5"/>
        <v>0</v>
      </c>
      <c r="G362" s="78"/>
    </row>
    <row r="363" spans="1:7" x14ac:dyDescent="0.2">
      <c r="A363" s="76"/>
      <c r="B363" s="77"/>
      <c r="C363" s="78"/>
      <c r="D363" s="81"/>
      <c r="E363" s="81"/>
      <c r="F363" s="79">
        <f t="shared" si="5"/>
        <v>0</v>
      </c>
      <c r="G363" s="78"/>
    </row>
    <row r="364" spans="1:7" x14ac:dyDescent="0.2">
      <c r="A364" s="76"/>
      <c r="B364" s="77"/>
      <c r="C364" s="78"/>
      <c r="D364" s="81"/>
      <c r="E364" s="81"/>
      <c r="F364" s="79">
        <f t="shared" si="5"/>
        <v>0</v>
      </c>
      <c r="G364" s="78"/>
    </row>
    <row r="365" spans="1:7" x14ac:dyDescent="0.2">
      <c r="A365" s="76"/>
      <c r="B365" s="77"/>
      <c r="C365" s="78"/>
      <c r="D365" s="81"/>
      <c r="E365" s="81"/>
      <c r="F365" s="79">
        <f t="shared" si="5"/>
        <v>0</v>
      </c>
      <c r="G365" s="78"/>
    </row>
    <row r="366" spans="1:7" x14ac:dyDescent="0.2">
      <c r="A366" s="76"/>
      <c r="B366" s="77"/>
      <c r="C366" s="78"/>
      <c r="D366" s="81"/>
      <c r="E366" s="81"/>
      <c r="F366" s="79">
        <f t="shared" si="5"/>
        <v>0</v>
      </c>
      <c r="G366" s="78"/>
    </row>
    <row r="367" spans="1:7" x14ac:dyDescent="0.2">
      <c r="A367" s="76"/>
      <c r="B367" s="77"/>
      <c r="C367" s="78"/>
      <c r="D367" s="81"/>
      <c r="E367" s="81"/>
      <c r="F367" s="79">
        <f t="shared" si="5"/>
        <v>0</v>
      </c>
      <c r="G367" s="78"/>
    </row>
    <row r="368" spans="1:7" x14ac:dyDescent="0.2">
      <c r="A368" s="76"/>
      <c r="B368" s="77"/>
      <c r="C368" s="78"/>
      <c r="D368" s="81"/>
      <c r="E368" s="81"/>
      <c r="F368" s="79">
        <f t="shared" si="5"/>
        <v>0</v>
      </c>
      <c r="G368" s="78"/>
    </row>
    <row r="369" spans="1:7" x14ac:dyDescent="0.2">
      <c r="A369" s="76"/>
      <c r="B369" s="77"/>
      <c r="C369" s="78"/>
      <c r="D369" s="81"/>
      <c r="E369" s="81"/>
      <c r="F369" s="79">
        <f t="shared" si="5"/>
        <v>0</v>
      </c>
      <c r="G369" s="78"/>
    </row>
    <row r="370" spans="1:7" x14ac:dyDescent="0.2">
      <c r="A370" s="76"/>
      <c r="B370" s="77"/>
      <c r="C370" s="78"/>
      <c r="D370" s="81"/>
      <c r="E370" s="81"/>
      <c r="F370" s="79">
        <f t="shared" si="5"/>
        <v>0</v>
      </c>
      <c r="G370" s="78"/>
    </row>
    <row r="371" spans="1:7" x14ac:dyDescent="0.2">
      <c r="A371" s="76"/>
      <c r="B371" s="77"/>
      <c r="C371" s="78"/>
      <c r="D371" s="81"/>
      <c r="E371" s="81"/>
      <c r="F371" s="79">
        <f t="shared" si="5"/>
        <v>0</v>
      </c>
      <c r="G371" s="78"/>
    </row>
    <row r="372" spans="1:7" x14ac:dyDescent="0.2">
      <c r="A372" s="76"/>
      <c r="B372" s="77"/>
      <c r="C372" s="78"/>
      <c r="D372" s="81"/>
      <c r="E372" s="81"/>
      <c r="F372" s="79">
        <f t="shared" si="5"/>
        <v>0</v>
      </c>
      <c r="G372" s="78"/>
    </row>
    <row r="373" spans="1:7" x14ac:dyDescent="0.2">
      <c r="A373" s="76"/>
      <c r="B373" s="77"/>
      <c r="C373" s="78"/>
      <c r="D373" s="81"/>
      <c r="E373" s="81"/>
      <c r="F373" s="79">
        <f t="shared" si="5"/>
        <v>0</v>
      </c>
      <c r="G373" s="78"/>
    </row>
    <row r="374" spans="1:7" x14ac:dyDescent="0.2">
      <c r="A374" s="76"/>
      <c r="B374" s="77"/>
      <c r="C374" s="78"/>
      <c r="D374" s="81"/>
      <c r="E374" s="81"/>
      <c r="F374" s="79">
        <f t="shared" si="5"/>
        <v>0</v>
      </c>
      <c r="G374" s="78"/>
    </row>
    <row r="375" spans="1:7" x14ac:dyDescent="0.2">
      <c r="A375" s="76"/>
      <c r="B375" s="77"/>
      <c r="C375" s="78"/>
      <c r="D375" s="81"/>
      <c r="E375" s="81"/>
      <c r="F375" s="79">
        <f t="shared" si="5"/>
        <v>0</v>
      </c>
      <c r="G375" s="78"/>
    </row>
    <row r="376" spans="1:7" x14ac:dyDescent="0.2">
      <c r="A376" s="76"/>
      <c r="B376" s="77"/>
      <c r="C376" s="78"/>
      <c r="D376" s="81"/>
      <c r="E376" s="81"/>
      <c r="F376" s="79">
        <f t="shared" si="5"/>
        <v>0</v>
      </c>
      <c r="G376" s="78"/>
    </row>
    <row r="377" spans="1:7" x14ac:dyDescent="0.2">
      <c r="A377" s="76"/>
      <c r="B377" s="77"/>
      <c r="C377" s="78"/>
      <c r="D377" s="81"/>
      <c r="E377" s="81"/>
      <c r="F377" s="79">
        <f t="shared" si="5"/>
        <v>0</v>
      </c>
      <c r="G377" s="78"/>
    </row>
    <row r="378" spans="1:7" x14ac:dyDescent="0.2">
      <c r="A378" s="76"/>
      <c r="B378" s="77"/>
      <c r="C378" s="78"/>
      <c r="D378" s="81"/>
      <c r="E378" s="81"/>
      <c r="F378" s="79">
        <f t="shared" si="5"/>
        <v>0</v>
      </c>
      <c r="G378" s="80"/>
    </row>
    <row r="379" spans="1:7" x14ac:dyDescent="0.2">
      <c r="A379" s="76"/>
      <c r="B379" s="77"/>
      <c r="C379" s="78"/>
      <c r="D379" s="81"/>
      <c r="E379" s="81"/>
      <c r="F379" s="79">
        <f t="shared" si="5"/>
        <v>0</v>
      </c>
      <c r="G379" s="78"/>
    </row>
    <row r="380" spans="1:7" x14ac:dyDescent="0.2">
      <c r="A380" s="76"/>
      <c r="B380" s="77"/>
      <c r="C380" s="78"/>
      <c r="D380" s="81"/>
      <c r="E380" s="81"/>
      <c r="F380" s="79">
        <f t="shared" si="5"/>
        <v>0</v>
      </c>
      <c r="G380" s="80"/>
    </row>
    <row r="381" spans="1:7" x14ac:dyDescent="0.2">
      <c r="A381" s="76"/>
      <c r="B381" s="77"/>
      <c r="C381" s="78"/>
      <c r="D381" s="81"/>
      <c r="E381" s="81"/>
      <c r="F381" s="79">
        <f t="shared" si="5"/>
        <v>0</v>
      </c>
      <c r="G381" s="80"/>
    </row>
    <row r="382" spans="1:7" x14ac:dyDescent="0.2">
      <c r="A382" s="76"/>
      <c r="B382" s="77"/>
      <c r="C382" s="78"/>
      <c r="D382" s="81"/>
      <c r="E382" s="81"/>
      <c r="F382" s="79">
        <f t="shared" si="5"/>
        <v>0</v>
      </c>
      <c r="G382" s="80"/>
    </row>
    <row r="383" spans="1:7" x14ac:dyDescent="0.2">
      <c r="A383" s="76"/>
      <c r="B383" s="77"/>
      <c r="C383" s="78"/>
      <c r="D383" s="81"/>
      <c r="E383" s="81"/>
      <c r="F383" s="79">
        <f t="shared" si="5"/>
        <v>0</v>
      </c>
      <c r="G383" s="80"/>
    </row>
    <row r="384" spans="1:7" x14ac:dyDescent="0.2">
      <c r="A384" s="76"/>
      <c r="B384" s="77"/>
      <c r="C384" s="78"/>
      <c r="D384" s="81"/>
      <c r="E384" s="81"/>
      <c r="F384" s="79">
        <f t="shared" si="5"/>
        <v>0</v>
      </c>
      <c r="G384" s="80"/>
    </row>
    <row r="385" spans="1:7" x14ac:dyDescent="0.2">
      <c r="A385" s="76"/>
      <c r="B385" s="77"/>
      <c r="C385" s="78"/>
      <c r="D385" s="81"/>
      <c r="E385" s="81"/>
      <c r="F385" s="79">
        <f t="shared" si="5"/>
        <v>0</v>
      </c>
      <c r="G385" s="80"/>
    </row>
    <row r="386" spans="1:7" x14ac:dyDescent="0.2">
      <c r="A386" s="76"/>
      <c r="B386" s="77"/>
      <c r="C386" s="78"/>
      <c r="D386" s="81"/>
      <c r="E386" s="81"/>
      <c r="F386" s="79">
        <f t="shared" si="5"/>
        <v>0</v>
      </c>
      <c r="G386" s="80"/>
    </row>
    <row r="387" spans="1:7" x14ac:dyDescent="0.2">
      <c r="A387" s="76"/>
      <c r="B387" s="77"/>
      <c r="C387" s="78"/>
      <c r="D387" s="81"/>
      <c r="E387" s="81"/>
      <c r="F387" s="79">
        <f t="shared" si="5"/>
        <v>0</v>
      </c>
      <c r="G387" s="80"/>
    </row>
    <row r="388" spans="1:7" x14ac:dyDescent="0.2">
      <c r="A388" s="76"/>
      <c r="B388" s="77"/>
      <c r="C388" s="78"/>
      <c r="D388" s="81"/>
      <c r="E388" s="81"/>
      <c r="F388" s="79">
        <f t="shared" si="5"/>
        <v>0</v>
      </c>
      <c r="G388" s="80"/>
    </row>
    <row r="389" spans="1:7" x14ac:dyDescent="0.2">
      <c r="A389" s="76"/>
      <c r="B389" s="77"/>
      <c r="C389" s="78"/>
      <c r="D389" s="81"/>
      <c r="E389" s="81"/>
      <c r="F389" s="79">
        <f t="shared" si="5"/>
        <v>0</v>
      </c>
      <c r="G389" s="78"/>
    </row>
    <row r="390" spans="1:7" x14ac:dyDescent="0.2">
      <c r="A390" s="76"/>
      <c r="B390" s="77"/>
      <c r="C390" s="78"/>
      <c r="D390" s="81"/>
      <c r="E390" s="81"/>
      <c r="F390" s="79">
        <f t="shared" si="5"/>
        <v>0</v>
      </c>
      <c r="G390" s="78"/>
    </row>
    <row r="391" spans="1:7" x14ac:dyDescent="0.2">
      <c r="A391" s="76"/>
      <c r="B391" s="77"/>
      <c r="C391" s="78"/>
      <c r="D391" s="81"/>
      <c r="E391" s="81"/>
      <c r="F391" s="79">
        <f t="shared" si="5"/>
        <v>0</v>
      </c>
      <c r="G391" s="78"/>
    </row>
    <row r="392" spans="1:7" x14ac:dyDescent="0.2">
      <c r="A392" s="76"/>
      <c r="B392" s="77"/>
      <c r="C392" s="78"/>
      <c r="D392" s="81"/>
      <c r="E392" s="81"/>
      <c r="F392" s="79">
        <f t="shared" si="5"/>
        <v>0</v>
      </c>
      <c r="G392" s="80"/>
    </row>
    <row r="393" spans="1:7" x14ac:dyDescent="0.2">
      <c r="A393" s="76"/>
      <c r="B393" s="77"/>
      <c r="C393" s="78"/>
      <c r="D393" s="81"/>
      <c r="E393" s="81"/>
      <c r="F393" s="79">
        <f t="shared" si="5"/>
        <v>0</v>
      </c>
      <c r="G393" s="78"/>
    </row>
    <row r="394" spans="1:7" x14ac:dyDescent="0.2">
      <c r="A394" s="76"/>
      <c r="B394" s="77"/>
      <c r="C394" s="78"/>
      <c r="D394" s="81"/>
      <c r="E394" s="81"/>
      <c r="F394" s="79">
        <f t="shared" si="5"/>
        <v>0</v>
      </c>
      <c r="G394" s="78"/>
    </row>
    <row r="395" spans="1:7" x14ac:dyDescent="0.2">
      <c r="A395" s="76"/>
      <c r="B395" s="77"/>
      <c r="C395" s="78"/>
      <c r="D395" s="81"/>
      <c r="E395" s="81"/>
      <c r="F395" s="79">
        <f t="shared" si="5"/>
        <v>0</v>
      </c>
      <c r="G395" s="78"/>
    </row>
    <row r="396" spans="1:7" x14ac:dyDescent="0.2">
      <c r="A396" s="76"/>
      <c r="B396" s="77"/>
      <c r="C396" s="78"/>
      <c r="D396" s="81"/>
      <c r="E396" s="81"/>
      <c r="F396" s="79">
        <f t="shared" si="5"/>
        <v>0</v>
      </c>
      <c r="G396" s="78"/>
    </row>
    <row r="397" spans="1:7" x14ac:dyDescent="0.2">
      <c r="A397" s="76"/>
      <c r="B397" s="77"/>
      <c r="C397" s="78"/>
      <c r="D397" s="81"/>
      <c r="E397" s="81"/>
      <c r="F397" s="79">
        <f t="shared" ref="F397:F461" si="6">E397-D397</f>
        <v>0</v>
      </c>
      <c r="G397" s="78"/>
    </row>
    <row r="398" spans="1:7" x14ac:dyDescent="0.2">
      <c r="A398" s="76"/>
      <c r="B398" s="77"/>
      <c r="C398" s="78"/>
      <c r="D398" s="81"/>
      <c r="E398" s="81"/>
      <c r="F398" s="79">
        <f t="shared" si="6"/>
        <v>0</v>
      </c>
      <c r="G398" s="78"/>
    </row>
    <row r="399" spans="1:7" x14ac:dyDescent="0.2">
      <c r="A399" s="76"/>
      <c r="B399" s="77"/>
      <c r="C399" s="78"/>
      <c r="D399" s="81"/>
      <c r="E399" s="81"/>
      <c r="F399" s="79">
        <f t="shared" si="6"/>
        <v>0</v>
      </c>
      <c r="G399" s="78"/>
    </row>
    <row r="400" spans="1:7" x14ac:dyDescent="0.2">
      <c r="A400" s="76"/>
      <c r="B400" s="77"/>
      <c r="C400" s="78"/>
      <c r="D400" s="81"/>
      <c r="E400" s="81"/>
      <c r="F400" s="79">
        <f t="shared" si="6"/>
        <v>0</v>
      </c>
      <c r="G400" s="78"/>
    </row>
    <row r="401" spans="1:7" x14ac:dyDescent="0.2">
      <c r="A401" s="76"/>
      <c r="B401" s="77"/>
      <c r="C401" s="78"/>
      <c r="D401" s="81"/>
      <c r="E401" s="81"/>
      <c r="F401" s="79">
        <f t="shared" si="6"/>
        <v>0</v>
      </c>
      <c r="G401" s="78"/>
    </row>
    <row r="402" spans="1:7" x14ac:dyDescent="0.2">
      <c r="A402" s="76"/>
      <c r="B402" s="77"/>
      <c r="C402" s="78"/>
      <c r="D402" s="81"/>
      <c r="E402" s="81"/>
      <c r="F402" s="79">
        <f t="shared" si="6"/>
        <v>0</v>
      </c>
      <c r="G402" s="78"/>
    </row>
    <row r="403" spans="1:7" x14ac:dyDescent="0.2">
      <c r="A403" s="76"/>
      <c r="B403" s="77"/>
      <c r="C403" s="78"/>
      <c r="D403" s="81"/>
      <c r="E403" s="81"/>
      <c r="F403" s="79">
        <f t="shared" si="6"/>
        <v>0</v>
      </c>
      <c r="G403" s="78"/>
    </row>
    <row r="404" spans="1:7" x14ac:dyDescent="0.2">
      <c r="A404" s="76"/>
      <c r="B404" s="77"/>
      <c r="C404" s="78"/>
      <c r="D404" s="81"/>
      <c r="E404" s="81"/>
      <c r="F404" s="79">
        <f t="shared" si="6"/>
        <v>0</v>
      </c>
      <c r="G404" s="78"/>
    </row>
    <row r="405" spans="1:7" x14ac:dyDescent="0.2">
      <c r="A405" s="76"/>
      <c r="B405" s="77"/>
      <c r="C405" s="78"/>
      <c r="D405" s="81"/>
      <c r="E405" s="81"/>
      <c r="F405" s="79">
        <f t="shared" si="6"/>
        <v>0</v>
      </c>
      <c r="G405" s="78"/>
    </row>
    <row r="406" spans="1:7" x14ac:dyDescent="0.2">
      <c r="A406" s="76"/>
      <c r="B406" s="77"/>
      <c r="C406" s="78"/>
      <c r="D406" s="81"/>
      <c r="E406" s="81"/>
      <c r="F406" s="79">
        <f t="shared" si="6"/>
        <v>0</v>
      </c>
      <c r="G406" s="78"/>
    </row>
    <row r="407" spans="1:7" x14ac:dyDescent="0.2">
      <c r="A407" s="76"/>
      <c r="B407" s="77"/>
      <c r="C407" s="78"/>
      <c r="D407" s="81"/>
      <c r="E407" s="81"/>
      <c r="F407" s="79">
        <f t="shared" si="6"/>
        <v>0</v>
      </c>
      <c r="G407" s="78"/>
    </row>
    <row r="408" spans="1:7" x14ac:dyDescent="0.2">
      <c r="A408" s="76"/>
      <c r="B408" s="77"/>
      <c r="C408" s="78"/>
      <c r="D408" s="81"/>
      <c r="E408" s="81"/>
      <c r="F408" s="79">
        <f t="shared" si="6"/>
        <v>0</v>
      </c>
      <c r="G408" s="78"/>
    </row>
    <row r="409" spans="1:7" x14ac:dyDescent="0.2">
      <c r="A409" s="76"/>
      <c r="B409" s="77"/>
      <c r="C409" s="78"/>
      <c r="D409" s="81"/>
      <c r="E409" s="81"/>
      <c r="F409" s="79">
        <f t="shared" si="6"/>
        <v>0</v>
      </c>
      <c r="G409" s="78"/>
    </row>
    <row r="410" spans="1:7" x14ac:dyDescent="0.2">
      <c r="A410" s="76"/>
      <c r="B410" s="77"/>
      <c r="C410" s="78"/>
      <c r="D410" s="81"/>
      <c r="E410" s="81"/>
      <c r="F410" s="79">
        <f t="shared" si="6"/>
        <v>0</v>
      </c>
      <c r="G410" s="78"/>
    </row>
    <row r="411" spans="1:7" x14ac:dyDescent="0.2">
      <c r="A411" s="76"/>
      <c r="B411" s="77"/>
      <c r="C411" s="78"/>
      <c r="D411" s="81"/>
      <c r="E411" s="81"/>
      <c r="F411" s="79">
        <f t="shared" si="6"/>
        <v>0</v>
      </c>
      <c r="G411" s="80"/>
    </row>
    <row r="412" spans="1:7" x14ac:dyDescent="0.2">
      <c r="A412" s="76"/>
      <c r="B412" s="77"/>
      <c r="C412" s="78"/>
      <c r="D412" s="81"/>
      <c r="E412" s="81"/>
      <c r="F412" s="79">
        <f t="shared" si="6"/>
        <v>0</v>
      </c>
      <c r="G412" s="78"/>
    </row>
    <row r="413" spans="1:7" x14ac:dyDescent="0.2">
      <c r="A413" s="76"/>
      <c r="B413" s="77"/>
      <c r="C413" s="78"/>
      <c r="D413" s="81"/>
      <c r="E413" s="81"/>
      <c r="F413" s="79">
        <f t="shared" si="6"/>
        <v>0</v>
      </c>
      <c r="G413" s="78"/>
    </row>
    <row r="414" spans="1:7" x14ac:dyDescent="0.2">
      <c r="A414" s="76"/>
      <c r="B414" s="77"/>
      <c r="C414" s="78"/>
      <c r="D414" s="81"/>
      <c r="E414" s="81"/>
      <c r="F414" s="79">
        <f t="shared" si="6"/>
        <v>0</v>
      </c>
      <c r="G414" s="78"/>
    </row>
    <row r="415" spans="1:7" x14ac:dyDescent="0.2">
      <c r="A415" s="76"/>
      <c r="B415" s="77"/>
      <c r="C415" s="78"/>
      <c r="D415" s="81"/>
      <c r="E415" s="81"/>
      <c r="F415" s="79">
        <f t="shared" si="6"/>
        <v>0</v>
      </c>
      <c r="G415" s="78"/>
    </row>
    <row r="416" spans="1:7" x14ac:dyDescent="0.2">
      <c r="A416" s="76"/>
      <c r="B416" s="77"/>
      <c r="C416" s="78"/>
      <c r="D416" s="81"/>
      <c r="E416" s="81"/>
      <c r="F416" s="79">
        <f t="shared" si="6"/>
        <v>0</v>
      </c>
      <c r="G416" s="78"/>
    </row>
    <row r="417" spans="1:7" x14ac:dyDescent="0.2">
      <c r="A417" s="76"/>
      <c r="B417" s="77"/>
      <c r="C417" s="78"/>
      <c r="D417" s="81"/>
      <c r="E417" s="81"/>
      <c r="F417" s="79">
        <f t="shared" si="6"/>
        <v>0</v>
      </c>
      <c r="G417" s="78"/>
    </row>
    <row r="418" spans="1:7" x14ac:dyDescent="0.2">
      <c r="A418" s="76"/>
      <c r="B418" s="77"/>
      <c r="C418" s="78"/>
      <c r="D418" s="81"/>
      <c r="E418" s="81"/>
      <c r="F418" s="79">
        <f t="shared" si="6"/>
        <v>0</v>
      </c>
      <c r="G418" s="78"/>
    </row>
    <row r="419" spans="1:7" x14ac:dyDescent="0.2">
      <c r="A419" s="76"/>
      <c r="B419" s="77"/>
      <c r="C419" s="78"/>
      <c r="D419" s="81"/>
      <c r="E419" s="81"/>
      <c r="F419" s="79">
        <f t="shared" si="6"/>
        <v>0</v>
      </c>
      <c r="G419" s="78"/>
    </row>
    <row r="420" spans="1:7" x14ac:dyDescent="0.2">
      <c r="A420" s="76"/>
      <c r="B420" s="77"/>
      <c r="C420" s="78"/>
      <c r="D420" s="81"/>
      <c r="E420" s="81"/>
      <c r="F420" s="79">
        <f t="shared" si="6"/>
        <v>0</v>
      </c>
      <c r="G420" s="78"/>
    </row>
    <row r="421" spans="1:7" x14ac:dyDescent="0.2">
      <c r="A421" s="76"/>
      <c r="B421" s="77"/>
      <c r="C421" s="78"/>
      <c r="D421" s="81"/>
      <c r="E421" s="81"/>
      <c r="F421" s="79">
        <f t="shared" si="6"/>
        <v>0</v>
      </c>
      <c r="G421" s="78"/>
    </row>
    <row r="422" spans="1:7" x14ac:dyDescent="0.2">
      <c r="A422" s="76"/>
      <c r="B422" s="77"/>
      <c r="C422" s="78"/>
      <c r="D422" s="81"/>
      <c r="E422" s="81"/>
      <c r="F422" s="79">
        <f t="shared" si="6"/>
        <v>0</v>
      </c>
      <c r="G422" s="78"/>
    </row>
    <row r="423" spans="1:7" x14ac:dyDescent="0.2">
      <c r="A423" s="76"/>
      <c r="B423" s="77"/>
      <c r="C423" s="78"/>
      <c r="D423" s="81"/>
      <c r="E423" s="81"/>
      <c r="F423" s="79">
        <f t="shared" si="6"/>
        <v>0</v>
      </c>
      <c r="G423" s="78"/>
    </row>
    <row r="424" spans="1:7" x14ac:dyDescent="0.2">
      <c r="A424" s="76"/>
      <c r="B424" s="77"/>
      <c r="C424" s="78"/>
      <c r="D424" s="81"/>
      <c r="E424" s="81"/>
      <c r="F424" s="79">
        <f t="shared" si="6"/>
        <v>0</v>
      </c>
      <c r="G424" s="78"/>
    </row>
    <row r="425" spans="1:7" x14ac:dyDescent="0.2">
      <c r="A425" s="76"/>
      <c r="B425" s="77"/>
      <c r="C425" s="78"/>
      <c r="D425" s="81"/>
      <c r="E425" s="81"/>
      <c r="F425" s="79">
        <f t="shared" si="6"/>
        <v>0</v>
      </c>
      <c r="G425" s="78"/>
    </row>
    <row r="426" spans="1:7" x14ac:dyDescent="0.2">
      <c r="A426" s="76"/>
      <c r="B426" s="77"/>
      <c r="C426" s="78"/>
      <c r="D426" s="81"/>
      <c r="E426" s="81"/>
      <c r="F426" s="79">
        <f t="shared" si="6"/>
        <v>0</v>
      </c>
      <c r="G426" s="78"/>
    </row>
    <row r="427" spans="1:7" x14ac:dyDescent="0.2">
      <c r="A427" s="76"/>
      <c r="B427" s="77"/>
      <c r="C427" s="78"/>
      <c r="D427" s="81"/>
      <c r="E427" s="81"/>
      <c r="F427" s="79">
        <f t="shared" si="6"/>
        <v>0</v>
      </c>
      <c r="G427" s="78"/>
    </row>
    <row r="428" spans="1:7" x14ac:dyDescent="0.2">
      <c r="A428" s="76"/>
      <c r="B428" s="77"/>
      <c r="C428" s="78"/>
      <c r="D428" s="81"/>
      <c r="E428" s="81"/>
      <c r="F428" s="79">
        <f t="shared" si="6"/>
        <v>0</v>
      </c>
      <c r="G428" s="78"/>
    </row>
    <row r="429" spans="1:7" x14ac:dyDescent="0.2">
      <c r="A429" s="76"/>
      <c r="B429" s="77"/>
      <c r="C429" s="78"/>
      <c r="D429" s="81"/>
      <c r="E429" s="81"/>
      <c r="F429" s="79">
        <f t="shared" si="6"/>
        <v>0</v>
      </c>
      <c r="G429" s="80"/>
    </row>
    <row r="430" spans="1:7" x14ac:dyDescent="0.2">
      <c r="A430" s="76"/>
      <c r="B430" s="77"/>
      <c r="C430" s="78"/>
      <c r="D430" s="81"/>
      <c r="E430" s="81"/>
      <c r="F430" s="79">
        <f t="shared" si="6"/>
        <v>0</v>
      </c>
      <c r="G430" s="78"/>
    </row>
    <row r="431" spans="1:7" x14ac:dyDescent="0.2">
      <c r="A431" s="76"/>
      <c r="B431" s="77"/>
      <c r="C431" s="78"/>
      <c r="D431" s="81"/>
      <c r="E431" s="81"/>
      <c r="F431" s="79">
        <f t="shared" si="6"/>
        <v>0</v>
      </c>
      <c r="G431" s="78"/>
    </row>
    <row r="432" spans="1:7" x14ac:dyDescent="0.2">
      <c r="A432" s="76"/>
      <c r="B432" s="77"/>
      <c r="C432" s="78"/>
      <c r="D432" s="81"/>
      <c r="E432" s="81"/>
      <c r="F432" s="79">
        <f t="shared" si="6"/>
        <v>0</v>
      </c>
      <c r="G432" s="78"/>
    </row>
    <row r="433" spans="1:7" x14ac:dyDescent="0.2">
      <c r="A433" s="76"/>
      <c r="B433" s="77"/>
      <c r="C433" s="78"/>
      <c r="D433" s="81"/>
      <c r="E433" s="81"/>
      <c r="F433" s="79">
        <f t="shared" si="6"/>
        <v>0</v>
      </c>
      <c r="G433" s="78"/>
    </row>
    <row r="434" spans="1:7" x14ac:dyDescent="0.2">
      <c r="A434" s="76"/>
      <c r="B434" s="77"/>
      <c r="C434" s="78"/>
      <c r="D434" s="81"/>
      <c r="E434" s="81"/>
      <c r="F434" s="79">
        <f t="shared" si="6"/>
        <v>0</v>
      </c>
      <c r="G434" s="78"/>
    </row>
    <row r="435" spans="1:7" x14ac:dyDescent="0.2">
      <c r="A435" s="76"/>
      <c r="B435" s="77"/>
      <c r="C435" s="78"/>
      <c r="D435" s="81"/>
      <c r="E435" s="81"/>
      <c r="F435" s="79">
        <f t="shared" si="6"/>
        <v>0</v>
      </c>
      <c r="G435" s="78"/>
    </row>
    <row r="436" spans="1:7" x14ac:dyDescent="0.2">
      <c r="A436" s="76"/>
      <c r="B436" s="77"/>
      <c r="C436" s="78"/>
      <c r="D436" s="81"/>
      <c r="E436" s="81"/>
      <c r="F436" s="79">
        <f t="shared" si="6"/>
        <v>0</v>
      </c>
      <c r="G436" s="78"/>
    </row>
    <row r="437" spans="1:7" x14ac:dyDescent="0.2">
      <c r="A437" s="76"/>
      <c r="B437" s="77"/>
      <c r="C437" s="78"/>
      <c r="D437" s="81"/>
      <c r="E437" s="81"/>
      <c r="F437" s="79">
        <f t="shared" si="6"/>
        <v>0</v>
      </c>
      <c r="G437" s="78"/>
    </row>
    <row r="438" spans="1:7" x14ac:dyDescent="0.2">
      <c r="A438" s="76"/>
      <c r="B438" s="77"/>
      <c r="C438" s="78"/>
      <c r="D438" s="81"/>
      <c r="E438" s="81"/>
      <c r="F438" s="79">
        <f t="shared" si="6"/>
        <v>0</v>
      </c>
      <c r="G438" s="78"/>
    </row>
    <row r="439" spans="1:7" x14ac:dyDescent="0.2">
      <c r="A439" s="76"/>
      <c r="B439" s="77"/>
      <c r="C439" s="78"/>
      <c r="D439" s="81"/>
      <c r="E439" s="81"/>
      <c r="F439" s="79">
        <f t="shared" si="6"/>
        <v>0</v>
      </c>
      <c r="G439" s="78"/>
    </row>
    <row r="440" spans="1:7" x14ac:dyDescent="0.2">
      <c r="A440" s="76"/>
      <c r="B440" s="77"/>
      <c r="C440" s="78"/>
      <c r="D440" s="81"/>
      <c r="E440" s="81"/>
      <c r="F440" s="79">
        <f t="shared" si="6"/>
        <v>0</v>
      </c>
      <c r="G440" s="78"/>
    </row>
    <row r="441" spans="1:7" x14ac:dyDescent="0.2">
      <c r="A441" s="76"/>
      <c r="B441" s="77"/>
      <c r="C441" s="78"/>
      <c r="D441" s="81"/>
      <c r="E441" s="81"/>
      <c r="F441" s="79">
        <f t="shared" si="6"/>
        <v>0</v>
      </c>
      <c r="G441" s="78"/>
    </row>
    <row r="442" spans="1:7" x14ac:dyDescent="0.2">
      <c r="A442" s="76"/>
      <c r="B442" s="77"/>
      <c r="C442" s="78"/>
      <c r="D442" s="81"/>
      <c r="E442" s="81"/>
      <c r="F442" s="79">
        <f t="shared" si="6"/>
        <v>0</v>
      </c>
      <c r="G442" s="78"/>
    </row>
    <row r="443" spans="1:7" x14ac:dyDescent="0.2">
      <c r="A443" s="76"/>
      <c r="B443" s="77"/>
      <c r="C443" s="78"/>
      <c r="D443" s="81"/>
      <c r="E443" s="81"/>
      <c r="F443" s="79">
        <f t="shared" si="6"/>
        <v>0</v>
      </c>
      <c r="G443" s="78"/>
    </row>
    <row r="444" spans="1:7" x14ac:dyDescent="0.2">
      <c r="A444" s="76"/>
      <c r="B444" s="77"/>
      <c r="C444" s="78"/>
      <c r="D444" s="81"/>
      <c r="E444" s="81"/>
      <c r="F444" s="79">
        <f t="shared" si="6"/>
        <v>0</v>
      </c>
      <c r="G444" s="78"/>
    </row>
    <row r="445" spans="1:7" x14ac:dyDescent="0.2">
      <c r="A445" s="76"/>
      <c r="B445" s="77"/>
      <c r="C445" s="78"/>
      <c r="D445" s="81"/>
      <c r="E445" s="81"/>
      <c r="F445" s="79">
        <f t="shared" si="6"/>
        <v>0</v>
      </c>
      <c r="G445" s="78"/>
    </row>
    <row r="446" spans="1:7" x14ac:dyDescent="0.2">
      <c r="A446" s="76"/>
      <c r="B446" s="77"/>
      <c r="C446" s="78"/>
      <c r="D446" s="81"/>
      <c r="E446" s="81"/>
      <c r="F446" s="79">
        <f t="shared" si="6"/>
        <v>0</v>
      </c>
      <c r="G446" s="78"/>
    </row>
    <row r="447" spans="1:7" x14ac:dyDescent="0.2">
      <c r="A447" s="76"/>
      <c r="B447" s="77"/>
      <c r="C447" s="78"/>
      <c r="D447" s="81"/>
      <c r="E447" s="81"/>
      <c r="F447" s="79">
        <f t="shared" si="6"/>
        <v>0</v>
      </c>
      <c r="G447" s="78"/>
    </row>
    <row r="448" spans="1:7" x14ac:dyDescent="0.2">
      <c r="A448" s="76"/>
      <c r="B448" s="77"/>
      <c r="C448" s="78"/>
      <c r="D448" s="81"/>
      <c r="E448" s="81"/>
      <c r="F448" s="79">
        <f t="shared" si="6"/>
        <v>0</v>
      </c>
      <c r="G448" s="78"/>
    </row>
    <row r="449" spans="1:7" x14ac:dyDescent="0.2">
      <c r="A449" s="76"/>
      <c r="B449" s="77"/>
      <c r="C449" s="78"/>
      <c r="D449" s="81"/>
      <c r="E449" s="81"/>
      <c r="F449" s="79">
        <f t="shared" si="6"/>
        <v>0</v>
      </c>
      <c r="G449" s="78"/>
    </row>
    <row r="450" spans="1:7" x14ac:dyDescent="0.2">
      <c r="A450" s="76"/>
      <c r="B450" s="77"/>
      <c r="C450" s="78"/>
      <c r="D450" s="81"/>
      <c r="E450" s="81"/>
      <c r="F450" s="79">
        <f t="shared" si="6"/>
        <v>0</v>
      </c>
      <c r="G450" s="78"/>
    </row>
    <row r="451" spans="1:7" x14ac:dyDescent="0.2">
      <c r="A451" s="76"/>
      <c r="B451" s="77"/>
      <c r="C451" s="78"/>
      <c r="D451" s="81"/>
      <c r="E451" s="81"/>
      <c r="F451" s="79">
        <f t="shared" si="6"/>
        <v>0</v>
      </c>
      <c r="G451" s="78"/>
    </row>
    <row r="452" spans="1:7" x14ac:dyDescent="0.2">
      <c r="A452" s="76"/>
      <c r="B452" s="77"/>
      <c r="C452" s="78"/>
      <c r="D452" s="81"/>
      <c r="E452" s="81"/>
      <c r="F452" s="79">
        <f t="shared" si="6"/>
        <v>0</v>
      </c>
      <c r="G452" s="78"/>
    </row>
    <row r="453" spans="1:7" x14ac:dyDescent="0.2">
      <c r="A453" s="76"/>
      <c r="B453" s="77"/>
      <c r="C453" s="78"/>
      <c r="D453" s="81"/>
      <c r="E453" s="81"/>
      <c r="F453" s="79">
        <f t="shared" si="6"/>
        <v>0</v>
      </c>
      <c r="G453" s="78"/>
    </row>
    <row r="454" spans="1:7" x14ac:dyDescent="0.2">
      <c r="A454" s="76"/>
      <c r="B454" s="77"/>
      <c r="C454" s="78"/>
      <c r="D454" s="81"/>
      <c r="E454" s="81"/>
      <c r="F454" s="79">
        <f t="shared" si="6"/>
        <v>0</v>
      </c>
      <c r="G454" s="78"/>
    </row>
    <row r="455" spans="1:7" x14ac:dyDescent="0.2">
      <c r="A455" s="76"/>
      <c r="B455" s="77"/>
      <c r="C455" s="78"/>
      <c r="D455" s="81"/>
      <c r="E455" s="81"/>
      <c r="F455" s="79">
        <f t="shared" si="6"/>
        <v>0</v>
      </c>
      <c r="G455" s="78"/>
    </row>
    <row r="456" spans="1:7" x14ac:dyDescent="0.2">
      <c r="A456" s="76"/>
      <c r="B456" s="77"/>
      <c r="C456" s="78"/>
      <c r="D456" s="81"/>
      <c r="E456" s="81"/>
      <c r="F456" s="79">
        <f t="shared" si="6"/>
        <v>0</v>
      </c>
      <c r="G456" s="78"/>
    </row>
    <row r="457" spans="1:7" x14ac:dyDescent="0.2">
      <c r="A457" s="76"/>
      <c r="B457" s="77"/>
      <c r="C457" s="78"/>
      <c r="D457" s="81"/>
      <c r="E457" s="81"/>
      <c r="F457" s="79">
        <f t="shared" si="6"/>
        <v>0</v>
      </c>
      <c r="G457" s="78"/>
    </row>
    <row r="458" spans="1:7" x14ac:dyDescent="0.2">
      <c r="A458" s="76"/>
      <c r="B458" s="77"/>
      <c r="C458" s="78"/>
      <c r="D458" s="81"/>
      <c r="E458" s="81"/>
      <c r="F458" s="79">
        <f t="shared" si="6"/>
        <v>0</v>
      </c>
      <c r="G458" s="78"/>
    </row>
    <row r="459" spans="1:7" x14ac:dyDescent="0.2">
      <c r="A459" s="76"/>
      <c r="B459" s="77"/>
      <c r="C459" s="78"/>
      <c r="D459" s="81"/>
      <c r="E459" s="81"/>
      <c r="F459" s="79">
        <f t="shared" si="6"/>
        <v>0</v>
      </c>
      <c r="G459" s="78"/>
    </row>
    <row r="460" spans="1:7" x14ac:dyDescent="0.2">
      <c r="A460" s="76"/>
      <c r="B460" s="77"/>
      <c r="C460" s="78"/>
      <c r="D460" s="81"/>
      <c r="E460" s="81"/>
      <c r="F460" s="79">
        <f t="shared" si="6"/>
        <v>0</v>
      </c>
      <c r="G460" s="78"/>
    </row>
    <row r="461" spans="1:7" x14ac:dyDescent="0.2">
      <c r="A461" s="76"/>
      <c r="B461" s="77"/>
      <c r="C461" s="78"/>
      <c r="D461" s="81"/>
      <c r="E461" s="81"/>
      <c r="F461" s="79">
        <f t="shared" si="6"/>
        <v>0</v>
      </c>
      <c r="G461" s="78"/>
    </row>
    <row r="462" spans="1:7" x14ac:dyDescent="0.2">
      <c r="A462" s="76"/>
      <c r="B462" s="77"/>
      <c r="C462" s="78"/>
      <c r="D462" s="81"/>
      <c r="E462" s="81"/>
      <c r="F462" s="79">
        <f t="shared" ref="F462:F525" si="7">E462-D462</f>
        <v>0</v>
      </c>
      <c r="G462" s="83"/>
    </row>
    <row r="463" spans="1:7" x14ac:dyDescent="0.2">
      <c r="A463" s="76"/>
      <c r="B463" s="77"/>
      <c r="C463" s="78"/>
      <c r="D463" s="81"/>
      <c r="E463" s="81"/>
      <c r="F463" s="79">
        <f t="shared" si="7"/>
        <v>0</v>
      </c>
      <c r="G463" s="83"/>
    </row>
    <row r="464" spans="1:7" x14ac:dyDescent="0.2">
      <c r="A464" s="76"/>
      <c r="B464" s="77"/>
      <c r="C464" s="78"/>
      <c r="D464" s="81"/>
      <c r="E464" s="81"/>
      <c r="F464" s="79">
        <f t="shared" si="7"/>
        <v>0</v>
      </c>
      <c r="G464" s="80"/>
    </row>
    <row r="465" spans="1:7" x14ac:dyDescent="0.2">
      <c r="A465" s="76"/>
      <c r="B465" s="77"/>
      <c r="C465" s="78"/>
      <c r="D465" s="81"/>
      <c r="E465" s="81"/>
      <c r="F465" s="79">
        <f t="shared" si="7"/>
        <v>0</v>
      </c>
      <c r="G465" s="78"/>
    </row>
    <row r="466" spans="1:7" x14ac:dyDescent="0.2">
      <c r="A466" s="76"/>
      <c r="B466" s="77"/>
      <c r="C466" s="78"/>
      <c r="D466" s="81"/>
      <c r="E466" s="81"/>
      <c r="F466" s="79">
        <f t="shared" si="7"/>
        <v>0</v>
      </c>
      <c r="G466" s="80"/>
    </row>
    <row r="467" spans="1:7" x14ac:dyDescent="0.2">
      <c r="A467" s="76"/>
      <c r="B467" s="77"/>
      <c r="C467" s="78"/>
      <c r="D467" s="81"/>
      <c r="E467" s="81"/>
      <c r="F467" s="79">
        <f t="shared" si="7"/>
        <v>0</v>
      </c>
      <c r="G467" s="78"/>
    </row>
    <row r="468" spans="1:7" x14ac:dyDescent="0.2">
      <c r="A468" s="76"/>
      <c r="B468" s="77"/>
      <c r="C468" s="78"/>
      <c r="D468" s="81"/>
      <c r="E468" s="81"/>
      <c r="F468" s="79">
        <f t="shared" si="7"/>
        <v>0</v>
      </c>
      <c r="G468" s="78"/>
    </row>
    <row r="469" spans="1:7" x14ac:dyDescent="0.2">
      <c r="A469" s="76"/>
      <c r="B469" s="77"/>
      <c r="C469" s="78"/>
      <c r="D469" s="81"/>
      <c r="E469" s="81"/>
      <c r="F469" s="79">
        <f t="shared" si="7"/>
        <v>0</v>
      </c>
      <c r="G469" s="78"/>
    </row>
    <row r="470" spans="1:7" x14ac:dyDescent="0.2">
      <c r="A470" s="76"/>
      <c r="B470" s="77"/>
      <c r="C470" s="78"/>
      <c r="D470" s="81"/>
      <c r="E470" s="81"/>
      <c r="F470" s="79">
        <f t="shared" si="7"/>
        <v>0</v>
      </c>
      <c r="G470" s="78"/>
    </row>
    <row r="471" spans="1:7" x14ac:dyDescent="0.2">
      <c r="A471" s="76"/>
      <c r="B471" s="77"/>
      <c r="C471" s="78"/>
      <c r="D471" s="81"/>
      <c r="E471" s="81"/>
      <c r="F471" s="79">
        <f t="shared" si="7"/>
        <v>0</v>
      </c>
      <c r="G471" s="78"/>
    </row>
    <row r="472" spans="1:7" x14ac:dyDescent="0.2">
      <c r="A472" s="76"/>
      <c r="B472" s="77"/>
      <c r="C472" s="78"/>
      <c r="D472" s="81"/>
      <c r="E472" s="81"/>
      <c r="F472" s="79">
        <f t="shared" si="7"/>
        <v>0</v>
      </c>
      <c r="G472" s="78"/>
    </row>
    <row r="473" spans="1:7" x14ac:dyDescent="0.2">
      <c r="A473" s="76"/>
      <c r="B473" s="77"/>
      <c r="C473" s="78"/>
      <c r="D473" s="81"/>
      <c r="E473" s="81"/>
      <c r="F473" s="79">
        <f t="shared" si="7"/>
        <v>0</v>
      </c>
      <c r="G473" s="80"/>
    </row>
    <row r="474" spans="1:7" x14ac:dyDescent="0.2">
      <c r="A474" s="76"/>
      <c r="B474" s="77"/>
      <c r="C474" s="78"/>
      <c r="D474" s="81"/>
      <c r="E474" s="81"/>
      <c r="F474" s="79">
        <f t="shared" si="7"/>
        <v>0</v>
      </c>
      <c r="G474" s="78"/>
    </row>
    <row r="475" spans="1:7" x14ac:dyDescent="0.2">
      <c r="A475" s="76"/>
      <c r="B475" s="77"/>
      <c r="C475" s="78"/>
      <c r="D475" s="81"/>
      <c r="E475" s="81"/>
      <c r="F475" s="79">
        <f t="shared" si="7"/>
        <v>0</v>
      </c>
      <c r="G475" s="78"/>
    </row>
    <row r="476" spans="1:7" x14ac:dyDescent="0.2">
      <c r="A476" s="76"/>
      <c r="B476" s="77"/>
      <c r="C476" s="78"/>
      <c r="D476" s="81"/>
      <c r="E476" s="81"/>
      <c r="F476" s="79">
        <f t="shared" si="7"/>
        <v>0</v>
      </c>
      <c r="G476" s="78"/>
    </row>
    <row r="477" spans="1:7" x14ac:dyDescent="0.2">
      <c r="A477" s="76"/>
      <c r="B477" s="77"/>
      <c r="C477" s="78"/>
      <c r="D477" s="81"/>
      <c r="E477" s="81"/>
      <c r="F477" s="79">
        <f t="shared" si="7"/>
        <v>0</v>
      </c>
      <c r="G477" s="78"/>
    </row>
    <row r="478" spans="1:7" x14ac:dyDescent="0.2">
      <c r="A478" s="76"/>
      <c r="B478" s="77"/>
      <c r="C478" s="78"/>
      <c r="D478" s="81"/>
      <c r="E478" s="81"/>
      <c r="F478" s="79">
        <f t="shared" si="7"/>
        <v>0</v>
      </c>
      <c r="G478" s="78"/>
    </row>
    <row r="479" spans="1:7" x14ac:dyDescent="0.2">
      <c r="A479" s="76"/>
      <c r="B479" s="77"/>
      <c r="C479" s="78"/>
      <c r="D479" s="81"/>
      <c r="E479" s="81"/>
      <c r="F479" s="79">
        <f t="shared" si="7"/>
        <v>0</v>
      </c>
      <c r="G479" s="78"/>
    </row>
    <row r="480" spans="1:7" x14ac:dyDescent="0.2">
      <c r="A480" s="76"/>
      <c r="B480" s="77"/>
      <c r="C480" s="78"/>
      <c r="D480" s="81"/>
      <c r="E480" s="81"/>
      <c r="F480" s="79">
        <f t="shared" si="7"/>
        <v>0</v>
      </c>
      <c r="G480" s="78"/>
    </row>
    <row r="481" spans="1:7" x14ac:dyDescent="0.2">
      <c r="A481" s="76"/>
      <c r="B481" s="77"/>
      <c r="C481" s="78"/>
      <c r="D481" s="81"/>
      <c r="E481" s="81"/>
      <c r="F481" s="79">
        <f t="shared" si="7"/>
        <v>0</v>
      </c>
      <c r="G481" s="78"/>
    </row>
    <row r="482" spans="1:7" x14ac:dyDescent="0.2">
      <c r="A482" s="76"/>
      <c r="B482" s="77"/>
      <c r="C482" s="78"/>
      <c r="D482" s="81"/>
      <c r="E482" s="81"/>
      <c r="F482" s="79">
        <f t="shared" si="7"/>
        <v>0</v>
      </c>
      <c r="G482" s="78"/>
    </row>
    <row r="483" spans="1:7" x14ac:dyDescent="0.2">
      <c r="A483" s="76"/>
      <c r="B483" s="77"/>
      <c r="C483" s="78"/>
      <c r="D483" s="81"/>
      <c r="E483" s="81"/>
      <c r="F483" s="79">
        <f t="shared" si="7"/>
        <v>0</v>
      </c>
      <c r="G483" s="78"/>
    </row>
    <row r="484" spans="1:7" x14ac:dyDescent="0.2">
      <c r="A484" s="76"/>
      <c r="B484" s="77"/>
      <c r="C484" s="78"/>
      <c r="D484" s="81"/>
      <c r="E484" s="81"/>
      <c r="F484" s="79">
        <f t="shared" si="7"/>
        <v>0</v>
      </c>
      <c r="G484" s="78"/>
    </row>
    <row r="485" spans="1:7" x14ac:dyDescent="0.2">
      <c r="A485" s="76"/>
      <c r="B485" s="77"/>
      <c r="C485" s="78"/>
      <c r="D485" s="81"/>
      <c r="E485" s="81"/>
      <c r="F485" s="79">
        <f t="shared" si="7"/>
        <v>0</v>
      </c>
      <c r="G485" s="78"/>
    </row>
    <row r="486" spans="1:7" x14ac:dyDescent="0.2">
      <c r="A486" s="76"/>
      <c r="B486" s="77"/>
      <c r="C486" s="78"/>
      <c r="D486" s="81"/>
      <c r="E486" s="81"/>
      <c r="F486" s="79">
        <f t="shared" si="7"/>
        <v>0</v>
      </c>
      <c r="G486" s="78"/>
    </row>
    <row r="487" spans="1:7" x14ac:dyDescent="0.2">
      <c r="A487" s="76"/>
      <c r="B487" s="77"/>
      <c r="C487" s="78"/>
      <c r="D487" s="81"/>
      <c r="E487" s="81"/>
      <c r="F487" s="79">
        <f t="shared" si="7"/>
        <v>0</v>
      </c>
      <c r="G487" s="78"/>
    </row>
    <row r="488" spans="1:7" x14ac:dyDescent="0.2">
      <c r="A488" s="76"/>
      <c r="B488" s="77"/>
      <c r="C488" s="78"/>
      <c r="D488" s="81"/>
      <c r="E488" s="81"/>
      <c r="F488" s="79">
        <f t="shared" si="7"/>
        <v>0</v>
      </c>
      <c r="G488" s="78"/>
    </row>
    <row r="489" spans="1:7" x14ac:dyDescent="0.2">
      <c r="A489" s="76"/>
      <c r="B489" s="77"/>
      <c r="C489" s="78"/>
      <c r="D489" s="81"/>
      <c r="E489" s="81"/>
      <c r="F489" s="79">
        <f t="shared" si="7"/>
        <v>0</v>
      </c>
      <c r="G489" s="78"/>
    </row>
    <row r="490" spans="1:7" x14ac:dyDescent="0.2">
      <c r="A490" s="76"/>
      <c r="B490" s="77"/>
      <c r="C490" s="78"/>
      <c r="D490" s="81"/>
      <c r="E490" s="81"/>
      <c r="F490" s="79">
        <f t="shared" si="7"/>
        <v>0</v>
      </c>
      <c r="G490" s="78"/>
    </row>
    <row r="491" spans="1:7" x14ac:dyDescent="0.2">
      <c r="A491" s="76"/>
      <c r="B491" s="77"/>
      <c r="C491" s="78"/>
      <c r="D491" s="81"/>
      <c r="E491" s="81"/>
      <c r="F491" s="79">
        <f t="shared" si="7"/>
        <v>0</v>
      </c>
      <c r="G491" s="78"/>
    </row>
    <row r="492" spans="1:7" x14ac:dyDescent="0.2">
      <c r="A492" s="76"/>
      <c r="B492" s="77"/>
      <c r="C492" s="78"/>
      <c r="D492" s="81"/>
      <c r="E492" s="81"/>
      <c r="F492" s="79">
        <f t="shared" si="7"/>
        <v>0</v>
      </c>
      <c r="G492" s="78"/>
    </row>
    <row r="493" spans="1:7" x14ac:dyDescent="0.2">
      <c r="A493" s="76"/>
      <c r="B493" s="77"/>
      <c r="C493" s="78"/>
      <c r="D493" s="81"/>
      <c r="E493" s="81"/>
      <c r="F493" s="79">
        <f t="shared" si="7"/>
        <v>0</v>
      </c>
      <c r="G493" s="78"/>
    </row>
    <row r="494" spans="1:7" x14ac:dyDescent="0.2">
      <c r="A494" s="76"/>
      <c r="B494" s="77"/>
      <c r="C494" s="78"/>
      <c r="D494" s="81"/>
      <c r="E494" s="81"/>
      <c r="F494" s="79">
        <f t="shared" si="7"/>
        <v>0</v>
      </c>
      <c r="G494" s="80"/>
    </row>
    <row r="495" spans="1:7" x14ac:dyDescent="0.2">
      <c r="A495" s="76"/>
      <c r="B495" s="77"/>
      <c r="C495" s="78"/>
      <c r="D495" s="81"/>
      <c r="E495" s="81"/>
      <c r="F495" s="79">
        <f t="shared" si="7"/>
        <v>0</v>
      </c>
      <c r="G495" s="78"/>
    </row>
    <row r="496" spans="1:7" x14ac:dyDescent="0.2">
      <c r="A496" s="76"/>
      <c r="B496" s="77"/>
      <c r="C496" s="78"/>
      <c r="D496" s="81"/>
      <c r="E496" s="81"/>
      <c r="F496" s="79">
        <f t="shared" si="7"/>
        <v>0</v>
      </c>
      <c r="G496" s="78"/>
    </row>
    <row r="497" spans="1:7" x14ac:dyDescent="0.2">
      <c r="A497" s="76"/>
      <c r="B497" s="77"/>
      <c r="C497" s="78"/>
      <c r="D497" s="81"/>
      <c r="E497" s="81"/>
      <c r="F497" s="79">
        <f t="shared" si="7"/>
        <v>0</v>
      </c>
      <c r="G497" s="80"/>
    </row>
    <row r="498" spans="1:7" x14ac:dyDescent="0.2">
      <c r="A498" s="76"/>
      <c r="B498" s="77"/>
      <c r="C498" s="78"/>
      <c r="D498" s="81"/>
      <c r="E498" s="81"/>
      <c r="F498" s="79">
        <f t="shared" si="7"/>
        <v>0</v>
      </c>
      <c r="G498" s="78"/>
    </row>
    <row r="499" spans="1:7" x14ac:dyDescent="0.2">
      <c r="A499" s="76"/>
      <c r="B499" s="77"/>
      <c r="C499" s="78"/>
      <c r="D499" s="81"/>
      <c r="E499" s="81"/>
      <c r="F499" s="79">
        <f t="shared" si="7"/>
        <v>0</v>
      </c>
      <c r="G499" s="78"/>
    </row>
    <row r="500" spans="1:7" x14ac:dyDescent="0.2">
      <c r="A500" s="76"/>
      <c r="B500" s="77"/>
      <c r="C500" s="78"/>
      <c r="D500" s="81"/>
      <c r="E500" s="81"/>
      <c r="F500" s="79">
        <f t="shared" si="7"/>
        <v>0</v>
      </c>
      <c r="G500" s="78"/>
    </row>
    <row r="501" spans="1:7" x14ac:dyDescent="0.2">
      <c r="A501" s="76"/>
      <c r="B501" s="77"/>
      <c r="C501" s="78"/>
      <c r="D501" s="81"/>
      <c r="E501" s="81"/>
      <c r="F501" s="79">
        <f t="shared" si="7"/>
        <v>0</v>
      </c>
      <c r="G501" s="78"/>
    </row>
    <row r="502" spans="1:7" x14ac:dyDescent="0.2">
      <c r="A502" s="76"/>
      <c r="B502" s="77"/>
      <c r="C502" s="78"/>
      <c r="D502" s="81"/>
      <c r="E502" s="81"/>
      <c r="F502" s="79">
        <f t="shared" si="7"/>
        <v>0</v>
      </c>
      <c r="G502" s="78"/>
    </row>
    <row r="503" spans="1:7" x14ac:dyDescent="0.2">
      <c r="A503" s="76"/>
      <c r="B503" s="77"/>
      <c r="C503" s="78"/>
      <c r="D503" s="81"/>
      <c r="E503" s="81"/>
      <c r="F503" s="79">
        <f t="shared" si="7"/>
        <v>0</v>
      </c>
      <c r="G503" s="78"/>
    </row>
    <row r="504" spans="1:7" x14ac:dyDescent="0.2">
      <c r="A504" s="76"/>
      <c r="B504" s="77"/>
      <c r="C504" s="78"/>
      <c r="D504" s="81"/>
      <c r="E504" s="81"/>
      <c r="F504" s="79">
        <f t="shared" si="7"/>
        <v>0</v>
      </c>
      <c r="G504" s="77"/>
    </row>
    <row r="505" spans="1:7" x14ac:dyDescent="0.2">
      <c r="A505" s="76"/>
      <c r="B505" s="77"/>
      <c r="C505" s="78"/>
      <c r="D505" s="81"/>
      <c r="E505" s="81"/>
      <c r="F505" s="79">
        <f t="shared" si="7"/>
        <v>0</v>
      </c>
      <c r="G505" s="78"/>
    </row>
    <row r="506" spans="1:7" x14ac:dyDescent="0.2">
      <c r="A506" s="76"/>
      <c r="B506" s="77"/>
      <c r="C506" s="78"/>
      <c r="D506" s="81"/>
      <c r="E506" s="81"/>
      <c r="F506" s="79">
        <f t="shared" si="7"/>
        <v>0</v>
      </c>
      <c r="G506" s="78"/>
    </row>
    <row r="507" spans="1:7" x14ac:dyDescent="0.2">
      <c r="A507" s="76"/>
      <c r="B507" s="77"/>
      <c r="C507" s="78"/>
      <c r="D507" s="81"/>
      <c r="E507" s="81"/>
      <c r="F507" s="79">
        <f t="shared" si="7"/>
        <v>0</v>
      </c>
      <c r="G507" s="80"/>
    </row>
    <row r="508" spans="1:7" x14ac:dyDescent="0.2">
      <c r="A508" s="76"/>
      <c r="B508" s="77"/>
      <c r="C508" s="78"/>
      <c r="D508" s="81"/>
      <c r="E508" s="81"/>
      <c r="F508" s="79">
        <f t="shared" si="7"/>
        <v>0</v>
      </c>
      <c r="G508" s="78"/>
    </row>
    <row r="509" spans="1:7" x14ac:dyDescent="0.2">
      <c r="A509" s="76"/>
      <c r="B509" s="77"/>
      <c r="C509" s="78"/>
      <c r="D509" s="81"/>
      <c r="E509" s="81"/>
      <c r="F509" s="79">
        <f>E509-D509</f>
        <v>0</v>
      </c>
      <c r="G509" s="78"/>
    </row>
    <row r="510" spans="1:7" x14ac:dyDescent="0.2">
      <c r="A510" s="76"/>
      <c r="B510" s="77"/>
      <c r="C510" s="78"/>
      <c r="D510" s="81"/>
      <c r="E510" s="81"/>
      <c r="F510" s="79">
        <f t="shared" si="7"/>
        <v>0</v>
      </c>
      <c r="G510" s="80"/>
    </row>
    <row r="511" spans="1:7" x14ac:dyDescent="0.2">
      <c r="A511" s="76"/>
      <c r="B511" s="77"/>
      <c r="C511" s="78"/>
      <c r="D511" s="81"/>
      <c r="E511" s="81"/>
      <c r="F511" s="79">
        <f t="shared" si="7"/>
        <v>0</v>
      </c>
      <c r="G511" s="78"/>
    </row>
    <row r="512" spans="1:7" x14ac:dyDescent="0.2">
      <c r="A512" s="76"/>
      <c r="B512" s="77"/>
      <c r="C512" s="78"/>
      <c r="D512" s="81"/>
      <c r="E512" s="81"/>
      <c r="F512" s="79">
        <f t="shared" si="7"/>
        <v>0</v>
      </c>
      <c r="G512" s="80"/>
    </row>
    <row r="513" spans="1:7" x14ac:dyDescent="0.2">
      <c r="A513" s="76"/>
      <c r="C513" s="78"/>
      <c r="D513" s="81"/>
      <c r="E513" s="81"/>
      <c r="F513" s="79">
        <f t="shared" si="7"/>
        <v>0</v>
      </c>
      <c r="G513" s="78"/>
    </row>
    <row r="514" spans="1:7" x14ac:dyDescent="0.2">
      <c r="A514" s="76"/>
      <c r="B514" s="77"/>
      <c r="C514" s="78"/>
      <c r="D514" s="81"/>
      <c r="E514" s="81"/>
      <c r="F514" s="79">
        <f t="shared" si="7"/>
        <v>0</v>
      </c>
      <c r="G514" s="78"/>
    </row>
    <row r="515" spans="1:7" x14ac:dyDescent="0.2">
      <c r="A515" s="76"/>
      <c r="B515" s="77"/>
      <c r="C515" s="78"/>
      <c r="D515" s="81"/>
      <c r="E515" s="81"/>
      <c r="F515" s="79">
        <f t="shared" si="7"/>
        <v>0</v>
      </c>
      <c r="G515" s="77"/>
    </row>
    <row r="516" spans="1:7" x14ac:dyDescent="0.2">
      <c r="A516" s="76"/>
      <c r="B516" s="77"/>
      <c r="C516" s="78"/>
      <c r="D516" s="81"/>
      <c r="E516" s="81"/>
      <c r="F516" s="79">
        <f t="shared" si="7"/>
        <v>0</v>
      </c>
      <c r="G516" s="78"/>
    </row>
    <row r="517" spans="1:7" x14ac:dyDescent="0.2">
      <c r="A517" s="76"/>
      <c r="B517" s="77"/>
      <c r="C517" s="78"/>
      <c r="D517" s="81"/>
      <c r="E517" s="81"/>
      <c r="F517" s="79">
        <f t="shared" si="7"/>
        <v>0</v>
      </c>
      <c r="G517" s="78"/>
    </row>
    <row r="518" spans="1:7" x14ac:dyDescent="0.2">
      <c r="A518" s="76"/>
      <c r="B518" s="77"/>
      <c r="C518" s="78"/>
      <c r="D518" s="81"/>
      <c r="E518" s="81"/>
      <c r="F518" s="79">
        <f t="shared" si="7"/>
        <v>0</v>
      </c>
      <c r="G518" s="78"/>
    </row>
    <row r="519" spans="1:7" x14ac:dyDescent="0.2">
      <c r="A519" s="76"/>
      <c r="B519" s="77"/>
      <c r="C519" s="78"/>
      <c r="D519" s="81"/>
      <c r="E519" s="81"/>
      <c r="F519" s="79">
        <f t="shared" si="7"/>
        <v>0</v>
      </c>
      <c r="G519" s="78"/>
    </row>
    <row r="520" spans="1:7" x14ac:dyDescent="0.2">
      <c r="A520" s="76"/>
      <c r="B520" s="77"/>
      <c r="C520" s="78"/>
      <c r="D520" s="81"/>
      <c r="E520" s="81"/>
      <c r="F520" s="79">
        <f t="shared" si="7"/>
        <v>0</v>
      </c>
      <c r="G520" s="77"/>
    </row>
    <row r="521" spans="1:7" x14ac:dyDescent="0.2">
      <c r="A521" s="76"/>
      <c r="B521" s="77"/>
      <c r="C521" s="78"/>
      <c r="D521" s="81"/>
      <c r="E521" s="81"/>
      <c r="F521" s="79">
        <f t="shared" si="7"/>
        <v>0</v>
      </c>
      <c r="G521" s="78"/>
    </row>
    <row r="522" spans="1:7" x14ac:dyDescent="0.2">
      <c r="A522" s="76"/>
      <c r="B522" s="77"/>
      <c r="C522" s="78"/>
      <c r="D522" s="81"/>
      <c r="E522" s="81"/>
      <c r="F522" s="79">
        <f t="shared" si="7"/>
        <v>0</v>
      </c>
      <c r="G522" s="78"/>
    </row>
    <row r="523" spans="1:7" x14ac:dyDescent="0.2">
      <c r="A523" s="76"/>
      <c r="B523" s="77"/>
      <c r="C523" s="78"/>
      <c r="D523" s="81"/>
      <c r="E523" s="81"/>
      <c r="F523" s="79">
        <f t="shared" si="7"/>
        <v>0</v>
      </c>
      <c r="G523" s="78"/>
    </row>
    <row r="524" spans="1:7" x14ac:dyDescent="0.2">
      <c r="A524" s="76"/>
      <c r="B524" s="77"/>
      <c r="C524" s="78"/>
      <c r="D524" s="81"/>
      <c r="E524" s="81"/>
      <c r="F524" s="79">
        <f t="shared" si="7"/>
        <v>0</v>
      </c>
      <c r="G524" s="78"/>
    </row>
    <row r="525" spans="1:7" x14ac:dyDescent="0.2">
      <c r="A525" s="76"/>
      <c r="B525" s="77"/>
      <c r="C525" s="78"/>
      <c r="D525" s="81"/>
      <c r="E525" s="81"/>
      <c r="F525" s="79">
        <f t="shared" si="7"/>
        <v>0</v>
      </c>
      <c r="G525" s="78"/>
    </row>
    <row r="526" spans="1:7" x14ac:dyDescent="0.2">
      <c r="A526" s="76"/>
      <c r="B526" s="77"/>
      <c r="C526" s="78"/>
      <c r="D526" s="81"/>
      <c r="E526" s="81"/>
      <c r="F526" s="79">
        <f t="shared" ref="F526:F589" si="8">E526-D526</f>
        <v>0</v>
      </c>
      <c r="G526" s="78"/>
    </row>
    <row r="527" spans="1:7" x14ac:dyDescent="0.2">
      <c r="A527" s="76"/>
      <c r="B527" s="77"/>
      <c r="C527" s="78"/>
      <c r="D527" s="81"/>
      <c r="E527" s="81"/>
      <c r="F527" s="79">
        <f t="shared" si="8"/>
        <v>0</v>
      </c>
      <c r="G527" s="78"/>
    </row>
    <row r="528" spans="1:7" x14ac:dyDescent="0.2">
      <c r="A528" s="76"/>
      <c r="B528" s="77"/>
      <c r="C528" s="78"/>
      <c r="D528" s="81"/>
      <c r="E528" s="81"/>
      <c r="F528" s="79">
        <f t="shared" si="8"/>
        <v>0</v>
      </c>
      <c r="G528" s="78"/>
    </row>
    <row r="529" spans="1:7" x14ac:dyDescent="0.2">
      <c r="A529" s="76"/>
      <c r="B529" s="77"/>
      <c r="C529" s="78"/>
      <c r="D529" s="81"/>
      <c r="E529" s="81"/>
      <c r="F529" s="79">
        <f t="shared" si="8"/>
        <v>0</v>
      </c>
      <c r="G529" s="78"/>
    </row>
    <row r="530" spans="1:7" x14ac:dyDescent="0.2">
      <c r="A530" s="76"/>
      <c r="B530" s="77"/>
      <c r="C530" s="78"/>
      <c r="D530" s="81"/>
      <c r="E530" s="81"/>
      <c r="F530" s="79">
        <f t="shared" si="8"/>
        <v>0</v>
      </c>
      <c r="G530" s="78"/>
    </row>
    <row r="531" spans="1:7" x14ac:dyDescent="0.2">
      <c r="A531" s="76"/>
      <c r="B531" s="77"/>
      <c r="C531" s="78"/>
      <c r="D531" s="81"/>
      <c r="E531" s="81"/>
      <c r="F531" s="79">
        <f t="shared" si="8"/>
        <v>0</v>
      </c>
      <c r="G531" s="78"/>
    </row>
    <row r="532" spans="1:7" x14ac:dyDescent="0.2">
      <c r="A532" s="76"/>
      <c r="B532" s="77"/>
      <c r="C532" s="78"/>
      <c r="D532" s="81"/>
      <c r="E532" s="81"/>
      <c r="F532" s="79">
        <f t="shared" si="8"/>
        <v>0</v>
      </c>
      <c r="G532" s="78"/>
    </row>
    <row r="533" spans="1:7" x14ac:dyDescent="0.2">
      <c r="A533" s="76"/>
      <c r="B533" s="77"/>
      <c r="C533" s="78"/>
      <c r="D533" s="81"/>
      <c r="E533" s="81"/>
      <c r="F533" s="79">
        <f t="shared" si="8"/>
        <v>0</v>
      </c>
      <c r="G533" s="78"/>
    </row>
    <row r="534" spans="1:7" x14ac:dyDescent="0.2">
      <c r="A534" s="76"/>
      <c r="B534" s="77"/>
      <c r="C534" s="78"/>
      <c r="D534" s="81"/>
      <c r="E534" s="81"/>
      <c r="F534" s="79">
        <f t="shared" si="8"/>
        <v>0</v>
      </c>
      <c r="G534" s="78"/>
    </row>
    <row r="535" spans="1:7" x14ac:dyDescent="0.2">
      <c r="A535" s="76"/>
      <c r="B535" s="77"/>
      <c r="C535" s="78"/>
      <c r="D535" s="81"/>
      <c r="E535" s="81"/>
      <c r="F535" s="79">
        <f t="shared" si="8"/>
        <v>0</v>
      </c>
      <c r="G535" s="78"/>
    </row>
    <row r="536" spans="1:7" x14ac:dyDescent="0.2">
      <c r="A536" s="76"/>
      <c r="B536" s="77"/>
      <c r="C536" s="78"/>
      <c r="D536" s="81"/>
      <c r="E536" s="81"/>
      <c r="F536" s="79">
        <f t="shared" si="8"/>
        <v>0</v>
      </c>
      <c r="G536" s="78"/>
    </row>
    <row r="537" spans="1:7" x14ac:dyDescent="0.2">
      <c r="A537" s="76"/>
      <c r="B537" s="77"/>
      <c r="C537" s="78"/>
      <c r="D537" s="81"/>
      <c r="E537" s="81"/>
      <c r="F537" s="79">
        <f t="shared" si="8"/>
        <v>0</v>
      </c>
      <c r="G537" s="78"/>
    </row>
    <row r="538" spans="1:7" x14ac:dyDescent="0.2">
      <c r="A538" s="76"/>
      <c r="B538" s="77"/>
      <c r="C538" s="78"/>
      <c r="D538" s="81"/>
      <c r="E538" s="81"/>
      <c r="F538" s="79">
        <f t="shared" si="8"/>
        <v>0</v>
      </c>
      <c r="G538" s="78"/>
    </row>
    <row r="539" spans="1:7" x14ac:dyDescent="0.2">
      <c r="A539" s="76"/>
      <c r="B539" s="77"/>
      <c r="C539" s="78"/>
      <c r="D539" s="81"/>
      <c r="E539" s="81"/>
      <c r="F539" s="79">
        <f t="shared" si="8"/>
        <v>0</v>
      </c>
      <c r="G539" s="78"/>
    </row>
    <row r="540" spans="1:7" x14ac:dyDescent="0.2">
      <c r="A540" s="76"/>
      <c r="B540" s="77"/>
      <c r="C540" s="78"/>
      <c r="D540" s="81"/>
      <c r="E540" s="81"/>
      <c r="F540" s="79">
        <f t="shared" si="8"/>
        <v>0</v>
      </c>
      <c r="G540" s="78"/>
    </row>
    <row r="541" spans="1:7" x14ac:dyDescent="0.2">
      <c r="A541" s="76"/>
      <c r="B541" s="77"/>
      <c r="C541" s="78"/>
      <c r="D541" s="81"/>
      <c r="E541" s="81"/>
      <c r="F541" s="79">
        <f t="shared" si="8"/>
        <v>0</v>
      </c>
      <c r="G541" s="78"/>
    </row>
    <row r="542" spans="1:7" x14ac:dyDescent="0.2">
      <c r="A542" s="76"/>
      <c r="B542" s="77"/>
      <c r="C542" s="78"/>
      <c r="D542" s="81"/>
      <c r="E542" s="81"/>
      <c r="F542" s="79">
        <f t="shared" si="8"/>
        <v>0</v>
      </c>
      <c r="G542" s="78"/>
    </row>
    <row r="543" spans="1:7" x14ac:dyDescent="0.2">
      <c r="A543" s="76"/>
      <c r="B543" s="77"/>
      <c r="C543" s="78"/>
      <c r="D543" s="81"/>
      <c r="E543" s="81"/>
      <c r="F543" s="79">
        <f t="shared" si="8"/>
        <v>0</v>
      </c>
      <c r="G543" s="77"/>
    </row>
    <row r="544" spans="1:7" x14ac:dyDescent="0.2">
      <c r="A544" s="76"/>
      <c r="B544" s="77"/>
      <c r="C544" s="78"/>
      <c r="D544" s="81"/>
      <c r="E544" s="81"/>
      <c r="F544" s="79">
        <f t="shared" si="8"/>
        <v>0</v>
      </c>
      <c r="G544" s="78"/>
    </row>
    <row r="545" spans="1:7" x14ac:dyDescent="0.2">
      <c r="A545" s="76"/>
      <c r="B545" s="77"/>
      <c r="C545" s="78"/>
      <c r="D545" s="81"/>
      <c r="E545" s="81"/>
      <c r="F545" s="79">
        <f t="shared" si="8"/>
        <v>0</v>
      </c>
      <c r="G545" s="78"/>
    </row>
    <row r="546" spans="1:7" x14ac:dyDescent="0.2">
      <c r="A546" s="76"/>
      <c r="B546" s="77"/>
      <c r="C546" s="78"/>
      <c r="D546" s="81"/>
      <c r="E546" s="81"/>
      <c r="F546" s="79">
        <f t="shared" si="8"/>
        <v>0</v>
      </c>
      <c r="G546" s="78"/>
    </row>
    <row r="547" spans="1:7" x14ac:dyDescent="0.2">
      <c r="A547" s="76"/>
      <c r="B547" s="77"/>
      <c r="C547" s="78"/>
      <c r="D547" s="81"/>
      <c r="E547" s="81"/>
      <c r="F547" s="79">
        <f t="shared" si="8"/>
        <v>0</v>
      </c>
      <c r="G547" s="78"/>
    </row>
    <row r="548" spans="1:7" x14ac:dyDescent="0.2">
      <c r="A548" s="76"/>
      <c r="B548" s="77"/>
      <c r="C548" s="78"/>
      <c r="D548" s="81"/>
      <c r="E548" s="81"/>
      <c r="F548" s="79">
        <f t="shared" si="8"/>
        <v>0</v>
      </c>
      <c r="G548" s="78"/>
    </row>
    <row r="549" spans="1:7" x14ac:dyDescent="0.2">
      <c r="A549" s="76"/>
      <c r="B549" s="77"/>
      <c r="C549" s="78"/>
      <c r="D549" s="81"/>
      <c r="E549" s="81"/>
      <c r="F549" s="79">
        <f t="shared" si="8"/>
        <v>0</v>
      </c>
      <c r="G549" s="78"/>
    </row>
    <row r="550" spans="1:7" x14ac:dyDescent="0.2">
      <c r="A550" s="76"/>
      <c r="B550" s="77"/>
      <c r="C550" s="78"/>
      <c r="D550" s="81"/>
      <c r="E550" s="81"/>
      <c r="F550" s="79">
        <f t="shared" si="8"/>
        <v>0</v>
      </c>
      <c r="G550" s="78"/>
    </row>
    <row r="551" spans="1:7" x14ac:dyDescent="0.2">
      <c r="A551" s="76"/>
      <c r="B551" s="77"/>
      <c r="C551" s="78"/>
      <c r="D551" s="81"/>
      <c r="E551" s="81"/>
      <c r="F551" s="79">
        <f t="shared" si="8"/>
        <v>0</v>
      </c>
      <c r="G551" s="78"/>
    </row>
    <row r="552" spans="1:7" x14ac:dyDescent="0.2">
      <c r="A552" s="76"/>
      <c r="B552" s="77"/>
      <c r="C552" s="78"/>
      <c r="D552" s="81"/>
      <c r="E552" s="81"/>
      <c r="F552" s="79">
        <f t="shared" si="8"/>
        <v>0</v>
      </c>
      <c r="G552" s="78"/>
    </row>
    <row r="553" spans="1:7" x14ac:dyDescent="0.2">
      <c r="A553" s="76"/>
      <c r="B553" s="77"/>
      <c r="C553" s="78"/>
      <c r="D553" s="81"/>
      <c r="E553" s="81"/>
      <c r="F553" s="79">
        <f t="shared" si="8"/>
        <v>0</v>
      </c>
      <c r="G553" s="78"/>
    </row>
    <row r="554" spans="1:7" x14ac:dyDescent="0.2">
      <c r="A554" s="76"/>
      <c r="B554" s="77"/>
      <c r="C554" s="78"/>
      <c r="D554" s="81"/>
      <c r="E554" s="81"/>
      <c r="F554" s="79">
        <f t="shared" si="8"/>
        <v>0</v>
      </c>
      <c r="G554" s="78"/>
    </row>
    <row r="555" spans="1:7" x14ac:dyDescent="0.2">
      <c r="A555" s="76"/>
      <c r="B555" s="77"/>
      <c r="C555" s="78"/>
      <c r="D555" s="81"/>
      <c r="E555" s="81"/>
      <c r="F555" s="79">
        <f t="shared" si="8"/>
        <v>0</v>
      </c>
      <c r="G555" s="78"/>
    </row>
    <row r="556" spans="1:7" x14ac:dyDescent="0.2">
      <c r="A556" s="76"/>
      <c r="B556" s="77"/>
      <c r="C556" s="78"/>
      <c r="D556" s="81"/>
      <c r="E556" s="81"/>
      <c r="F556" s="79">
        <f t="shared" si="8"/>
        <v>0</v>
      </c>
      <c r="G556" s="78"/>
    </row>
    <row r="557" spans="1:7" x14ac:dyDescent="0.2">
      <c r="A557" s="76"/>
      <c r="B557" s="77"/>
      <c r="C557" s="78"/>
      <c r="D557" s="81"/>
      <c r="E557" s="81"/>
      <c r="F557" s="79">
        <f t="shared" si="8"/>
        <v>0</v>
      </c>
      <c r="G557" s="78"/>
    </row>
    <row r="558" spans="1:7" x14ac:dyDescent="0.2">
      <c r="A558" s="76"/>
      <c r="B558" s="77"/>
      <c r="C558" s="78"/>
      <c r="D558" s="81"/>
      <c r="E558" s="81"/>
      <c r="F558" s="79">
        <f t="shared" si="8"/>
        <v>0</v>
      </c>
      <c r="G558" s="78"/>
    </row>
    <row r="559" spans="1:7" x14ac:dyDescent="0.2">
      <c r="A559" s="76"/>
      <c r="B559" s="77"/>
      <c r="C559" s="78"/>
      <c r="D559" s="81"/>
      <c r="E559" s="81"/>
      <c r="F559" s="79">
        <f t="shared" si="8"/>
        <v>0</v>
      </c>
      <c r="G559" s="78"/>
    </row>
    <row r="560" spans="1:7" x14ac:dyDescent="0.2">
      <c r="A560" s="76"/>
      <c r="B560" s="77"/>
      <c r="C560" s="78"/>
      <c r="D560" s="81"/>
      <c r="E560" s="81"/>
      <c r="F560" s="79">
        <f t="shared" si="8"/>
        <v>0</v>
      </c>
      <c r="G560" s="78"/>
    </row>
    <row r="561" spans="1:7" x14ac:dyDescent="0.2">
      <c r="A561" s="76"/>
      <c r="B561" s="77"/>
      <c r="C561" s="78"/>
      <c r="D561" s="81"/>
      <c r="E561" s="81"/>
      <c r="F561" s="79">
        <f t="shared" si="8"/>
        <v>0</v>
      </c>
      <c r="G561" s="78"/>
    </row>
    <row r="562" spans="1:7" x14ac:dyDescent="0.2">
      <c r="A562" s="76"/>
      <c r="B562" s="77"/>
      <c r="C562" s="78"/>
      <c r="D562" s="81"/>
      <c r="E562" s="81"/>
      <c r="F562" s="79">
        <f t="shared" si="8"/>
        <v>0</v>
      </c>
      <c r="G562" s="78"/>
    </row>
    <row r="563" spans="1:7" x14ac:dyDescent="0.2">
      <c r="A563" s="76"/>
      <c r="B563" s="77"/>
      <c r="C563" s="78"/>
      <c r="D563" s="81"/>
      <c r="E563" s="81"/>
      <c r="F563" s="79">
        <f t="shared" si="8"/>
        <v>0</v>
      </c>
      <c r="G563" s="78"/>
    </row>
    <row r="564" spans="1:7" x14ac:dyDescent="0.2">
      <c r="A564" s="76"/>
      <c r="B564" s="77"/>
      <c r="C564" s="78"/>
      <c r="D564" s="81"/>
      <c r="E564" s="81"/>
      <c r="F564" s="79">
        <f t="shared" si="8"/>
        <v>0</v>
      </c>
      <c r="G564" s="78"/>
    </row>
    <row r="565" spans="1:7" x14ac:dyDescent="0.2">
      <c r="A565" s="76"/>
      <c r="B565" s="77"/>
      <c r="C565" s="78"/>
      <c r="D565" s="81"/>
      <c r="E565" s="81"/>
      <c r="F565" s="79">
        <f t="shared" si="8"/>
        <v>0</v>
      </c>
      <c r="G565" s="78"/>
    </row>
    <row r="566" spans="1:7" x14ac:dyDescent="0.2">
      <c r="A566" s="76"/>
      <c r="B566" s="77"/>
      <c r="C566" s="78"/>
      <c r="D566" s="81"/>
      <c r="E566" s="81"/>
      <c r="F566" s="79">
        <f t="shared" si="8"/>
        <v>0</v>
      </c>
      <c r="G566" s="78"/>
    </row>
    <row r="567" spans="1:7" x14ac:dyDescent="0.2">
      <c r="A567" s="76"/>
      <c r="B567" s="77"/>
      <c r="C567" s="78"/>
      <c r="D567" s="81"/>
      <c r="E567" s="81"/>
      <c r="F567" s="79">
        <f t="shared" si="8"/>
        <v>0</v>
      </c>
      <c r="G567" s="78"/>
    </row>
    <row r="568" spans="1:7" x14ac:dyDescent="0.2">
      <c r="A568" s="76"/>
      <c r="B568" s="77"/>
      <c r="C568" s="78"/>
      <c r="D568" s="81"/>
      <c r="E568" s="81"/>
      <c r="F568" s="79">
        <f t="shared" si="8"/>
        <v>0</v>
      </c>
      <c r="G568" s="78"/>
    </row>
    <row r="569" spans="1:7" x14ac:dyDescent="0.2">
      <c r="A569" s="76"/>
      <c r="B569" s="77"/>
      <c r="C569" s="78"/>
      <c r="D569" s="81"/>
      <c r="E569" s="81"/>
      <c r="F569" s="79">
        <f t="shared" si="8"/>
        <v>0</v>
      </c>
      <c r="G569" s="78"/>
    </row>
    <row r="570" spans="1:7" x14ac:dyDescent="0.2">
      <c r="A570" s="76"/>
      <c r="B570" s="77"/>
      <c r="C570" s="78"/>
      <c r="D570" s="81"/>
      <c r="E570" s="81"/>
      <c r="F570" s="79">
        <f t="shared" si="8"/>
        <v>0</v>
      </c>
      <c r="G570" s="80"/>
    </row>
    <row r="571" spans="1:7" x14ac:dyDescent="0.2">
      <c r="A571" s="76"/>
      <c r="B571" s="77"/>
      <c r="C571" s="78"/>
      <c r="D571" s="81"/>
      <c r="E571" s="81"/>
      <c r="F571" s="79">
        <f t="shared" si="8"/>
        <v>0</v>
      </c>
      <c r="G571" s="80"/>
    </row>
    <row r="572" spans="1:7" x14ac:dyDescent="0.2">
      <c r="A572" s="76"/>
      <c r="B572" s="77"/>
      <c r="C572" s="78"/>
      <c r="D572" s="81"/>
      <c r="E572" s="81"/>
      <c r="F572" s="79">
        <f t="shared" si="8"/>
        <v>0</v>
      </c>
      <c r="G572" s="78"/>
    </row>
    <row r="573" spans="1:7" x14ac:dyDescent="0.2">
      <c r="A573" s="76"/>
      <c r="B573" s="77"/>
      <c r="C573" s="78"/>
      <c r="D573" s="81"/>
      <c r="E573" s="81"/>
      <c r="F573" s="79">
        <f t="shared" si="8"/>
        <v>0</v>
      </c>
      <c r="G573" s="80"/>
    </row>
    <row r="574" spans="1:7" x14ac:dyDescent="0.2">
      <c r="A574" s="76"/>
      <c r="B574" s="77"/>
      <c r="C574" s="78"/>
      <c r="D574" s="81"/>
      <c r="E574" s="81"/>
      <c r="F574" s="79">
        <f t="shared" si="8"/>
        <v>0</v>
      </c>
      <c r="G574" s="78"/>
    </row>
    <row r="575" spans="1:7" x14ac:dyDescent="0.2">
      <c r="A575" s="76"/>
      <c r="B575" s="77"/>
      <c r="C575" s="78"/>
      <c r="D575" s="81"/>
      <c r="E575" s="81"/>
      <c r="F575" s="79">
        <f t="shared" si="8"/>
        <v>0</v>
      </c>
      <c r="G575" s="78"/>
    </row>
    <row r="576" spans="1:7" x14ac:dyDescent="0.2">
      <c r="A576" s="76"/>
      <c r="B576" s="77"/>
      <c r="C576" s="78"/>
      <c r="D576" s="81"/>
      <c r="E576" s="81"/>
      <c r="F576" s="79">
        <f t="shared" si="8"/>
        <v>0</v>
      </c>
      <c r="G576" s="78"/>
    </row>
    <row r="577" spans="1:7" x14ac:dyDescent="0.2">
      <c r="A577" s="76"/>
      <c r="B577" s="77"/>
      <c r="C577" s="78"/>
      <c r="D577" s="81"/>
      <c r="E577" s="81"/>
      <c r="F577" s="79">
        <f t="shared" si="8"/>
        <v>0</v>
      </c>
      <c r="G577" s="78"/>
    </row>
    <row r="578" spans="1:7" x14ac:dyDescent="0.2">
      <c r="A578" s="76"/>
      <c r="B578" s="77"/>
      <c r="C578" s="78"/>
      <c r="D578" s="81"/>
      <c r="E578" s="81"/>
      <c r="F578" s="79">
        <f t="shared" si="8"/>
        <v>0</v>
      </c>
      <c r="G578" s="78"/>
    </row>
    <row r="579" spans="1:7" x14ac:dyDescent="0.2">
      <c r="A579" s="76"/>
      <c r="B579" s="77"/>
      <c r="C579" s="78"/>
      <c r="D579" s="81"/>
      <c r="E579" s="81"/>
      <c r="F579" s="79">
        <f t="shared" si="8"/>
        <v>0</v>
      </c>
      <c r="G579" s="80"/>
    </row>
    <row r="580" spans="1:7" x14ac:dyDescent="0.2">
      <c r="A580" s="76"/>
      <c r="B580" s="77"/>
      <c r="C580" s="78"/>
      <c r="D580" s="81"/>
      <c r="E580" s="81"/>
      <c r="F580" s="79">
        <f>E580-D580</f>
        <v>0</v>
      </c>
      <c r="G580" s="78"/>
    </row>
    <row r="581" spans="1:7" x14ac:dyDescent="0.2">
      <c r="A581" s="76"/>
      <c r="B581" s="77"/>
      <c r="C581" s="78"/>
      <c r="D581" s="81"/>
      <c r="E581" s="81"/>
      <c r="F581" s="79">
        <f>E581-D581</f>
        <v>0</v>
      </c>
      <c r="G581" s="78"/>
    </row>
    <row r="582" spans="1:7" x14ac:dyDescent="0.2">
      <c r="A582" s="76"/>
      <c r="B582" s="77"/>
      <c r="C582" s="78"/>
      <c r="D582" s="81"/>
      <c r="E582" s="81"/>
      <c r="F582" s="79">
        <f>E582-D582</f>
        <v>0</v>
      </c>
      <c r="G582" s="78"/>
    </row>
    <row r="583" spans="1:7" x14ac:dyDescent="0.2">
      <c r="A583" s="76"/>
      <c r="B583" s="77"/>
      <c r="C583" s="78"/>
      <c r="D583" s="81"/>
      <c r="E583" s="81"/>
      <c r="F583" s="79">
        <f>E583-D583</f>
        <v>0</v>
      </c>
      <c r="G583" s="78"/>
    </row>
    <row r="584" spans="1:7" x14ac:dyDescent="0.2">
      <c r="A584" s="76"/>
      <c r="B584" s="77"/>
      <c r="C584" s="78"/>
      <c r="D584" s="81"/>
      <c r="E584" s="81"/>
      <c r="F584" s="79">
        <f t="shared" si="8"/>
        <v>0</v>
      </c>
      <c r="G584" s="78"/>
    </row>
    <row r="585" spans="1:7" x14ac:dyDescent="0.2">
      <c r="A585" s="76"/>
      <c r="B585" s="77"/>
      <c r="C585" s="78"/>
      <c r="D585" s="81"/>
      <c r="E585" s="81"/>
      <c r="F585" s="79">
        <f t="shared" si="8"/>
        <v>0</v>
      </c>
      <c r="G585" s="78"/>
    </row>
    <row r="586" spans="1:7" x14ac:dyDescent="0.2">
      <c r="A586" s="76"/>
      <c r="B586" s="77"/>
      <c r="C586" s="78"/>
      <c r="D586" s="81"/>
      <c r="E586" s="81"/>
      <c r="F586" s="79">
        <f t="shared" si="8"/>
        <v>0</v>
      </c>
      <c r="G586" s="78"/>
    </row>
    <row r="587" spans="1:7" x14ac:dyDescent="0.2">
      <c r="A587" s="76"/>
      <c r="B587" s="77"/>
      <c r="C587" s="78"/>
      <c r="D587" s="81"/>
      <c r="E587" s="81"/>
      <c r="F587" s="79">
        <f t="shared" si="8"/>
        <v>0</v>
      </c>
      <c r="G587" s="78"/>
    </row>
    <row r="588" spans="1:7" x14ac:dyDescent="0.2">
      <c r="A588" s="76"/>
      <c r="B588" s="77"/>
      <c r="C588" s="78"/>
      <c r="D588" s="81"/>
      <c r="E588" s="81"/>
      <c r="F588" s="79">
        <f t="shared" si="8"/>
        <v>0</v>
      </c>
      <c r="G588" s="78"/>
    </row>
    <row r="589" spans="1:7" x14ac:dyDescent="0.2">
      <c r="A589" s="76"/>
      <c r="B589" s="77"/>
      <c r="C589" s="78"/>
      <c r="D589" s="81"/>
      <c r="E589" s="81"/>
      <c r="F589" s="79">
        <f t="shared" si="8"/>
        <v>0</v>
      </c>
      <c r="G589" s="78"/>
    </row>
    <row r="590" spans="1:7" x14ac:dyDescent="0.2">
      <c r="A590" s="76"/>
      <c r="B590" s="77"/>
      <c r="C590" s="78"/>
      <c r="D590" s="81"/>
      <c r="E590" s="81"/>
      <c r="F590" s="79">
        <f t="shared" ref="F590:F653" si="9">E590-D590</f>
        <v>0</v>
      </c>
      <c r="G590" s="78"/>
    </row>
    <row r="591" spans="1:7" x14ac:dyDescent="0.2">
      <c r="A591" s="76"/>
      <c r="B591" s="77"/>
      <c r="C591" s="78"/>
      <c r="D591" s="81"/>
      <c r="E591" s="81"/>
      <c r="F591" s="79">
        <f t="shared" si="9"/>
        <v>0</v>
      </c>
      <c r="G591" s="78"/>
    </row>
    <row r="592" spans="1:7" x14ac:dyDescent="0.2">
      <c r="A592" s="76"/>
      <c r="B592" s="77"/>
      <c r="C592" s="78"/>
      <c r="D592" s="81"/>
      <c r="E592" s="81"/>
      <c r="F592" s="79">
        <f t="shared" si="9"/>
        <v>0</v>
      </c>
      <c r="G592" s="78"/>
    </row>
    <row r="593" spans="1:7" x14ac:dyDescent="0.2">
      <c r="A593" s="76"/>
      <c r="B593" s="77"/>
      <c r="C593" s="78"/>
      <c r="D593" s="81"/>
      <c r="E593" s="81"/>
      <c r="F593" s="79">
        <f t="shared" si="9"/>
        <v>0</v>
      </c>
      <c r="G593" s="78"/>
    </row>
    <row r="594" spans="1:7" x14ac:dyDescent="0.2">
      <c r="A594" s="76"/>
      <c r="B594" s="77"/>
      <c r="C594" s="78"/>
      <c r="D594" s="81"/>
      <c r="E594" s="81"/>
      <c r="F594" s="79">
        <f t="shared" si="9"/>
        <v>0</v>
      </c>
      <c r="G594" s="78"/>
    </row>
    <row r="595" spans="1:7" x14ac:dyDescent="0.2">
      <c r="A595" s="76"/>
      <c r="B595" s="77"/>
      <c r="C595" s="78"/>
      <c r="D595" s="81"/>
      <c r="E595" s="81"/>
      <c r="F595" s="79">
        <f t="shared" si="9"/>
        <v>0</v>
      </c>
      <c r="G595" s="78"/>
    </row>
    <row r="596" spans="1:7" x14ac:dyDescent="0.2">
      <c r="A596" s="76"/>
      <c r="B596" s="77"/>
      <c r="C596" s="78"/>
      <c r="D596" s="81"/>
      <c r="E596" s="81"/>
      <c r="F596" s="79">
        <f t="shared" si="9"/>
        <v>0</v>
      </c>
      <c r="G596" s="78"/>
    </row>
    <row r="597" spans="1:7" x14ac:dyDescent="0.2">
      <c r="A597" s="76"/>
      <c r="B597" s="77"/>
      <c r="C597" s="78"/>
      <c r="D597" s="81"/>
      <c r="E597" s="81"/>
      <c r="F597" s="79">
        <f t="shared" si="9"/>
        <v>0</v>
      </c>
      <c r="G597" s="80"/>
    </row>
    <row r="598" spans="1:7" x14ac:dyDescent="0.2">
      <c r="A598" s="76"/>
      <c r="B598" s="77"/>
      <c r="C598" s="78"/>
      <c r="D598" s="81"/>
      <c r="E598" s="81"/>
      <c r="F598" s="79">
        <f t="shared" si="9"/>
        <v>0</v>
      </c>
      <c r="G598" s="80"/>
    </row>
    <row r="599" spans="1:7" x14ac:dyDescent="0.2">
      <c r="A599" s="76"/>
      <c r="B599" s="77"/>
      <c r="C599" s="78"/>
      <c r="D599" s="81"/>
      <c r="E599" s="81"/>
      <c r="F599" s="79">
        <f t="shared" si="9"/>
        <v>0</v>
      </c>
      <c r="G599" s="80"/>
    </row>
    <row r="600" spans="1:7" x14ac:dyDescent="0.2">
      <c r="A600" s="76"/>
      <c r="B600" s="77"/>
      <c r="C600" s="78"/>
      <c r="D600" s="81"/>
      <c r="E600" s="81"/>
      <c r="F600" s="79">
        <f t="shared" si="9"/>
        <v>0</v>
      </c>
      <c r="G600" s="80"/>
    </row>
    <row r="601" spans="1:7" x14ac:dyDescent="0.2">
      <c r="A601" s="76"/>
      <c r="B601" s="77"/>
      <c r="C601" s="78"/>
      <c r="D601" s="81"/>
      <c r="E601" s="81"/>
      <c r="F601" s="79">
        <f t="shared" si="9"/>
        <v>0</v>
      </c>
      <c r="G601" s="77"/>
    </row>
    <row r="602" spans="1:7" x14ac:dyDescent="0.2">
      <c r="A602" s="76"/>
      <c r="B602" s="77"/>
      <c r="C602" s="78"/>
      <c r="D602" s="81"/>
      <c r="E602" s="81"/>
      <c r="F602" s="79">
        <f t="shared" si="9"/>
        <v>0</v>
      </c>
      <c r="G602" s="80"/>
    </row>
    <row r="603" spans="1:7" x14ac:dyDescent="0.2">
      <c r="A603" s="76"/>
      <c r="B603" s="77"/>
      <c r="C603" s="78"/>
      <c r="D603" s="81"/>
      <c r="E603" s="81"/>
      <c r="F603" s="79">
        <f t="shared" si="9"/>
        <v>0</v>
      </c>
      <c r="G603" s="80"/>
    </row>
    <row r="604" spans="1:7" x14ac:dyDescent="0.2">
      <c r="A604" s="76"/>
      <c r="B604" s="77"/>
      <c r="C604" s="78"/>
      <c r="D604" s="81"/>
      <c r="E604" s="81"/>
      <c r="F604" s="79">
        <f t="shared" si="9"/>
        <v>0</v>
      </c>
      <c r="G604" s="80"/>
    </row>
    <row r="605" spans="1:7" x14ac:dyDescent="0.2">
      <c r="A605" s="76"/>
      <c r="B605" s="77"/>
      <c r="C605" s="78"/>
      <c r="D605" s="81"/>
      <c r="E605" s="81"/>
      <c r="F605" s="79">
        <f t="shared" si="9"/>
        <v>0</v>
      </c>
      <c r="G605" s="78"/>
    </row>
    <row r="606" spans="1:7" x14ac:dyDescent="0.2">
      <c r="A606" s="76"/>
      <c r="B606" s="77"/>
      <c r="C606" s="78"/>
      <c r="D606" s="81"/>
      <c r="E606" s="81"/>
      <c r="F606" s="79">
        <f t="shared" si="9"/>
        <v>0</v>
      </c>
      <c r="G606" s="78"/>
    </row>
    <row r="607" spans="1:7" x14ac:dyDescent="0.2">
      <c r="A607" s="76"/>
      <c r="B607" s="77"/>
      <c r="C607" s="78"/>
      <c r="D607" s="81"/>
      <c r="E607" s="81"/>
      <c r="F607" s="79">
        <f t="shared" si="9"/>
        <v>0</v>
      </c>
      <c r="G607" s="78"/>
    </row>
    <row r="608" spans="1:7" x14ac:dyDescent="0.2">
      <c r="A608" s="76"/>
      <c r="B608" s="77"/>
      <c r="C608" s="78"/>
      <c r="D608" s="81"/>
      <c r="E608" s="81"/>
      <c r="F608" s="79">
        <f t="shared" si="9"/>
        <v>0</v>
      </c>
      <c r="G608" s="78"/>
    </row>
    <row r="609" spans="1:7" x14ac:dyDescent="0.2">
      <c r="A609" s="76"/>
      <c r="B609" s="77"/>
      <c r="C609" s="78"/>
      <c r="D609" s="81"/>
      <c r="E609" s="81"/>
      <c r="F609" s="79">
        <f t="shared" si="9"/>
        <v>0</v>
      </c>
      <c r="G609" s="78"/>
    </row>
    <row r="610" spans="1:7" x14ac:dyDescent="0.2">
      <c r="A610" s="76"/>
      <c r="B610" s="77"/>
      <c r="C610" s="78"/>
      <c r="D610" s="81"/>
      <c r="E610" s="81"/>
      <c r="F610" s="79">
        <f t="shared" si="9"/>
        <v>0</v>
      </c>
      <c r="G610" s="78"/>
    </row>
    <row r="611" spans="1:7" x14ac:dyDescent="0.2">
      <c r="A611" s="76"/>
      <c r="B611" s="77"/>
      <c r="C611" s="78"/>
      <c r="D611" s="81"/>
      <c r="E611" s="81"/>
      <c r="F611" s="79">
        <f t="shared" si="9"/>
        <v>0</v>
      </c>
      <c r="G611" s="78"/>
    </row>
    <row r="612" spans="1:7" x14ac:dyDescent="0.2">
      <c r="A612" s="76"/>
      <c r="B612" s="77"/>
      <c r="C612" s="78"/>
      <c r="D612" s="81"/>
      <c r="E612" s="81"/>
      <c r="F612" s="79">
        <f t="shared" si="9"/>
        <v>0</v>
      </c>
      <c r="G612" s="78"/>
    </row>
    <row r="613" spans="1:7" x14ac:dyDescent="0.2">
      <c r="A613" s="76"/>
      <c r="B613" s="77"/>
      <c r="C613" s="78"/>
      <c r="D613" s="81"/>
      <c r="E613" s="81"/>
      <c r="F613" s="79">
        <f t="shared" si="9"/>
        <v>0</v>
      </c>
      <c r="G613" s="78"/>
    </row>
    <row r="614" spans="1:7" x14ac:dyDescent="0.2">
      <c r="A614" s="76"/>
      <c r="B614" s="77"/>
      <c r="C614" s="78"/>
      <c r="D614" s="81"/>
      <c r="E614" s="81"/>
      <c r="F614" s="79">
        <f t="shared" si="9"/>
        <v>0</v>
      </c>
      <c r="G614" s="78"/>
    </row>
    <row r="615" spans="1:7" x14ac:dyDescent="0.2">
      <c r="A615" s="76"/>
      <c r="B615" s="77"/>
      <c r="C615" s="78"/>
      <c r="D615" s="81"/>
      <c r="E615" s="81"/>
      <c r="F615" s="79">
        <f t="shared" si="9"/>
        <v>0</v>
      </c>
      <c r="G615" s="78"/>
    </row>
    <row r="616" spans="1:7" x14ac:dyDescent="0.2">
      <c r="A616" s="76"/>
      <c r="B616" s="77"/>
      <c r="C616" s="78"/>
      <c r="D616" s="81"/>
      <c r="E616" s="81"/>
      <c r="F616" s="79">
        <f t="shared" si="9"/>
        <v>0</v>
      </c>
      <c r="G616" s="78"/>
    </row>
    <row r="617" spans="1:7" x14ac:dyDescent="0.2">
      <c r="A617" s="76"/>
      <c r="B617" s="77"/>
      <c r="C617" s="78"/>
      <c r="D617" s="81"/>
      <c r="E617" s="81"/>
      <c r="F617" s="79">
        <f t="shared" si="9"/>
        <v>0</v>
      </c>
      <c r="G617" s="78"/>
    </row>
    <row r="618" spans="1:7" x14ac:dyDescent="0.2">
      <c r="A618" s="76"/>
      <c r="B618" s="77"/>
      <c r="C618" s="78"/>
      <c r="D618" s="81"/>
      <c r="E618" s="81"/>
      <c r="F618" s="79">
        <f t="shared" si="9"/>
        <v>0</v>
      </c>
      <c r="G618" s="78"/>
    </row>
    <row r="619" spans="1:7" x14ac:dyDescent="0.2">
      <c r="A619" s="76"/>
      <c r="B619" s="77"/>
      <c r="C619" s="78"/>
      <c r="D619" s="81"/>
      <c r="E619" s="81"/>
      <c r="F619" s="79">
        <f t="shared" si="9"/>
        <v>0</v>
      </c>
      <c r="G619" s="78"/>
    </row>
    <row r="620" spans="1:7" x14ac:dyDescent="0.2">
      <c r="A620" s="76"/>
      <c r="B620" s="77"/>
      <c r="C620" s="78"/>
      <c r="D620" s="81"/>
      <c r="E620" s="81"/>
      <c r="F620" s="79">
        <f t="shared" si="9"/>
        <v>0</v>
      </c>
      <c r="G620" s="80"/>
    </row>
    <row r="621" spans="1:7" x14ac:dyDescent="0.2">
      <c r="A621" s="76"/>
      <c r="B621" s="77"/>
      <c r="C621" s="78"/>
      <c r="D621" s="81"/>
      <c r="E621" s="81"/>
      <c r="F621" s="79">
        <f t="shared" si="9"/>
        <v>0</v>
      </c>
      <c r="G621" s="78"/>
    </row>
    <row r="622" spans="1:7" x14ac:dyDescent="0.2">
      <c r="A622" s="76"/>
      <c r="B622" s="77"/>
      <c r="C622" s="78"/>
      <c r="D622" s="81"/>
      <c r="E622" s="81"/>
      <c r="F622" s="79">
        <f t="shared" si="9"/>
        <v>0</v>
      </c>
      <c r="G622" s="78"/>
    </row>
    <row r="623" spans="1:7" x14ac:dyDescent="0.2">
      <c r="A623" s="76"/>
      <c r="B623" s="77"/>
      <c r="C623" s="78"/>
      <c r="D623" s="81"/>
      <c r="E623" s="81"/>
      <c r="F623" s="79">
        <f t="shared" si="9"/>
        <v>0</v>
      </c>
      <c r="G623" s="78"/>
    </row>
    <row r="624" spans="1:7" x14ac:dyDescent="0.2">
      <c r="A624" s="76"/>
      <c r="B624" s="77"/>
      <c r="C624" s="78"/>
      <c r="D624" s="81"/>
      <c r="E624" s="81"/>
      <c r="F624" s="79">
        <f t="shared" si="9"/>
        <v>0</v>
      </c>
      <c r="G624" s="78"/>
    </row>
    <row r="625" spans="1:7" x14ac:dyDescent="0.2">
      <c r="A625" s="76"/>
      <c r="B625" s="77"/>
      <c r="C625" s="78"/>
      <c r="D625" s="81"/>
      <c r="E625" s="81"/>
      <c r="F625" s="79">
        <f t="shared" si="9"/>
        <v>0</v>
      </c>
      <c r="G625" s="78"/>
    </row>
    <row r="626" spans="1:7" x14ac:dyDescent="0.2">
      <c r="A626" s="76"/>
      <c r="B626" s="77"/>
      <c r="C626" s="78"/>
      <c r="D626" s="81"/>
      <c r="E626" s="81"/>
      <c r="F626" s="79">
        <f t="shared" si="9"/>
        <v>0</v>
      </c>
      <c r="G626" s="78"/>
    </row>
    <row r="627" spans="1:7" x14ac:dyDescent="0.2">
      <c r="A627" s="76"/>
      <c r="B627" s="77"/>
      <c r="C627" s="78"/>
      <c r="D627" s="81"/>
      <c r="E627" s="81"/>
      <c r="F627" s="79">
        <f t="shared" si="9"/>
        <v>0</v>
      </c>
      <c r="G627" s="78"/>
    </row>
    <row r="628" spans="1:7" x14ac:dyDescent="0.2">
      <c r="A628" s="76"/>
      <c r="B628" s="77"/>
      <c r="C628" s="78"/>
      <c r="D628" s="81"/>
      <c r="E628" s="81"/>
      <c r="F628" s="79">
        <f t="shared" si="9"/>
        <v>0</v>
      </c>
      <c r="G628" s="78"/>
    </row>
    <row r="629" spans="1:7" x14ac:dyDescent="0.2">
      <c r="A629" s="76"/>
      <c r="B629" s="77"/>
      <c r="C629" s="78"/>
      <c r="D629" s="81"/>
      <c r="E629" s="81"/>
      <c r="F629" s="79">
        <f t="shared" si="9"/>
        <v>0</v>
      </c>
      <c r="G629" s="78"/>
    </row>
    <row r="630" spans="1:7" x14ac:dyDescent="0.2">
      <c r="A630" s="76"/>
      <c r="B630" s="77"/>
      <c r="C630" s="78"/>
      <c r="D630" s="81"/>
      <c r="E630" s="81"/>
      <c r="F630" s="79">
        <f t="shared" si="9"/>
        <v>0</v>
      </c>
      <c r="G630" s="78"/>
    </row>
    <row r="631" spans="1:7" x14ac:dyDescent="0.2">
      <c r="A631" s="76"/>
      <c r="B631" s="77"/>
      <c r="C631" s="78"/>
      <c r="D631" s="81"/>
      <c r="E631" s="81"/>
      <c r="F631" s="79">
        <f t="shared" si="9"/>
        <v>0</v>
      </c>
      <c r="G631" s="80"/>
    </row>
    <row r="632" spans="1:7" x14ac:dyDescent="0.2">
      <c r="A632" s="76"/>
      <c r="B632" s="77"/>
      <c r="C632" s="78"/>
      <c r="D632" s="81"/>
      <c r="E632" s="81"/>
      <c r="F632" s="79">
        <f t="shared" si="9"/>
        <v>0</v>
      </c>
      <c r="G632" s="78"/>
    </row>
    <row r="633" spans="1:7" x14ac:dyDescent="0.2">
      <c r="A633" s="76"/>
      <c r="B633" s="77"/>
      <c r="C633" s="78"/>
      <c r="D633" s="81"/>
      <c r="E633" s="81"/>
      <c r="F633" s="79">
        <f t="shared" si="9"/>
        <v>0</v>
      </c>
      <c r="G633" s="78"/>
    </row>
    <row r="634" spans="1:7" x14ac:dyDescent="0.2">
      <c r="A634" s="76"/>
      <c r="B634" s="77"/>
      <c r="C634" s="78"/>
      <c r="D634" s="81"/>
      <c r="E634" s="81"/>
      <c r="F634" s="79">
        <f t="shared" si="9"/>
        <v>0</v>
      </c>
      <c r="G634" s="78"/>
    </row>
    <row r="635" spans="1:7" x14ac:dyDescent="0.2">
      <c r="A635" s="76"/>
      <c r="B635" s="77"/>
      <c r="C635" s="78"/>
      <c r="D635" s="81"/>
      <c r="E635" s="81"/>
      <c r="F635" s="79">
        <f t="shared" si="9"/>
        <v>0</v>
      </c>
      <c r="G635" s="78"/>
    </row>
    <row r="636" spans="1:7" x14ac:dyDescent="0.2">
      <c r="A636" s="76"/>
      <c r="B636" s="77"/>
      <c r="C636" s="78"/>
      <c r="D636" s="81"/>
      <c r="E636" s="81"/>
      <c r="F636" s="79">
        <f t="shared" si="9"/>
        <v>0</v>
      </c>
      <c r="G636" s="78"/>
    </row>
    <row r="637" spans="1:7" x14ac:dyDescent="0.2">
      <c r="A637" s="76"/>
      <c r="B637" s="77"/>
      <c r="C637" s="78"/>
      <c r="D637" s="81"/>
      <c r="E637" s="81"/>
      <c r="F637" s="79">
        <f t="shared" si="9"/>
        <v>0</v>
      </c>
      <c r="G637" s="80"/>
    </row>
    <row r="638" spans="1:7" x14ac:dyDescent="0.2">
      <c r="A638" s="76"/>
      <c r="B638" s="77"/>
      <c r="C638" s="78"/>
      <c r="D638" s="81"/>
      <c r="E638" s="81"/>
      <c r="F638" s="79">
        <f t="shared" si="9"/>
        <v>0</v>
      </c>
      <c r="G638" s="78"/>
    </row>
    <row r="639" spans="1:7" x14ac:dyDescent="0.2">
      <c r="A639" s="76"/>
      <c r="B639" s="77"/>
      <c r="C639" s="78"/>
      <c r="D639" s="81"/>
      <c r="E639" s="81"/>
      <c r="F639" s="79">
        <f t="shared" si="9"/>
        <v>0</v>
      </c>
      <c r="G639" s="78"/>
    </row>
    <row r="640" spans="1:7" x14ac:dyDescent="0.2">
      <c r="A640" s="76"/>
      <c r="B640" s="77"/>
      <c r="C640" s="78"/>
      <c r="D640" s="81"/>
      <c r="E640" s="81"/>
      <c r="F640" s="79">
        <f t="shared" si="9"/>
        <v>0</v>
      </c>
      <c r="G640" s="78"/>
    </row>
    <row r="641" spans="1:7" x14ac:dyDescent="0.2">
      <c r="A641" s="76"/>
      <c r="B641" s="77"/>
      <c r="C641" s="78"/>
      <c r="D641" s="81"/>
      <c r="E641" s="81"/>
      <c r="F641" s="79">
        <f t="shared" si="9"/>
        <v>0</v>
      </c>
      <c r="G641" s="78"/>
    </row>
    <row r="642" spans="1:7" x14ac:dyDescent="0.2">
      <c r="A642" s="76"/>
      <c r="B642" s="77"/>
      <c r="C642" s="78"/>
      <c r="D642" s="81"/>
      <c r="E642" s="81"/>
      <c r="F642" s="79">
        <f t="shared" si="9"/>
        <v>0</v>
      </c>
      <c r="G642" s="78"/>
    </row>
    <row r="643" spans="1:7" x14ac:dyDescent="0.2">
      <c r="A643" s="76"/>
      <c r="B643" s="77"/>
      <c r="C643" s="78"/>
      <c r="D643" s="81"/>
      <c r="E643" s="81"/>
      <c r="F643" s="79">
        <f t="shared" si="9"/>
        <v>0</v>
      </c>
      <c r="G643" s="78"/>
    </row>
    <row r="644" spans="1:7" x14ac:dyDescent="0.2">
      <c r="A644" s="76"/>
      <c r="B644" s="77"/>
      <c r="C644" s="78"/>
      <c r="D644" s="81"/>
      <c r="E644" s="81"/>
      <c r="F644" s="79">
        <f>E644-D644</f>
        <v>0</v>
      </c>
      <c r="G644" s="78"/>
    </row>
    <row r="645" spans="1:7" x14ac:dyDescent="0.2">
      <c r="A645" s="76"/>
      <c r="B645" s="77"/>
      <c r="C645" s="78"/>
      <c r="D645" s="81"/>
      <c r="E645" s="81"/>
      <c r="F645" s="79">
        <f>E645-D645</f>
        <v>0</v>
      </c>
      <c r="G645" s="78"/>
    </row>
    <row r="646" spans="1:7" x14ac:dyDescent="0.2">
      <c r="A646" s="76"/>
      <c r="B646" s="77"/>
      <c r="C646" s="78"/>
      <c r="D646" s="81"/>
      <c r="E646" s="81"/>
      <c r="F646" s="79">
        <f>E646-D646</f>
        <v>0</v>
      </c>
      <c r="G646" s="78"/>
    </row>
    <row r="647" spans="1:7" x14ac:dyDescent="0.2">
      <c r="A647" s="76"/>
      <c r="B647" s="77"/>
      <c r="C647" s="78"/>
      <c r="D647" s="81"/>
      <c r="E647" s="81"/>
      <c r="F647" s="79">
        <f>E647-D647</f>
        <v>0</v>
      </c>
      <c r="G647" s="78"/>
    </row>
    <row r="648" spans="1:7" x14ac:dyDescent="0.2">
      <c r="A648" s="76"/>
      <c r="B648" s="77"/>
      <c r="C648" s="78"/>
      <c r="D648" s="81"/>
      <c r="E648" s="81"/>
      <c r="F648" s="79">
        <f>E648-D648</f>
        <v>0</v>
      </c>
      <c r="G648" s="78"/>
    </row>
    <row r="649" spans="1:7" x14ac:dyDescent="0.2">
      <c r="A649" s="76"/>
      <c r="B649" s="77"/>
      <c r="C649" s="78"/>
      <c r="D649" s="81"/>
      <c r="E649" s="81"/>
      <c r="F649" s="79">
        <f t="shared" si="9"/>
        <v>0</v>
      </c>
      <c r="G649" s="78"/>
    </row>
    <row r="650" spans="1:7" x14ac:dyDescent="0.2">
      <c r="A650" s="76"/>
      <c r="B650" s="77"/>
      <c r="C650" s="78"/>
      <c r="D650" s="81"/>
      <c r="E650" s="81"/>
      <c r="F650" s="79">
        <f t="shared" si="9"/>
        <v>0</v>
      </c>
      <c r="G650" s="78"/>
    </row>
    <row r="651" spans="1:7" x14ac:dyDescent="0.2">
      <c r="A651" s="76"/>
      <c r="B651" s="77"/>
      <c r="C651" s="78"/>
      <c r="D651" s="81"/>
      <c r="E651" s="81"/>
      <c r="F651" s="79">
        <f t="shared" si="9"/>
        <v>0</v>
      </c>
      <c r="G651" s="78"/>
    </row>
    <row r="652" spans="1:7" x14ac:dyDescent="0.2">
      <c r="A652" s="76"/>
      <c r="B652" s="77"/>
      <c r="C652" s="78"/>
      <c r="D652" s="81"/>
      <c r="E652" s="81"/>
      <c r="F652" s="79">
        <f t="shared" si="9"/>
        <v>0</v>
      </c>
      <c r="G652" s="78"/>
    </row>
    <row r="653" spans="1:7" x14ac:dyDescent="0.2">
      <c r="A653" s="76"/>
      <c r="B653" s="77"/>
      <c r="C653" s="78"/>
      <c r="D653" s="81"/>
      <c r="E653" s="81"/>
      <c r="F653" s="79">
        <f t="shared" si="9"/>
        <v>0</v>
      </c>
      <c r="G653" s="78"/>
    </row>
    <row r="654" spans="1:7" x14ac:dyDescent="0.2">
      <c r="A654" s="76"/>
      <c r="B654" s="77"/>
      <c r="C654" s="78"/>
      <c r="D654" s="81"/>
      <c r="E654" s="81"/>
      <c r="F654" s="79">
        <f t="shared" ref="F654:F717" si="10">E654-D654</f>
        <v>0</v>
      </c>
      <c r="G654" s="78"/>
    </row>
    <row r="655" spans="1:7" x14ac:dyDescent="0.2">
      <c r="A655" s="76"/>
      <c r="B655" s="77"/>
      <c r="C655" s="78"/>
      <c r="D655" s="81"/>
      <c r="E655" s="81"/>
      <c r="F655" s="79">
        <f t="shared" si="10"/>
        <v>0</v>
      </c>
      <c r="G655" s="78"/>
    </row>
    <row r="656" spans="1:7" x14ac:dyDescent="0.2">
      <c r="A656" s="76"/>
      <c r="B656" s="77"/>
      <c r="C656" s="78"/>
      <c r="D656" s="81"/>
      <c r="E656" s="81"/>
      <c r="F656" s="79">
        <f t="shared" si="10"/>
        <v>0</v>
      </c>
      <c r="G656" s="78"/>
    </row>
    <row r="657" spans="1:7" x14ac:dyDescent="0.2">
      <c r="A657" s="76"/>
      <c r="B657" s="77"/>
      <c r="C657" s="78"/>
      <c r="D657" s="81"/>
      <c r="E657" s="81"/>
      <c r="F657" s="79">
        <f t="shared" si="10"/>
        <v>0</v>
      </c>
      <c r="G657" s="80"/>
    </row>
    <row r="658" spans="1:7" x14ac:dyDescent="0.2">
      <c r="A658" s="76"/>
      <c r="B658" s="77"/>
      <c r="C658" s="78"/>
      <c r="D658" s="81"/>
      <c r="E658" s="81"/>
      <c r="F658" s="79">
        <f t="shared" si="10"/>
        <v>0</v>
      </c>
      <c r="G658" s="78"/>
    </row>
    <row r="659" spans="1:7" x14ac:dyDescent="0.2">
      <c r="A659" s="76"/>
      <c r="B659" s="77"/>
      <c r="C659" s="78"/>
      <c r="D659" s="81"/>
      <c r="E659" s="81"/>
      <c r="F659" s="79">
        <f t="shared" si="10"/>
        <v>0</v>
      </c>
      <c r="G659" s="78"/>
    </row>
    <row r="660" spans="1:7" x14ac:dyDescent="0.2">
      <c r="A660" s="76"/>
      <c r="B660" s="77"/>
      <c r="C660" s="78"/>
      <c r="D660" s="81"/>
      <c r="E660" s="81"/>
      <c r="F660" s="79">
        <f t="shared" si="10"/>
        <v>0</v>
      </c>
      <c r="G660" s="78"/>
    </row>
    <row r="661" spans="1:7" x14ac:dyDescent="0.2">
      <c r="A661" s="76"/>
      <c r="B661" s="77"/>
      <c r="C661" s="78"/>
      <c r="D661" s="81"/>
      <c r="E661" s="81"/>
      <c r="F661" s="79">
        <f t="shared" si="10"/>
        <v>0</v>
      </c>
      <c r="G661" s="78"/>
    </row>
    <row r="662" spans="1:7" x14ac:dyDescent="0.2">
      <c r="A662" s="76"/>
      <c r="B662" s="77"/>
      <c r="C662" s="78"/>
      <c r="D662" s="81"/>
      <c r="E662" s="81"/>
      <c r="F662" s="79">
        <f t="shared" si="10"/>
        <v>0</v>
      </c>
      <c r="G662" s="78"/>
    </row>
    <row r="663" spans="1:7" x14ac:dyDescent="0.2">
      <c r="A663" s="76"/>
      <c r="B663" s="77"/>
      <c r="C663" s="78"/>
      <c r="D663" s="81"/>
      <c r="E663" s="81"/>
      <c r="F663" s="79">
        <f t="shared" si="10"/>
        <v>0</v>
      </c>
      <c r="G663" s="78"/>
    </row>
    <row r="664" spans="1:7" x14ac:dyDescent="0.2">
      <c r="A664" s="76"/>
      <c r="B664" s="77"/>
      <c r="C664" s="78"/>
      <c r="D664" s="81"/>
      <c r="E664" s="81"/>
      <c r="F664" s="79">
        <f t="shared" si="10"/>
        <v>0</v>
      </c>
      <c r="G664" s="78"/>
    </row>
    <row r="665" spans="1:7" x14ac:dyDescent="0.2">
      <c r="A665" s="76"/>
      <c r="B665" s="77"/>
      <c r="C665" s="78"/>
      <c r="D665" s="81"/>
      <c r="E665" s="81"/>
      <c r="F665" s="79">
        <f t="shared" si="10"/>
        <v>0</v>
      </c>
      <c r="G665" s="78"/>
    </row>
    <row r="666" spans="1:7" x14ac:dyDescent="0.2">
      <c r="A666" s="76"/>
      <c r="B666" s="77"/>
      <c r="C666" s="78"/>
      <c r="D666" s="81"/>
      <c r="E666" s="81"/>
      <c r="F666" s="79">
        <f t="shared" si="10"/>
        <v>0</v>
      </c>
      <c r="G666" s="78"/>
    </row>
    <row r="667" spans="1:7" x14ac:dyDescent="0.2">
      <c r="A667" s="76"/>
      <c r="B667" s="77"/>
      <c r="C667" s="78"/>
      <c r="D667" s="81"/>
      <c r="E667" s="81"/>
      <c r="F667" s="79">
        <f t="shared" si="10"/>
        <v>0</v>
      </c>
      <c r="G667" s="78"/>
    </row>
    <row r="668" spans="1:7" x14ac:dyDescent="0.2">
      <c r="A668" s="76"/>
      <c r="B668" s="77"/>
      <c r="C668" s="78"/>
      <c r="D668" s="81"/>
      <c r="E668" s="81"/>
      <c r="F668" s="79">
        <f t="shared" si="10"/>
        <v>0</v>
      </c>
      <c r="G668" s="80"/>
    </row>
    <row r="669" spans="1:7" x14ac:dyDescent="0.2">
      <c r="A669" s="76"/>
      <c r="B669" s="77"/>
      <c r="C669" s="78"/>
      <c r="D669" s="81"/>
      <c r="E669" s="81"/>
      <c r="F669" s="79">
        <f t="shared" si="10"/>
        <v>0</v>
      </c>
      <c r="G669" s="78"/>
    </row>
    <row r="670" spans="1:7" x14ac:dyDescent="0.2">
      <c r="A670" s="76"/>
      <c r="B670" s="77"/>
      <c r="C670" s="78"/>
      <c r="D670" s="81"/>
      <c r="E670" s="81"/>
      <c r="F670" s="79">
        <f t="shared" si="10"/>
        <v>0</v>
      </c>
      <c r="G670" s="78"/>
    </row>
    <row r="671" spans="1:7" x14ac:dyDescent="0.2">
      <c r="A671" s="76"/>
      <c r="B671" s="77"/>
      <c r="C671" s="78"/>
      <c r="D671" s="81"/>
      <c r="E671" s="81"/>
      <c r="F671" s="79">
        <f t="shared" si="10"/>
        <v>0</v>
      </c>
      <c r="G671" s="78"/>
    </row>
    <row r="672" spans="1:7" x14ac:dyDescent="0.2">
      <c r="A672" s="76"/>
      <c r="B672" s="77"/>
      <c r="C672" s="78"/>
      <c r="D672" s="81"/>
      <c r="E672" s="81"/>
      <c r="F672" s="79">
        <f t="shared" si="10"/>
        <v>0</v>
      </c>
      <c r="G672" s="78"/>
    </row>
    <row r="673" spans="1:7" x14ac:dyDescent="0.2">
      <c r="A673" s="76"/>
      <c r="B673" s="77"/>
      <c r="C673" s="78"/>
      <c r="D673" s="81"/>
      <c r="E673" s="81"/>
      <c r="F673" s="79">
        <f t="shared" si="10"/>
        <v>0</v>
      </c>
      <c r="G673" s="78"/>
    </row>
    <row r="674" spans="1:7" x14ac:dyDescent="0.2">
      <c r="A674" s="76"/>
      <c r="B674" s="77"/>
      <c r="C674" s="78"/>
      <c r="D674" s="81"/>
      <c r="E674" s="81"/>
      <c r="F674" s="79">
        <f t="shared" si="10"/>
        <v>0</v>
      </c>
      <c r="G674" s="78"/>
    </row>
    <row r="675" spans="1:7" x14ac:dyDescent="0.2">
      <c r="A675" s="76"/>
      <c r="B675" s="77"/>
      <c r="C675" s="78"/>
      <c r="D675" s="81"/>
      <c r="E675" s="81"/>
      <c r="F675" s="79">
        <f t="shared" si="10"/>
        <v>0</v>
      </c>
      <c r="G675" s="78"/>
    </row>
    <row r="676" spans="1:7" x14ac:dyDescent="0.2">
      <c r="A676" s="76"/>
      <c r="B676" s="77"/>
      <c r="C676" s="78"/>
      <c r="D676" s="81"/>
      <c r="E676" s="81"/>
      <c r="F676" s="79">
        <f t="shared" si="10"/>
        <v>0</v>
      </c>
      <c r="G676" s="78"/>
    </row>
    <row r="677" spans="1:7" x14ac:dyDescent="0.2">
      <c r="A677" s="76"/>
      <c r="B677" s="77"/>
      <c r="C677" s="78"/>
      <c r="D677" s="81"/>
      <c r="E677" s="81"/>
      <c r="F677" s="79">
        <f t="shared" si="10"/>
        <v>0</v>
      </c>
      <c r="G677" s="78"/>
    </row>
    <row r="678" spans="1:7" x14ac:dyDescent="0.2">
      <c r="A678" s="76"/>
      <c r="B678" s="77"/>
      <c r="C678" s="78"/>
      <c r="D678" s="81"/>
      <c r="E678" s="81"/>
      <c r="F678" s="79">
        <f t="shared" si="10"/>
        <v>0</v>
      </c>
      <c r="G678" s="78"/>
    </row>
    <row r="679" spans="1:7" x14ac:dyDescent="0.2">
      <c r="A679" s="76"/>
      <c r="B679" s="77"/>
      <c r="C679" s="78"/>
      <c r="D679" s="81"/>
      <c r="E679" s="81"/>
      <c r="F679" s="79">
        <f t="shared" si="10"/>
        <v>0</v>
      </c>
      <c r="G679" s="78"/>
    </row>
    <row r="680" spans="1:7" x14ac:dyDescent="0.2">
      <c r="A680" s="76"/>
      <c r="B680" s="77"/>
      <c r="C680" s="78"/>
      <c r="D680" s="81"/>
      <c r="E680" s="81"/>
      <c r="F680" s="79">
        <f t="shared" si="10"/>
        <v>0</v>
      </c>
      <c r="G680" s="78"/>
    </row>
    <row r="681" spans="1:7" x14ac:dyDescent="0.2">
      <c r="A681" s="76"/>
      <c r="B681" s="77"/>
      <c r="C681" s="78"/>
      <c r="D681" s="81"/>
      <c r="E681" s="81"/>
      <c r="F681" s="79">
        <f t="shared" si="10"/>
        <v>0</v>
      </c>
      <c r="G681" s="78"/>
    </row>
    <row r="682" spans="1:7" x14ac:dyDescent="0.2">
      <c r="A682" s="76"/>
      <c r="B682" s="77"/>
      <c r="C682" s="78"/>
      <c r="D682" s="81"/>
      <c r="E682" s="81"/>
      <c r="F682" s="79">
        <f t="shared" si="10"/>
        <v>0</v>
      </c>
      <c r="G682" s="78"/>
    </row>
    <row r="683" spans="1:7" x14ac:dyDescent="0.2">
      <c r="A683" s="76"/>
      <c r="B683" s="77"/>
      <c r="C683" s="78"/>
      <c r="D683" s="81"/>
      <c r="E683" s="81"/>
      <c r="F683" s="79">
        <f t="shared" si="10"/>
        <v>0</v>
      </c>
      <c r="G683" s="78"/>
    </row>
    <row r="684" spans="1:7" x14ac:dyDescent="0.2">
      <c r="A684" s="76"/>
      <c r="B684" s="77"/>
      <c r="C684" s="78"/>
      <c r="D684" s="81"/>
      <c r="E684" s="81"/>
      <c r="F684" s="79">
        <f t="shared" si="10"/>
        <v>0</v>
      </c>
      <c r="G684" s="78"/>
    </row>
    <row r="685" spans="1:7" x14ac:dyDescent="0.2">
      <c r="A685" s="76"/>
      <c r="B685" s="77"/>
      <c r="C685" s="78"/>
      <c r="D685" s="81"/>
      <c r="E685" s="81"/>
      <c r="F685" s="79">
        <f t="shared" si="10"/>
        <v>0</v>
      </c>
      <c r="G685" s="78"/>
    </row>
    <row r="686" spans="1:7" x14ac:dyDescent="0.2">
      <c r="A686" s="76"/>
      <c r="B686" s="77"/>
      <c r="C686" s="78"/>
      <c r="D686" s="81"/>
      <c r="E686" s="81"/>
      <c r="F686" s="79">
        <f t="shared" si="10"/>
        <v>0</v>
      </c>
      <c r="G686" s="78"/>
    </row>
    <row r="687" spans="1:7" x14ac:dyDescent="0.2">
      <c r="A687" s="76"/>
      <c r="B687" s="77"/>
      <c r="C687" s="78"/>
      <c r="D687" s="81"/>
      <c r="E687" s="81"/>
      <c r="F687" s="79">
        <f t="shared" si="10"/>
        <v>0</v>
      </c>
      <c r="G687" s="78"/>
    </row>
    <row r="688" spans="1:7" x14ac:dyDescent="0.2">
      <c r="A688" s="76"/>
      <c r="B688" s="77"/>
      <c r="C688" s="78"/>
      <c r="D688" s="81"/>
      <c r="E688" s="81"/>
      <c r="F688" s="79">
        <f t="shared" si="10"/>
        <v>0</v>
      </c>
      <c r="G688" s="78"/>
    </row>
    <row r="689" spans="1:7" x14ac:dyDescent="0.2">
      <c r="A689" s="76"/>
      <c r="B689" s="77"/>
      <c r="C689" s="78"/>
      <c r="D689" s="81"/>
      <c r="E689" s="81"/>
      <c r="F689" s="79">
        <f t="shared" si="10"/>
        <v>0</v>
      </c>
      <c r="G689" s="78"/>
    </row>
    <row r="690" spans="1:7" x14ac:dyDescent="0.2">
      <c r="A690" s="76"/>
      <c r="B690" s="77"/>
      <c r="C690" s="78"/>
      <c r="D690" s="81"/>
      <c r="E690" s="81"/>
      <c r="F690" s="79">
        <f t="shared" si="10"/>
        <v>0</v>
      </c>
      <c r="G690" s="78"/>
    </row>
    <row r="691" spans="1:7" x14ac:dyDescent="0.2">
      <c r="A691" s="76"/>
      <c r="B691" s="77"/>
      <c r="C691" s="78"/>
      <c r="D691" s="81"/>
      <c r="E691" s="81"/>
      <c r="F691" s="79">
        <f t="shared" si="10"/>
        <v>0</v>
      </c>
      <c r="G691" s="78"/>
    </row>
    <row r="692" spans="1:7" x14ac:dyDescent="0.2">
      <c r="A692" s="76"/>
      <c r="B692" s="77"/>
      <c r="C692" s="78"/>
      <c r="D692" s="81"/>
      <c r="E692" s="81"/>
      <c r="F692" s="79">
        <f t="shared" si="10"/>
        <v>0</v>
      </c>
      <c r="G692" s="78"/>
    </row>
    <row r="693" spans="1:7" x14ac:dyDescent="0.2">
      <c r="A693" s="76"/>
      <c r="B693" s="77"/>
      <c r="C693" s="78"/>
      <c r="D693" s="81"/>
      <c r="E693" s="81"/>
      <c r="F693" s="79">
        <f t="shared" si="10"/>
        <v>0</v>
      </c>
      <c r="G693" s="78"/>
    </row>
    <row r="694" spans="1:7" x14ac:dyDescent="0.2">
      <c r="A694" s="76"/>
      <c r="B694" s="77"/>
      <c r="C694" s="78"/>
      <c r="D694" s="81"/>
      <c r="E694" s="81"/>
      <c r="F694" s="79">
        <f t="shared" si="10"/>
        <v>0</v>
      </c>
      <c r="G694" s="80"/>
    </row>
    <row r="695" spans="1:7" x14ac:dyDescent="0.2">
      <c r="A695" s="76"/>
      <c r="B695" s="77"/>
      <c r="C695" s="78"/>
      <c r="D695" s="81"/>
      <c r="E695" s="81"/>
      <c r="F695" s="79">
        <f t="shared" si="10"/>
        <v>0</v>
      </c>
      <c r="G695" s="78"/>
    </row>
    <row r="696" spans="1:7" x14ac:dyDescent="0.2">
      <c r="A696" s="76"/>
      <c r="B696" s="77"/>
      <c r="C696" s="78"/>
      <c r="D696" s="81"/>
      <c r="E696" s="81"/>
      <c r="F696" s="79">
        <f t="shared" si="10"/>
        <v>0</v>
      </c>
      <c r="G696" s="78"/>
    </row>
    <row r="697" spans="1:7" x14ac:dyDescent="0.2">
      <c r="A697" s="76"/>
      <c r="B697" s="77"/>
      <c r="C697" s="78"/>
      <c r="D697" s="81"/>
      <c r="E697" s="81"/>
      <c r="F697" s="79">
        <f t="shared" si="10"/>
        <v>0</v>
      </c>
      <c r="G697" s="78"/>
    </row>
    <row r="698" spans="1:7" x14ac:dyDescent="0.2">
      <c r="A698" s="76"/>
      <c r="B698" s="77"/>
      <c r="C698" s="78"/>
      <c r="D698" s="81"/>
      <c r="E698" s="81"/>
      <c r="F698" s="79">
        <f t="shared" si="10"/>
        <v>0</v>
      </c>
      <c r="G698" s="78"/>
    </row>
    <row r="699" spans="1:7" x14ac:dyDescent="0.2">
      <c r="A699" s="76"/>
      <c r="B699" s="77"/>
      <c r="C699" s="78"/>
      <c r="D699" s="81"/>
      <c r="E699" s="81"/>
      <c r="F699" s="79">
        <f t="shared" si="10"/>
        <v>0</v>
      </c>
      <c r="G699" s="78"/>
    </row>
    <row r="700" spans="1:7" x14ac:dyDescent="0.2">
      <c r="A700" s="76"/>
      <c r="B700" s="77"/>
      <c r="C700" s="78"/>
      <c r="D700" s="81"/>
      <c r="E700" s="81"/>
      <c r="F700" s="79">
        <f t="shared" si="10"/>
        <v>0</v>
      </c>
      <c r="G700" s="78"/>
    </row>
    <row r="701" spans="1:7" x14ac:dyDescent="0.2">
      <c r="A701" s="76"/>
      <c r="B701" s="77"/>
      <c r="C701" s="78"/>
      <c r="D701" s="81"/>
      <c r="E701" s="81"/>
      <c r="F701" s="79">
        <f t="shared" si="10"/>
        <v>0</v>
      </c>
      <c r="G701" s="78"/>
    </row>
    <row r="702" spans="1:7" x14ac:dyDescent="0.2">
      <c r="A702" s="76"/>
      <c r="B702" s="77"/>
      <c r="C702" s="78"/>
      <c r="D702" s="81"/>
      <c r="E702" s="81"/>
      <c r="F702" s="79">
        <f t="shared" si="10"/>
        <v>0</v>
      </c>
      <c r="G702" s="78"/>
    </row>
    <row r="703" spans="1:7" x14ac:dyDescent="0.2">
      <c r="A703" s="76"/>
      <c r="B703" s="77"/>
      <c r="C703" s="78"/>
      <c r="D703" s="81"/>
      <c r="E703" s="81"/>
      <c r="F703" s="79">
        <f t="shared" si="10"/>
        <v>0</v>
      </c>
      <c r="G703" s="78"/>
    </row>
    <row r="704" spans="1:7" x14ac:dyDescent="0.2">
      <c r="A704" s="76"/>
      <c r="B704" s="77"/>
      <c r="C704" s="78"/>
      <c r="D704" s="81"/>
      <c r="E704" s="81"/>
      <c r="F704" s="79">
        <f t="shared" si="10"/>
        <v>0</v>
      </c>
      <c r="G704" s="78"/>
    </row>
    <row r="705" spans="1:7" x14ac:dyDescent="0.2">
      <c r="A705" s="76"/>
      <c r="B705" s="77"/>
      <c r="C705" s="78"/>
      <c r="D705" s="81"/>
      <c r="E705" s="81"/>
      <c r="F705" s="79">
        <f t="shared" si="10"/>
        <v>0</v>
      </c>
      <c r="G705" s="80"/>
    </row>
    <row r="706" spans="1:7" x14ac:dyDescent="0.2">
      <c r="A706" s="76"/>
      <c r="B706" s="77"/>
      <c r="C706" s="78"/>
      <c r="D706" s="81"/>
      <c r="E706" s="81"/>
      <c r="F706" s="79">
        <f t="shared" si="10"/>
        <v>0</v>
      </c>
      <c r="G706" s="78"/>
    </row>
    <row r="707" spans="1:7" x14ac:dyDescent="0.2">
      <c r="A707" s="76"/>
      <c r="B707" s="77"/>
      <c r="C707" s="78"/>
      <c r="D707" s="81"/>
      <c r="E707" s="81"/>
      <c r="F707" s="79">
        <f t="shared" si="10"/>
        <v>0</v>
      </c>
      <c r="G707" s="78"/>
    </row>
    <row r="708" spans="1:7" x14ac:dyDescent="0.2">
      <c r="A708" s="76"/>
      <c r="B708" s="77"/>
      <c r="C708" s="78"/>
      <c r="D708" s="81"/>
      <c r="E708" s="81"/>
      <c r="F708" s="79">
        <f t="shared" si="10"/>
        <v>0</v>
      </c>
      <c r="G708" s="78"/>
    </row>
    <row r="709" spans="1:7" x14ac:dyDescent="0.2">
      <c r="A709" s="76"/>
      <c r="B709" s="77"/>
      <c r="C709" s="78"/>
      <c r="D709" s="81"/>
      <c r="E709" s="81"/>
      <c r="F709" s="79">
        <f t="shared" si="10"/>
        <v>0</v>
      </c>
      <c r="G709" s="78"/>
    </row>
    <row r="710" spans="1:7" x14ac:dyDescent="0.2">
      <c r="A710" s="76"/>
      <c r="B710" s="77"/>
      <c r="C710" s="78"/>
      <c r="D710" s="81"/>
      <c r="E710" s="81"/>
      <c r="F710" s="79">
        <f t="shared" si="10"/>
        <v>0</v>
      </c>
      <c r="G710" s="80"/>
    </row>
    <row r="711" spans="1:7" x14ac:dyDescent="0.2">
      <c r="A711" s="76"/>
      <c r="B711" s="77"/>
      <c r="C711" s="78"/>
      <c r="D711" s="81"/>
      <c r="E711" s="81"/>
      <c r="F711" s="79">
        <f t="shared" si="10"/>
        <v>0</v>
      </c>
      <c r="G711" s="78"/>
    </row>
    <row r="712" spans="1:7" x14ac:dyDescent="0.2">
      <c r="A712" s="76"/>
      <c r="B712" s="77"/>
      <c r="C712" s="78"/>
      <c r="D712" s="81"/>
      <c r="E712" s="81"/>
      <c r="F712" s="79">
        <f t="shared" si="10"/>
        <v>0</v>
      </c>
      <c r="G712" s="80"/>
    </row>
    <row r="713" spans="1:7" x14ac:dyDescent="0.2">
      <c r="A713" s="76"/>
      <c r="B713" s="77"/>
      <c r="C713" s="78"/>
      <c r="D713" s="81"/>
      <c r="E713" s="81"/>
      <c r="F713" s="79">
        <f t="shared" si="10"/>
        <v>0</v>
      </c>
      <c r="G713" s="80"/>
    </row>
    <row r="714" spans="1:7" x14ac:dyDescent="0.2">
      <c r="A714" s="76"/>
      <c r="B714" s="77"/>
      <c r="C714" s="78"/>
      <c r="D714" s="81"/>
      <c r="E714" s="81"/>
      <c r="F714" s="79">
        <f t="shared" si="10"/>
        <v>0</v>
      </c>
      <c r="G714" s="78"/>
    </row>
    <row r="715" spans="1:7" x14ac:dyDescent="0.2">
      <c r="A715" s="76"/>
      <c r="B715" s="77"/>
      <c r="C715" s="78"/>
      <c r="D715" s="81"/>
      <c r="E715" s="81"/>
      <c r="F715" s="79">
        <f t="shared" si="10"/>
        <v>0</v>
      </c>
      <c r="G715" s="78"/>
    </row>
    <row r="716" spans="1:7" x14ac:dyDescent="0.2">
      <c r="A716" s="76"/>
      <c r="B716" s="77"/>
      <c r="C716" s="78"/>
      <c r="D716" s="81"/>
      <c r="E716" s="81"/>
      <c r="F716" s="79">
        <f t="shared" si="10"/>
        <v>0</v>
      </c>
      <c r="G716" s="78"/>
    </row>
    <row r="717" spans="1:7" x14ac:dyDescent="0.2">
      <c r="A717" s="76"/>
      <c r="B717" s="77"/>
      <c r="C717" s="78"/>
      <c r="D717" s="81"/>
      <c r="E717" s="81"/>
      <c r="F717" s="79">
        <f t="shared" si="10"/>
        <v>0</v>
      </c>
      <c r="G717" s="78"/>
    </row>
    <row r="718" spans="1:7" x14ac:dyDescent="0.2">
      <c r="A718" s="76"/>
      <c r="B718" s="77"/>
      <c r="C718" s="78"/>
      <c r="D718" s="81"/>
      <c r="E718" s="81"/>
      <c r="F718" s="79">
        <f t="shared" ref="F718:F781" si="11">E718-D718</f>
        <v>0</v>
      </c>
      <c r="G718" s="78"/>
    </row>
    <row r="719" spans="1:7" x14ac:dyDescent="0.2">
      <c r="A719" s="76"/>
      <c r="B719" s="77"/>
      <c r="C719" s="78"/>
      <c r="D719" s="81"/>
      <c r="E719" s="81"/>
      <c r="F719" s="79">
        <f t="shared" si="11"/>
        <v>0</v>
      </c>
      <c r="G719" s="77"/>
    </row>
    <row r="720" spans="1:7" x14ac:dyDescent="0.2">
      <c r="A720" s="76"/>
      <c r="B720" s="77"/>
      <c r="C720" s="78"/>
      <c r="D720" s="81"/>
      <c r="E720" s="81"/>
      <c r="F720" s="79">
        <f t="shared" si="11"/>
        <v>0</v>
      </c>
      <c r="G720" s="80"/>
    </row>
    <row r="721" spans="1:7" x14ac:dyDescent="0.2">
      <c r="A721" s="76"/>
      <c r="B721" s="77"/>
      <c r="C721" s="78"/>
      <c r="D721" s="81"/>
      <c r="E721" s="81"/>
      <c r="F721" s="79">
        <f t="shared" si="11"/>
        <v>0</v>
      </c>
      <c r="G721" s="78"/>
    </row>
    <row r="722" spans="1:7" x14ac:dyDescent="0.2">
      <c r="A722" s="76"/>
      <c r="B722" s="77"/>
      <c r="C722" s="78"/>
      <c r="D722" s="81"/>
      <c r="E722" s="81"/>
      <c r="F722" s="79">
        <f t="shared" si="11"/>
        <v>0</v>
      </c>
      <c r="G722" s="78"/>
    </row>
    <row r="723" spans="1:7" x14ac:dyDescent="0.2">
      <c r="A723" s="76"/>
      <c r="B723" s="77"/>
      <c r="C723" s="78"/>
      <c r="D723" s="81"/>
      <c r="E723" s="81"/>
      <c r="F723" s="79">
        <f t="shared" si="11"/>
        <v>0</v>
      </c>
      <c r="G723" s="78"/>
    </row>
    <row r="724" spans="1:7" x14ac:dyDescent="0.2">
      <c r="A724" s="76"/>
      <c r="B724" s="77"/>
      <c r="C724" s="78"/>
      <c r="D724" s="81"/>
      <c r="E724" s="81"/>
      <c r="F724" s="79">
        <f t="shared" si="11"/>
        <v>0</v>
      </c>
      <c r="G724" s="78"/>
    </row>
    <row r="725" spans="1:7" x14ac:dyDescent="0.2">
      <c r="A725" s="76"/>
      <c r="B725" s="77"/>
      <c r="C725" s="78"/>
      <c r="D725" s="81"/>
      <c r="E725" s="81"/>
      <c r="F725" s="79">
        <f t="shared" si="11"/>
        <v>0</v>
      </c>
      <c r="G725" s="78"/>
    </row>
    <row r="726" spans="1:7" x14ac:dyDescent="0.2">
      <c r="A726" s="76"/>
      <c r="B726" s="77"/>
      <c r="C726" s="78"/>
      <c r="D726" s="81"/>
      <c r="E726" s="81"/>
      <c r="F726" s="79">
        <f t="shared" si="11"/>
        <v>0</v>
      </c>
      <c r="G726" s="78"/>
    </row>
    <row r="727" spans="1:7" x14ac:dyDescent="0.2">
      <c r="A727" s="76"/>
      <c r="B727" s="77"/>
      <c r="C727" s="78"/>
      <c r="D727" s="81"/>
      <c r="E727" s="81"/>
      <c r="F727" s="79">
        <f t="shared" si="11"/>
        <v>0</v>
      </c>
      <c r="G727" s="78"/>
    </row>
    <row r="728" spans="1:7" x14ac:dyDescent="0.2">
      <c r="A728" s="76"/>
      <c r="B728" s="77"/>
      <c r="C728" s="78"/>
      <c r="D728" s="81"/>
      <c r="E728" s="81"/>
      <c r="F728" s="79">
        <f t="shared" si="11"/>
        <v>0</v>
      </c>
      <c r="G728" s="78"/>
    </row>
    <row r="729" spans="1:7" x14ac:dyDescent="0.2">
      <c r="A729" s="76"/>
      <c r="B729" s="77"/>
      <c r="C729" s="78"/>
      <c r="D729" s="81"/>
      <c r="E729" s="81"/>
      <c r="F729" s="79">
        <f t="shared" si="11"/>
        <v>0</v>
      </c>
      <c r="G729" s="78"/>
    </row>
    <row r="730" spans="1:7" x14ac:dyDescent="0.2">
      <c r="A730" s="76"/>
      <c r="B730" s="77"/>
      <c r="C730" s="78"/>
      <c r="D730" s="81"/>
      <c r="E730" s="81"/>
      <c r="F730" s="79">
        <f t="shared" si="11"/>
        <v>0</v>
      </c>
      <c r="G730" s="78"/>
    </row>
    <row r="731" spans="1:7" x14ac:dyDescent="0.2">
      <c r="A731" s="76"/>
      <c r="B731" s="77"/>
      <c r="C731" s="78"/>
      <c r="D731" s="81"/>
      <c r="E731" s="81"/>
      <c r="F731" s="79">
        <f t="shared" si="11"/>
        <v>0</v>
      </c>
      <c r="G731" s="78"/>
    </row>
    <row r="732" spans="1:7" x14ac:dyDescent="0.2">
      <c r="A732" s="76"/>
      <c r="B732" s="77"/>
      <c r="C732" s="78"/>
      <c r="D732" s="81"/>
      <c r="E732" s="81"/>
      <c r="F732" s="79">
        <f t="shared" si="11"/>
        <v>0</v>
      </c>
      <c r="G732" s="78"/>
    </row>
    <row r="733" spans="1:7" x14ac:dyDescent="0.2">
      <c r="A733" s="76"/>
      <c r="B733" s="77"/>
      <c r="C733" s="78"/>
      <c r="D733" s="81"/>
      <c r="E733" s="81"/>
      <c r="F733" s="79">
        <f t="shared" si="11"/>
        <v>0</v>
      </c>
      <c r="G733" s="78"/>
    </row>
    <row r="734" spans="1:7" x14ac:dyDescent="0.2">
      <c r="A734" s="76"/>
      <c r="B734" s="77"/>
      <c r="C734" s="78"/>
      <c r="D734" s="81"/>
      <c r="E734" s="81"/>
      <c r="F734" s="79">
        <f t="shared" si="11"/>
        <v>0</v>
      </c>
      <c r="G734" s="80"/>
    </row>
    <row r="735" spans="1:7" x14ac:dyDescent="0.2">
      <c r="A735" s="76"/>
      <c r="B735" s="77"/>
      <c r="C735" s="78"/>
      <c r="D735" s="81"/>
      <c r="E735" s="81"/>
      <c r="F735" s="79">
        <f t="shared" si="11"/>
        <v>0</v>
      </c>
      <c r="G735" s="78"/>
    </row>
    <row r="736" spans="1:7" x14ac:dyDescent="0.2">
      <c r="A736" s="76"/>
      <c r="B736" s="77"/>
      <c r="C736" s="78"/>
      <c r="D736" s="81"/>
      <c r="E736" s="81"/>
      <c r="F736" s="79">
        <f t="shared" si="11"/>
        <v>0</v>
      </c>
      <c r="G736" s="78"/>
    </row>
    <row r="737" spans="1:7" x14ac:dyDescent="0.2">
      <c r="A737" s="76"/>
      <c r="B737" s="77"/>
      <c r="C737" s="78"/>
      <c r="D737" s="81"/>
      <c r="E737" s="81"/>
      <c r="F737" s="79">
        <f t="shared" si="11"/>
        <v>0</v>
      </c>
      <c r="G737" s="78"/>
    </row>
    <row r="738" spans="1:7" x14ac:dyDescent="0.2">
      <c r="A738" s="76"/>
      <c r="B738" s="77"/>
      <c r="C738" s="78"/>
      <c r="D738" s="81"/>
      <c r="E738" s="81"/>
      <c r="F738" s="79">
        <f t="shared" si="11"/>
        <v>0</v>
      </c>
      <c r="G738" s="78"/>
    </row>
    <row r="739" spans="1:7" x14ac:dyDescent="0.2">
      <c r="A739" s="76"/>
      <c r="B739" s="77"/>
      <c r="C739" s="78"/>
      <c r="D739" s="81"/>
      <c r="E739" s="81"/>
      <c r="F739" s="79">
        <f t="shared" si="11"/>
        <v>0</v>
      </c>
      <c r="G739" s="78"/>
    </row>
    <row r="740" spans="1:7" x14ac:dyDescent="0.2">
      <c r="A740" s="76"/>
      <c r="B740" s="77"/>
      <c r="C740" s="78"/>
      <c r="D740" s="81"/>
      <c r="E740" s="81"/>
      <c r="F740" s="79">
        <f t="shared" si="11"/>
        <v>0</v>
      </c>
      <c r="G740" s="78"/>
    </row>
    <row r="741" spans="1:7" x14ac:dyDescent="0.2">
      <c r="A741" s="76"/>
      <c r="B741" s="77"/>
      <c r="C741" s="78"/>
      <c r="D741" s="81"/>
      <c r="E741" s="81"/>
      <c r="F741" s="79">
        <f t="shared" si="11"/>
        <v>0</v>
      </c>
      <c r="G741" s="78"/>
    </row>
    <row r="742" spans="1:7" x14ac:dyDescent="0.2">
      <c r="A742" s="76"/>
      <c r="B742" s="77"/>
      <c r="C742" s="78"/>
      <c r="D742" s="81"/>
      <c r="E742" s="81"/>
      <c r="F742" s="79">
        <f t="shared" si="11"/>
        <v>0</v>
      </c>
      <c r="G742" s="78"/>
    </row>
    <row r="743" spans="1:7" x14ac:dyDescent="0.2">
      <c r="A743" s="76"/>
      <c r="B743" s="77"/>
      <c r="C743" s="78"/>
      <c r="D743" s="81"/>
      <c r="E743" s="81"/>
      <c r="F743" s="79">
        <f t="shared" si="11"/>
        <v>0</v>
      </c>
      <c r="G743" s="78"/>
    </row>
    <row r="744" spans="1:7" x14ac:dyDescent="0.2">
      <c r="A744" s="76"/>
      <c r="B744" s="84"/>
      <c r="C744" s="78"/>
      <c r="D744" s="81"/>
      <c r="E744" s="81"/>
      <c r="F744" s="79">
        <f t="shared" si="11"/>
        <v>0</v>
      </c>
      <c r="G744" s="78"/>
    </row>
    <row r="745" spans="1:7" x14ac:dyDescent="0.2">
      <c r="A745" s="76"/>
      <c r="B745" s="77"/>
      <c r="C745" s="78"/>
      <c r="D745" s="81"/>
      <c r="E745" s="81"/>
      <c r="F745" s="79">
        <f t="shared" si="11"/>
        <v>0</v>
      </c>
      <c r="G745" s="78"/>
    </row>
    <row r="746" spans="1:7" x14ac:dyDescent="0.2">
      <c r="A746" s="76"/>
      <c r="B746" s="77"/>
      <c r="C746" s="78"/>
      <c r="D746" s="81"/>
      <c r="E746" s="81"/>
      <c r="F746" s="79">
        <f t="shared" si="11"/>
        <v>0</v>
      </c>
      <c r="G746" s="78"/>
    </row>
    <row r="747" spans="1:7" x14ac:dyDescent="0.2">
      <c r="A747" s="76"/>
      <c r="B747" s="77"/>
      <c r="C747" s="78"/>
      <c r="D747" s="81"/>
      <c r="E747" s="81"/>
      <c r="F747" s="79">
        <f t="shared" si="11"/>
        <v>0</v>
      </c>
      <c r="G747" s="78"/>
    </row>
    <row r="748" spans="1:7" x14ac:dyDescent="0.2">
      <c r="A748" s="76"/>
      <c r="B748" s="77"/>
      <c r="C748" s="78"/>
      <c r="D748" s="81"/>
      <c r="E748" s="81"/>
      <c r="F748" s="79">
        <f t="shared" si="11"/>
        <v>0</v>
      </c>
      <c r="G748" s="78"/>
    </row>
    <row r="749" spans="1:7" x14ac:dyDescent="0.2">
      <c r="A749" s="76"/>
      <c r="B749" s="77"/>
      <c r="C749" s="78"/>
      <c r="D749" s="81"/>
      <c r="E749" s="81"/>
      <c r="F749" s="79">
        <f t="shared" si="11"/>
        <v>0</v>
      </c>
      <c r="G749" s="78"/>
    </row>
    <row r="750" spans="1:7" x14ac:dyDescent="0.2">
      <c r="A750" s="76"/>
      <c r="B750" s="77"/>
      <c r="C750" s="78"/>
      <c r="D750" s="81"/>
      <c r="E750" s="81"/>
      <c r="F750" s="79">
        <f t="shared" si="11"/>
        <v>0</v>
      </c>
      <c r="G750" s="78"/>
    </row>
    <row r="751" spans="1:7" x14ac:dyDescent="0.2">
      <c r="A751" s="76"/>
      <c r="B751" s="77"/>
      <c r="C751" s="78"/>
      <c r="D751" s="81"/>
      <c r="E751" s="81"/>
      <c r="F751" s="79">
        <f t="shared" si="11"/>
        <v>0</v>
      </c>
      <c r="G751" s="78"/>
    </row>
    <row r="752" spans="1:7" x14ac:dyDescent="0.2">
      <c r="A752" s="76"/>
      <c r="B752" s="77"/>
      <c r="C752" s="78"/>
      <c r="D752" s="81"/>
      <c r="E752" s="81"/>
      <c r="F752" s="79">
        <f t="shared" si="11"/>
        <v>0</v>
      </c>
      <c r="G752" s="80"/>
    </row>
    <row r="753" spans="1:7" x14ac:dyDescent="0.2">
      <c r="A753" s="76"/>
      <c r="B753" s="77"/>
      <c r="C753" s="78"/>
      <c r="D753" s="81"/>
      <c r="E753" s="81"/>
      <c r="F753" s="79">
        <f t="shared" si="11"/>
        <v>0</v>
      </c>
      <c r="G753" s="80"/>
    </row>
    <row r="754" spans="1:7" x14ac:dyDescent="0.2">
      <c r="A754" s="76"/>
      <c r="B754" s="77"/>
      <c r="C754" s="78"/>
      <c r="D754" s="81"/>
      <c r="E754" s="81"/>
      <c r="F754" s="79">
        <f t="shared" si="11"/>
        <v>0</v>
      </c>
      <c r="G754" s="80"/>
    </row>
    <row r="755" spans="1:7" x14ac:dyDescent="0.2">
      <c r="A755" s="76"/>
      <c r="B755" s="77"/>
      <c r="C755" s="78"/>
      <c r="D755" s="81"/>
      <c r="E755" s="81"/>
      <c r="F755" s="79">
        <f t="shared" si="11"/>
        <v>0</v>
      </c>
      <c r="G755" s="80"/>
    </row>
    <row r="756" spans="1:7" x14ac:dyDescent="0.2">
      <c r="A756" s="76"/>
      <c r="B756" s="77"/>
      <c r="C756" s="78"/>
      <c r="D756" s="81"/>
      <c r="E756" s="81"/>
      <c r="F756" s="79">
        <f t="shared" si="11"/>
        <v>0</v>
      </c>
      <c r="G756" s="78"/>
    </row>
    <row r="757" spans="1:7" x14ac:dyDescent="0.2">
      <c r="A757" s="76"/>
      <c r="B757" s="77"/>
      <c r="C757" s="78"/>
      <c r="D757" s="81"/>
      <c r="E757" s="81"/>
      <c r="F757" s="79">
        <f t="shared" si="11"/>
        <v>0</v>
      </c>
      <c r="G757" s="80"/>
    </row>
    <row r="758" spans="1:7" x14ac:dyDescent="0.2">
      <c r="A758" s="76"/>
      <c r="B758" s="77"/>
      <c r="C758" s="78"/>
      <c r="D758" s="81"/>
      <c r="E758" s="81"/>
      <c r="F758" s="79">
        <f t="shared" si="11"/>
        <v>0</v>
      </c>
      <c r="G758" s="78"/>
    </row>
    <row r="759" spans="1:7" x14ac:dyDescent="0.2">
      <c r="A759" s="76"/>
      <c r="B759" s="77"/>
      <c r="C759" s="78"/>
      <c r="D759" s="81"/>
      <c r="E759" s="81"/>
      <c r="F759" s="79">
        <f t="shared" si="11"/>
        <v>0</v>
      </c>
      <c r="G759" s="78"/>
    </row>
    <row r="760" spans="1:7" x14ac:dyDescent="0.2">
      <c r="A760" s="76"/>
      <c r="B760" s="77"/>
      <c r="C760" s="78"/>
      <c r="D760" s="81"/>
      <c r="E760" s="81"/>
      <c r="F760" s="79">
        <f t="shared" si="11"/>
        <v>0</v>
      </c>
      <c r="G760" s="78"/>
    </row>
    <row r="761" spans="1:7" x14ac:dyDescent="0.2">
      <c r="A761" s="76"/>
      <c r="B761" s="77"/>
      <c r="C761" s="78"/>
      <c r="D761" s="81"/>
      <c r="E761" s="81"/>
      <c r="F761" s="79">
        <f t="shared" si="11"/>
        <v>0</v>
      </c>
      <c r="G761" s="78"/>
    </row>
    <row r="762" spans="1:7" x14ac:dyDescent="0.2">
      <c r="A762" s="76"/>
      <c r="B762" s="77"/>
      <c r="C762" s="78"/>
      <c r="D762" s="81"/>
      <c r="E762" s="81"/>
      <c r="F762" s="79">
        <f t="shared" si="11"/>
        <v>0</v>
      </c>
      <c r="G762" s="78"/>
    </row>
    <row r="763" spans="1:7" x14ac:dyDescent="0.2">
      <c r="A763" s="76"/>
      <c r="B763" s="77"/>
      <c r="C763" s="78"/>
      <c r="D763" s="81"/>
      <c r="E763" s="81"/>
      <c r="F763" s="79">
        <f t="shared" si="11"/>
        <v>0</v>
      </c>
      <c r="G763" s="78"/>
    </row>
    <row r="764" spans="1:7" x14ac:dyDescent="0.2">
      <c r="A764" s="76"/>
      <c r="B764" s="77"/>
      <c r="C764" s="78"/>
      <c r="D764" s="81"/>
      <c r="E764" s="81"/>
      <c r="F764" s="79">
        <f t="shared" si="11"/>
        <v>0</v>
      </c>
      <c r="G764" s="78"/>
    </row>
    <row r="765" spans="1:7" x14ac:dyDescent="0.2">
      <c r="A765" s="76"/>
      <c r="B765" s="77"/>
      <c r="C765" s="78"/>
      <c r="D765" s="81"/>
      <c r="E765" s="81"/>
      <c r="F765" s="79">
        <f t="shared" si="11"/>
        <v>0</v>
      </c>
      <c r="G765" s="78"/>
    </row>
    <row r="766" spans="1:7" x14ac:dyDescent="0.2">
      <c r="A766" s="76"/>
      <c r="B766" s="77"/>
      <c r="C766" s="78"/>
      <c r="D766" s="81"/>
      <c r="E766" s="81"/>
      <c r="F766" s="79">
        <f t="shared" si="11"/>
        <v>0</v>
      </c>
      <c r="G766" s="78"/>
    </row>
    <row r="767" spans="1:7" x14ac:dyDescent="0.2">
      <c r="A767" s="76"/>
      <c r="B767" s="77"/>
      <c r="C767" s="78"/>
      <c r="D767" s="81"/>
      <c r="E767" s="81"/>
      <c r="F767" s="79">
        <f t="shared" si="11"/>
        <v>0</v>
      </c>
      <c r="G767" s="78"/>
    </row>
    <row r="768" spans="1:7" x14ac:dyDescent="0.2">
      <c r="A768" s="76"/>
      <c r="B768" s="77"/>
      <c r="C768" s="78"/>
      <c r="D768" s="81"/>
      <c r="E768" s="81"/>
      <c r="F768" s="79">
        <f t="shared" si="11"/>
        <v>0</v>
      </c>
      <c r="G768" s="80"/>
    </row>
    <row r="769" spans="1:7" x14ac:dyDescent="0.2">
      <c r="A769" s="76"/>
      <c r="B769" s="77"/>
      <c r="C769" s="78"/>
      <c r="D769" s="81"/>
      <c r="E769" s="81"/>
      <c r="F769" s="79">
        <f t="shared" si="11"/>
        <v>0</v>
      </c>
      <c r="G769" s="78"/>
    </row>
    <row r="770" spans="1:7" x14ac:dyDescent="0.2">
      <c r="A770" s="76"/>
      <c r="B770" s="77"/>
      <c r="C770" s="78"/>
      <c r="D770" s="81"/>
      <c r="E770" s="81"/>
      <c r="F770" s="79">
        <f t="shared" si="11"/>
        <v>0</v>
      </c>
      <c r="G770" s="78"/>
    </row>
    <row r="771" spans="1:7" x14ac:dyDescent="0.2">
      <c r="A771" s="76"/>
      <c r="B771" s="77"/>
      <c r="C771" s="78"/>
      <c r="D771" s="81"/>
      <c r="E771" s="81"/>
      <c r="F771" s="79">
        <f t="shared" si="11"/>
        <v>0</v>
      </c>
      <c r="G771" s="78"/>
    </row>
    <row r="772" spans="1:7" x14ac:dyDescent="0.2">
      <c r="A772" s="76"/>
      <c r="B772" s="77"/>
      <c r="C772" s="78"/>
      <c r="D772" s="81"/>
      <c r="E772" s="81"/>
      <c r="F772" s="79">
        <f t="shared" si="11"/>
        <v>0</v>
      </c>
      <c r="G772" s="78"/>
    </row>
    <row r="773" spans="1:7" x14ac:dyDescent="0.2">
      <c r="A773" s="76"/>
      <c r="B773" s="77"/>
      <c r="C773" s="78"/>
      <c r="D773" s="81"/>
      <c r="E773" s="81"/>
      <c r="F773" s="79">
        <f t="shared" si="11"/>
        <v>0</v>
      </c>
      <c r="G773" s="78"/>
    </row>
    <row r="774" spans="1:7" x14ac:dyDescent="0.2">
      <c r="A774" s="76"/>
      <c r="B774" s="77"/>
      <c r="C774" s="78"/>
      <c r="D774" s="81"/>
      <c r="E774" s="81"/>
      <c r="F774" s="79">
        <f t="shared" si="11"/>
        <v>0</v>
      </c>
      <c r="G774" s="78"/>
    </row>
    <row r="775" spans="1:7" x14ac:dyDescent="0.2">
      <c r="A775" s="76"/>
      <c r="B775" s="77"/>
      <c r="C775" s="78"/>
      <c r="D775" s="81"/>
      <c r="E775" s="81"/>
      <c r="F775" s="79">
        <f t="shared" si="11"/>
        <v>0</v>
      </c>
      <c r="G775" s="78"/>
    </row>
    <row r="776" spans="1:7" x14ac:dyDescent="0.2">
      <c r="A776" s="76"/>
      <c r="B776" s="77"/>
      <c r="C776" s="78"/>
      <c r="D776" s="81"/>
      <c r="E776" s="81"/>
      <c r="F776" s="79">
        <f t="shared" si="11"/>
        <v>0</v>
      </c>
      <c r="G776" s="78"/>
    </row>
    <row r="777" spans="1:7" x14ac:dyDescent="0.2">
      <c r="A777" s="76"/>
      <c r="B777" s="77"/>
      <c r="C777" s="78"/>
      <c r="D777" s="81"/>
      <c r="E777" s="81"/>
      <c r="F777" s="79">
        <f t="shared" si="11"/>
        <v>0</v>
      </c>
      <c r="G777" s="78"/>
    </row>
    <row r="778" spans="1:7" x14ac:dyDescent="0.2">
      <c r="A778" s="76"/>
      <c r="B778" s="77"/>
      <c r="C778" s="78"/>
      <c r="D778" s="81"/>
      <c r="E778" s="81"/>
      <c r="F778" s="79">
        <f t="shared" si="11"/>
        <v>0</v>
      </c>
      <c r="G778" s="78"/>
    </row>
    <row r="779" spans="1:7" x14ac:dyDescent="0.2">
      <c r="A779" s="76"/>
      <c r="B779" s="77"/>
      <c r="C779" s="78"/>
      <c r="D779" s="81"/>
      <c r="E779" s="81"/>
      <c r="F779" s="79">
        <f t="shared" si="11"/>
        <v>0</v>
      </c>
      <c r="G779" s="78"/>
    </row>
    <row r="780" spans="1:7" x14ac:dyDescent="0.2">
      <c r="A780" s="76"/>
      <c r="B780" s="77"/>
      <c r="C780" s="78"/>
      <c r="D780" s="81"/>
      <c r="E780" s="81"/>
      <c r="F780" s="79">
        <f t="shared" si="11"/>
        <v>0</v>
      </c>
      <c r="G780" s="78"/>
    </row>
    <row r="781" spans="1:7" x14ac:dyDescent="0.2">
      <c r="A781" s="76"/>
      <c r="B781" s="77"/>
      <c r="C781" s="78"/>
      <c r="D781" s="81"/>
      <c r="E781" s="81"/>
      <c r="F781" s="79">
        <f t="shared" si="11"/>
        <v>0</v>
      </c>
      <c r="G781" s="78"/>
    </row>
    <row r="782" spans="1:7" x14ac:dyDescent="0.2">
      <c r="A782" s="76"/>
      <c r="B782" s="77"/>
      <c r="C782" s="78"/>
      <c r="D782" s="81"/>
      <c r="E782" s="81"/>
      <c r="F782" s="79">
        <f t="shared" ref="F782:F845" si="12">E782-D782</f>
        <v>0</v>
      </c>
      <c r="G782" s="78"/>
    </row>
    <row r="783" spans="1:7" x14ac:dyDescent="0.2">
      <c r="A783" s="76"/>
      <c r="B783" s="77"/>
      <c r="C783" s="78"/>
      <c r="D783" s="81"/>
      <c r="E783" s="81"/>
      <c r="F783" s="79">
        <f t="shared" si="12"/>
        <v>0</v>
      </c>
      <c r="G783" s="78"/>
    </row>
    <row r="784" spans="1:7" x14ac:dyDescent="0.2">
      <c r="A784" s="76"/>
      <c r="B784" s="77"/>
      <c r="C784" s="78"/>
      <c r="D784" s="81"/>
      <c r="E784" s="81"/>
      <c r="F784" s="79">
        <f t="shared" si="12"/>
        <v>0</v>
      </c>
      <c r="G784" s="78"/>
    </row>
    <row r="785" spans="1:7" x14ac:dyDescent="0.2">
      <c r="A785" s="76"/>
      <c r="B785" s="77"/>
      <c r="C785" s="78"/>
      <c r="D785" s="81"/>
      <c r="E785" s="81"/>
      <c r="F785" s="79">
        <f t="shared" si="12"/>
        <v>0</v>
      </c>
      <c r="G785" s="78"/>
    </row>
    <row r="786" spans="1:7" x14ac:dyDescent="0.2">
      <c r="A786" s="76"/>
      <c r="B786" s="77"/>
      <c r="C786" s="78"/>
      <c r="D786" s="81"/>
      <c r="E786" s="81"/>
      <c r="F786" s="79">
        <f t="shared" si="12"/>
        <v>0</v>
      </c>
      <c r="G786" s="78"/>
    </row>
    <row r="787" spans="1:7" x14ac:dyDescent="0.2">
      <c r="A787" s="76"/>
      <c r="B787" s="77"/>
      <c r="C787" s="78"/>
      <c r="D787" s="81"/>
      <c r="E787" s="81"/>
      <c r="F787" s="79">
        <f t="shared" si="12"/>
        <v>0</v>
      </c>
      <c r="G787" s="78"/>
    </row>
    <row r="788" spans="1:7" x14ac:dyDescent="0.2">
      <c r="A788" s="76"/>
      <c r="B788" s="77"/>
      <c r="C788" s="78"/>
      <c r="D788" s="81"/>
      <c r="E788" s="81"/>
      <c r="F788" s="79">
        <f t="shared" si="12"/>
        <v>0</v>
      </c>
      <c r="G788" s="78"/>
    </row>
    <row r="789" spans="1:7" x14ac:dyDescent="0.2">
      <c r="A789" s="76"/>
      <c r="B789" s="77"/>
      <c r="C789" s="78"/>
      <c r="D789" s="81"/>
      <c r="E789" s="81"/>
      <c r="F789" s="79">
        <f t="shared" si="12"/>
        <v>0</v>
      </c>
      <c r="G789" s="78"/>
    </row>
    <row r="790" spans="1:7" x14ac:dyDescent="0.2">
      <c r="A790" s="76"/>
      <c r="B790" s="77"/>
      <c r="C790" s="78"/>
      <c r="D790" s="81"/>
      <c r="E790" s="81"/>
      <c r="F790" s="79">
        <f t="shared" si="12"/>
        <v>0</v>
      </c>
      <c r="G790" s="78"/>
    </row>
    <row r="791" spans="1:7" x14ac:dyDescent="0.2">
      <c r="A791" s="76"/>
      <c r="B791" s="77"/>
      <c r="C791" s="78"/>
      <c r="D791" s="81"/>
      <c r="E791" s="81"/>
      <c r="F791" s="79">
        <f t="shared" si="12"/>
        <v>0</v>
      </c>
      <c r="G791" s="78"/>
    </row>
    <row r="792" spans="1:7" x14ac:dyDescent="0.2">
      <c r="A792" s="76"/>
      <c r="B792" s="77"/>
      <c r="C792" s="78"/>
      <c r="D792" s="81"/>
      <c r="E792" s="81"/>
      <c r="F792" s="79">
        <f t="shared" si="12"/>
        <v>0</v>
      </c>
      <c r="G792" s="78"/>
    </row>
    <row r="793" spans="1:7" x14ac:dyDescent="0.2">
      <c r="A793" s="76"/>
      <c r="B793" s="77"/>
      <c r="C793" s="78"/>
      <c r="D793" s="81"/>
      <c r="E793" s="81"/>
      <c r="F793" s="79">
        <f t="shared" si="12"/>
        <v>0</v>
      </c>
      <c r="G793" s="80" t="s">
        <v>66</v>
      </c>
    </row>
    <row r="794" spans="1:7" x14ac:dyDescent="0.2">
      <c r="A794" s="76"/>
      <c r="B794" s="77"/>
      <c r="C794" s="78"/>
      <c r="D794" s="81"/>
      <c r="E794" s="81"/>
      <c r="F794" s="79">
        <f t="shared" si="12"/>
        <v>0</v>
      </c>
      <c r="G794" s="78"/>
    </row>
    <row r="795" spans="1:7" x14ac:dyDescent="0.2">
      <c r="A795" s="76"/>
      <c r="B795" s="77"/>
      <c r="C795" s="78"/>
      <c r="D795" s="81"/>
      <c r="E795" s="81"/>
      <c r="F795" s="79">
        <f t="shared" si="12"/>
        <v>0</v>
      </c>
      <c r="G795" s="78"/>
    </row>
    <row r="796" spans="1:7" x14ac:dyDescent="0.2">
      <c r="A796" s="76"/>
      <c r="B796" s="77"/>
      <c r="C796" s="78"/>
      <c r="D796" s="81"/>
      <c r="E796" s="81"/>
      <c r="F796" s="79">
        <f t="shared" si="12"/>
        <v>0</v>
      </c>
      <c r="G796" s="78"/>
    </row>
    <row r="797" spans="1:7" x14ac:dyDescent="0.2">
      <c r="A797" s="76"/>
      <c r="B797" s="77"/>
      <c r="C797" s="78"/>
      <c r="D797" s="81"/>
      <c r="E797" s="81"/>
      <c r="F797" s="79">
        <f t="shared" si="12"/>
        <v>0</v>
      </c>
      <c r="G797" s="78"/>
    </row>
    <row r="798" spans="1:7" x14ac:dyDescent="0.2">
      <c r="A798" s="76"/>
      <c r="B798" s="77"/>
      <c r="C798" s="78"/>
      <c r="D798" s="81"/>
      <c r="E798" s="81"/>
      <c r="F798" s="79">
        <f t="shared" si="12"/>
        <v>0</v>
      </c>
      <c r="G798" s="78"/>
    </row>
    <row r="799" spans="1:7" x14ac:dyDescent="0.2">
      <c r="A799" s="76"/>
      <c r="B799" s="77"/>
      <c r="C799" s="78"/>
      <c r="D799" s="81"/>
      <c r="E799" s="81"/>
      <c r="F799" s="79">
        <f t="shared" si="12"/>
        <v>0</v>
      </c>
      <c r="G799" s="78"/>
    </row>
    <row r="800" spans="1:7" x14ac:dyDescent="0.2">
      <c r="A800" s="76"/>
      <c r="B800" s="77"/>
      <c r="C800" s="78"/>
      <c r="D800" s="81"/>
      <c r="E800" s="81"/>
      <c r="F800" s="79">
        <f t="shared" si="12"/>
        <v>0</v>
      </c>
      <c r="G800" s="78"/>
    </row>
    <row r="801" spans="1:7" x14ac:dyDescent="0.2">
      <c r="A801" s="76"/>
      <c r="B801" s="77"/>
      <c r="C801" s="78"/>
      <c r="D801" s="81"/>
      <c r="E801" s="81"/>
      <c r="F801" s="79">
        <f t="shared" si="12"/>
        <v>0</v>
      </c>
      <c r="G801" s="78"/>
    </row>
    <row r="802" spans="1:7" x14ac:dyDescent="0.2">
      <c r="A802" s="76"/>
      <c r="B802" s="77"/>
      <c r="C802" s="78"/>
      <c r="D802" s="81"/>
      <c r="E802" s="81"/>
      <c r="F802" s="79">
        <f t="shared" si="12"/>
        <v>0</v>
      </c>
      <c r="G802" s="78"/>
    </row>
    <row r="803" spans="1:7" x14ac:dyDescent="0.2">
      <c r="A803" s="76"/>
      <c r="B803" s="77"/>
      <c r="C803" s="78"/>
      <c r="D803" s="81"/>
      <c r="E803" s="81"/>
      <c r="F803" s="79">
        <f t="shared" si="12"/>
        <v>0</v>
      </c>
      <c r="G803" s="78"/>
    </row>
    <row r="804" spans="1:7" x14ac:dyDescent="0.2">
      <c r="A804" s="76"/>
      <c r="B804" s="77"/>
      <c r="C804" s="78"/>
      <c r="D804" s="81"/>
      <c r="E804" s="81"/>
      <c r="F804" s="79">
        <f t="shared" si="12"/>
        <v>0</v>
      </c>
      <c r="G804" s="78"/>
    </row>
    <row r="805" spans="1:7" x14ac:dyDescent="0.2">
      <c r="A805" s="76"/>
      <c r="B805" s="77"/>
      <c r="C805" s="78"/>
      <c r="D805" s="81"/>
      <c r="E805" s="81"/>
      <c r="F805" s="79">
        <f t="shared" si="12"/>
        <v>0</v>
      </c>
      <c r="G805" s="78"/>
    </row>
    <row r="806" spans="1:7" x14ac:dyDescent="0.2">
      <c r="A806" s="76"/>
      <c r="B806" s="77"/>
      <c r="C806" s="78"/>
      <c r="D806" s="81"/>
      <c r="E806" s="81"/>
      <c r="F806" s="79">
        <f t="shared" si="12"/>
        <v>0</v>
      </c>
      <c r="G806" s="78"/>
    </row>
    <row r="807" spans="1:7" x14ac:dyDescent="0.2">
      <c r="A807" s="76"/>
      <c r="B807" s="77"/>
      <c r="C807" s="78"/>
      <c r="D807" s="81"/>
      <c r="E807" s="81"/>
      <c r="F807" s="79">
        <f t="shared" si="12"/>
        <v>0</v>
      </c>
      <c r="G807" s="77"/>
    </row>
    <row r="808" spans="1:7" x14ac:dyDescent="0.2">
      <c r="A808" s="76"/>
      <c r="B808" s="77"/>
      <c r="C808" s="78"/>
      <c r="D808" s="81"/>
      <c r="E808" s="81"/>
      <c r="F808" s="79">
        <f t="shared" si="12"/>
        <v>0</v>
      </c>
      <c r="G808" s="78"/>
    </row>
    <row r="809" spans="1:7" x14ac:dyDescent="0.2">
      <c r="A809" s="76"/>
      <c r="B809" s="77"/>
      <c r="C809" s="78"/>
      <c r="D809" s="81"/>
      <c r="E809" s="81"/>
      <c r="F809" s="79">
        <f t="shared" si="12"/>
        <v>0</v>
      </c>
      <c r="G809" s="78"/>
    </row>
    <row r="810" spans="1:7" x14ac:dyDescent="0.2">
      <c r="A810" s="76"/>
      <c r="B810" s="77"/>
      <c r="C810" s="78"/>
      <c r="D810" s="81"/>
      <c r="E810" s="81"/>
      <c r="F810" s="79">
        <f t="shared" si="12"/>
        <v>0</v>
      </c>
      <c r="G810" s="78"/>
    </row>
    <row r="811" spans="1:7" x14ac:dyDescent="0.2">
      <c r="A811" s="76"/>
      <c r="B811" s="77"/>
      <c r="C811" s="78"/>
      <c r="D811" s="81"/>
      <c r="E811" s="81"/>
      <c r="F811" s="79">
        <f t="shared" si="12"/>
        <v>0</v>
      </c>
      <c r="G811" s="78"/>
    </row>
    <row r="812" spans="1:7" x14ac:dyDescent="0.2">
      <c r="A812" s="76"/>
      <c r="B812" s="77"/>
      <c r="C812" s="78"/>
      <c r="D812" s="81"/>
      <c r="E812" s="81"/>
      <c r="F812" s="79">
        <f t="shared" si="12"/>
        <v>0</v>
      </c>
      <c r="G812" s="78"/>
    </row>
    <row r="813" spans="1:7" x14ac:dyDescent="0.2">
      <c r="A813" s="76"/>
      <c r="B813" s="77"/>
      <c r="C813" s="78"/>
      <c r="D813" s="81"/>
      <c r="E813" s="81"/>
      <c r="F813" s="79">
        <f t="shared" si="12"/>
        <v>0</v>
      </c>
      <c r="G813" s="78"/>
    </row>
    <row r="814" spans="1:7" x14ac:dyDescent="0.2">
      <c r="A814" s="76"/>
      <c r="B814" s="77"/>
      <c r="C814" s="78"/>
      <c r="D814" s="81"/>
      <c r="E814" s="81"/>
      <c r="F814" s="79">
        <f t="shared" si="12"/>
        <v>0</v>
      </c>
      <c r="G814" s="78"/>
    </row>
    <row r="815" spans="1:7" x14ac:dyDescent="0.2">
      <c r="A815" s="76"/>
      <c r="B815" s="77"/>
      <c r="C815" s="78"/>
      <c r="D815" s="81"/>
      <c r="E815" s="81"/>
      <c r="F815" s="79">
        <f t="shared" si="12"/>
        <v>0</v>
      </c>
      <c r="G815" s="78"/>
    </row>
    <row r="816" spans="1:7" x14ac:dyDescent="0.2">
      <c r="A816" s="76"/>
      <c r="B816" s="77"/>
      <c r="C816" s="78"/>
      <c r="D816" s="81"/>
      <c r="E816" s="81"/>
      <c r="F816" s="79">
        <f t="shared" si="12"/>
        <v>0</v>
      </c>
      <c r="G816" s="78"/>
    </row>
    <row r="817" spans="1:7" x14ac:dyDescent="0.2">
      <c r="A817" s="76"/>
      <c r="B817" s="77"/>
      <c r="C817" s="78"/>
      <c r="D817" s="81"/>
      <c r="E817" s="81"/>
      <c r="F817" s="79">
        <f t="shared" si="12"/>
        <v>0</v>
      </c>
      <c r="G817" s="78"/>
    </row>
    <row r="818" spans="1:7" x14ac:dyDescent="0.2">
      <c r="A818" s="76"/>
      <c r="B818" s="77"/>
      <c r="C818" s="78"/>
      <c r="D818" s="81"/>
      <c r="E818" s="81"/>
      <c r="F818" s="79">
        <f t="shared" si="12"/>
        <v>0</v>
      </c>
      <c r="G818" s="78"/>
    </row>
    <row r="819" spans="1:7" x14ac:dyDescent="0.2">
      <c r="A819" s="76"/>
      <c r="B819" s="77"/>
      <c r="C819" s="78"/>
      <c r="D819" s="81"/>
      <c r="E819" s="81"/>
      <c r="F819" s="79">
        <f t="shared" si="12"/>
        <v>0</v>
      </c>
      <c r="G819" s="78"/>
    </row>
    <row r="820" spans="1:7" x14ac:dyDescent="0.2">
      <c r="A820" s="76"/>
      <c r="B820" s="77"/>
      <c r="C820" s="78"/>
      <c r="D820" s="81"/>
      <c r="E820" s="81"/>
      <c r="F820" s="79">
        <f t="shared" si="12"/>
        <v>0</v>
      </c>
      <c r="G820" s="78"/>
    </row>
    <row r="821" spans="1:7" x14ac:dyDescent="0.2">
      <c r="A821" s="76"/>
      <c r="B821" s="77"/>
      <c r="C821" s="78"/>
      <c r="D821" s="81"/>
      <c r="E821" s="81"/>
      <c r="F821" s="79">
        <f t="shared" si="12"/>
        <v>0</v>
      </c>
      <c r="G821" s="78"/>
    </row>
    <row r="822" spans="1:7" x14ac:dyDescent="0.2">
      <c r="A822" s="76"/>
      <c r="B822" s="77"/>
      <c r="C822" s="78"/>
      <c r="D822" s="81"/>
      <c r="E822" s="81"/>
      <c r="F822" s="79">
        <f t="shared" si="12"/>
        <v>0</v>
      </c>
      <c r="G822" s="78"/>
    </row>
    <row r="823" spans="1:7" x14ac:dyDescent="0.2">
      <c r="A823" s="76"/>
      <c r="B823" s="77"/>
      <c r="C823" s="78"/>
      <c r="D823" s="81"/>
      <c r="E823" s="81"/>
      <c r="F823" s="79">
        <f t="shared" si="12"/>
        <v>0</v>
      </c>
      <c r="G823" s="78"/>
    </row>
    <row r="824" spans="1:7" x14ac:dyDescent="0.2">
      <c r="A824" s="76"/>
      <c r="B824" s="77"/>
      <c r="C824" s="78"/>
      <c r="D824" s="81"/>
      <c r="E824" s="81"/>
      <c r="F824" s="79">
        <f t="shared" si="12"/>
        <v>0</v>
      </c>
      <c r="G824" s="78"/>
    </row>
    <row r="825" spans="1:7" x14ac:dyDescent="0.2">
      <c r="A825" s="76"/>
      <c r="B825" s="77"/>
      <c r="C825" s="78"/>
      <c r="D825" s="81"/>
      <c r="E825" s="81"/>
      <c r="F825" s="79">
        <f t="shared" si="12"/>
        <v>0</v>
      </c>
      <c r="G825" s="78"/>
    </row>
    <row r="826" spans="1:7" x14ac:dyDescent="0.2">
      <c r="A826" s="76"/>
      <c r="B826" s="77"/>
      <c r="C826" s="78"/>
      <c r="D826" s="81"/>
      <c r="E826" s="81"/>
      <c r="F826" s="79">
        <f t="shared" si="12"/>
        <v>0</v>
      </c>
      <c r="G826" s="78"/>
    </row>
    <row r="827" spans="1:7" x14ac:dyDescent="0.2">
      <c r="A827" s="76"/>
      <c r="B827" s="77"/>
      <c r="C827" s="78"/>
      <c r="D827" s="81"/>
      <c r="E827" s="81"/>
      <c r="F827" s="79">
        <f t="shared" si="12"/>
        <v>0</v>
      </c>
      <c r="G827" s="78"/>
    </row>
    <row r="828" spans="1:7" x14ac:dyDescent="0.2">
      <c r="A828" s="76"/>
      <c r="B828" s="77"/>
      <c r="C828" s="78"/>
      <c r="D828" s="81"/>
      <c r="E828" s="81"/>
      <c r="F828" s="79">
        <f t="shared" si="12"/>
        <v>0</v>
      </c>
      <c r="G828" s="80"/>
    </row>
    <row r="829" spans="1:7" x14ac:dyDescent="0.2">
      <c r="A829" s="76"/>
      <c r="B829" s="77"/>
      <c r="C829" s="78"/>
      <c r="D829" s="81"/>
      <c r="E829" s="81"/>
      <c r="F829" s="79">
        <f t="shared" si="12"/>
        <v>0</v>
      </c>
      <c r="G829" s="78"/>
    </row>
    <row r="830" spans="1:7" x14ac:dyDescent="0.2">
      <c r="A830" s="76"/>
      <c r="B830" s="77"/>
      <c r="C830" s="78"/>
      <c r="D830" s="81"/>
      <c r="E830" s="81"/>
      <c r="F830" s="79">
        <f t="shared" si="12"/>
        <v>0</v>
      </c>
      <c r="G830" s="78"/>
    </row>
    <row r="831" spans="1:7" x14ac:dyDescent="0.2">
      <c r="A831" s="76"/>
      <c r="B831" s="77"/>
      <c r="C831" s="78"/>
      <c r="D831" s="81"/>
      <c r="E831" s="81"/>
      <c r="F831" s="79">
        <f t="shared" si="12"/>
        <v>0</v>
      </c>
      <c r="G831" s="78"/>
    </row>
    <row r="832" spans="1:7" x14ac:dyDescent="0.2">
      <c r="A832" s="76"/>
      <c r="B832" s="77"/>
      <c r="C832" s="78"/>
      <c r="D832" s="81"/>
      <c r="E832" s="81"/>
      <c r="F832" s="79">
        <f t="shared" si="12"/>
        <v>0</v>
      </c>
      <c r="G832" s="78"/>
    </row>
    <row r="833" spans="1:7" x14ac:dyDescent="0.2">
      <c r="A833" s="76"/>
      <c r="B833" s="77"/>
      <c r="C833" s="78"/>
      <c r="D833" s="81"/>
      <c r="E833" s="81"/>
      <c r="F833" s="79">
        <f t="shared" si="12"/>
        <v>0</v>
      </c>
      <c r="G833" s="78"/>
    </row>
    <row r="834" spans="1:7" x14ac:dyDescent="0.2">
      <c r="A834" s="76"/>
      <c r="B834" s="77"/>
      <c r="C834" s="78"/>
      <c r="D834" s="81"/>
      <c r="E834" s="81"/>
      <c r="F834" s="79">
        <f t="shared" si="12"/>
        <v>0</v>
      </c>
      <c r="G834" s="78"/>
    </row>
    <row r="835" spans="1:7" x14ac:dyDescent="0.2">
      <c r="A835" s="76"/>
      <c r="B835" s="77"/>
      <c r="C835" s="78"/>
      <c r="D835" s="81"/>
      <c r="E835" s="81"/>
      <c r="F835" s="79">
        <f t="shared" si="12"/>
        <v>0</v>
      </c>
      <c r="G835" s="78"/>
    </row>
    <row r="836" spans="1:7" x14ac:dyDescent="0.2">
      <c r="A836" s="76"/>
      <c r="B836" s="77"/>
      <c r="C836" s="78"/>
      <c r="D836" s="81"/>
      <c r="E836" s="81"/>
      <c r="F836" s="79">
        <f t="shared" si="12"/>
        <v>0</v>
      </c>
      <c r="G836" s="78"/>
    </row>
    <row r="837" spans="1:7" x14ac:dyDescent="0.2">
      <c r="A837" s="76"/>
      <c r="B837" s="77"/>
      <c r="C837" s="78"/>
      <c r="D837" s="81"/>
      <c r="E837" s="81"/>
      <c r="F837" s="79">
        <f t="shared" si="12"/>
        <v>0</v>
      </c>
      <c r="G837" s="78"/>
    </row>
    <row r="838" spans="1:7" x14ac:dyDescent="0.2">
      <c r="A838" s="76"/>
      <c r="B838" s="77"/>
      <c r="C838" s="78"/>
      <c r="D838" s="81"/>
      <c r="E838" s="81"/>
      <c r="F838" s="79">
        <f t="shared" si="12"/>
        <v>0</v>
      </c>
      <c r="G838" s="78"/>
    </row>
    <row r="839" spans="1:7" x14ac:dyDescent="0.2">
      <c r="A839" s="76"/>
      <c r="B839" s="77"/>
      <c r="C839" s="78"/>
      <c r="D839" s="81"/>
      <c r="E839" s="81"/>
      <c r="F839" s="79">
        <f t="shared" si="12"/>
        <v>0</v>
      </c>
      <c r="G839" s="80"/>
    </row>
    <row r="840" spans="1:7" x14ac:dyDescent="0.2">
      <c r="A840" s="76"/>
      <c r="B840" s="77"/>
      <c r="C840" s="78"/>
      <c r="D840" s="81"/>
      <c r="E840" s="81"/>
      <c r="F840" s="79">
        <f t="shared" si="12"/>
        <v>0</v>
      </c>
      <c r="G840" s="78"/>
    </row>
    <row r="841" spans="1:7" x14ac:dyDescent="0.2">
      <c r="A841" s="76"/>
      <c r="B841" s="77"/>
      <c r="C841" s="78"/>
      <c r="D841" s="81"/>
      <c r="E841" s="81"/>
      <c r="F841" s="79">
        <f t="shared" si="12"/>
        <v>0</v>
      </c>
      <c r="G841" s="78"/>
    </row>
    <row r="842" spans="1:7" x14ac:dyDescent="0.2">
      <c r="A842" s="76"/>
      <c r="B842" s="77"/>
      <c r="C842" s="78"/>
      <c r="D842" s="81"/>
      <c r="E842" s="81"/>
      <c r="F842" s="79">
        <f t="shared" si="12"/>
        <v>0</v>
      </c>
      <c r="G842" s="78"/>
    </row>
    <row r="843" spans="1:7" x14ac:dyDescent="0.2">
      <c r="A843" s="76"/>
      <c r="B843" s="77"/>
      <c r="C843" s="78"/>
      <c r="D843" s="81"/>
      <c r="E843" s="81"/>
      <c r="F843" s="79">
        <f t="shared" si="12"/>
        <v>0</v>
      </c>
      <c r="G843" s="78"/>
    </row>
    <row r="844" spans="1:7" x14ac:dyDescent="0.2">
      <c r="A844" s="76"/>
      <c r="B844" s="77"/>
      <c r="C844" s="78"/>
      <c r="D844" s="81"/>
      <c r="E844" s="81"/>
      <c r="F844" s="79">
        <f t="shared" si="12"/>
        <v>0</v>
      </c>
      <c r="G844" s="78"/>
    </row>
    <row r="845" spans="1:7" x14ac:dyDescent="0.2">
      <c r="A845" s="76"/>
      <c r="B845" s="77"/>
      <c r="C845" s="78"/>
      <c r="D845" s="81"/>
      <c r="E845" s="81"/>
      <c r="F845" s="79">
        <f t="shared" si="12"/>
        <v>0</v>
      </c>
      <c r="G845" s="78"/>
    </row>
    <row r="846" spans="1:7" x14ac:dyDescent="0.2">
      <c r="A846" s="76"/>
      <c r="B846" s="77"/>
      <c r="C846" s="78"/>
      <c r="D846" s="81"/>
      <c r="E846" s="81"/>
      <c r="F846" s="79">
        <f t="shared" ref="F846:F909" si="13">E846-D846</f>
        <v>0</v>
      </c>
      <c r="G846" s="78"/>
    </row>
    <row r="847" spans="1:7" x14ac:dyDescent="0.2">
      <c r="A847" s="76"/>
      <c r="B847" s="77"/>
      <c r="C847" s="78"/>
      <c r="D847" s="81"/>
      <c r="E847" s="81"/>
      <c r="F847" s="79">
        <f t="shared" si="13"/>
        <v>0</v>
      </c>
      <c r="G847" s="78"/>
    </row>
    <row r="848" spans="1:7" x14ac:dyDescent="0.2">
      <c r="A848" s="76"/>
      <c r="B848" s="77"/>
      <c r="C848" s="78"/>
      <c r="D848" s="81"/>
      <c r="E848" s="81"/>
      <c r="F848" s="79">
        <f t="shared" si="13"/>
        <v>0</v>
      </c>
      <c r="G848" s="78"/>
    </row>
    <row r="849" spans="1:7" x14ac:dyDescent="0.2">
      <c r="A849" s="76"/>
      <c r="B849" s="77"/>
      <c r="C849" s="78"/>
      <c r="D849" s="81"/>
      <c r="E849" s="81"/>
      <c r="F849" s="79">
        <f t="shared" si="13"/>
        <v>0</v>
      </c>
      <c r="G849" s="80"/>
    </row>
    <row r="850" spans="1:7" x14ac:dyDescent="0.2">
      <c r="A850" s="76"/>
      <c r="B850" s="77"/>
      <c r="C850" s="78"/>
      <c r="D850" s="81"/>
      <c r="E850" s="81"/>
      <c r="F850" s="79">
        <f t="shared" si="13"/>
        <v>0</v>
      </c>
      <c r="G850" s="78"/>
    </row>
    <row r="851" spans="1:7" x14ac:dyDescent="0.2">
      <c r="A851" s="76"/>
      <c r="B851" s="77"/>
      <c r="C851" s="78"/>
      <c r="D851" s="81"/>
      <c r="E851" s="81"/>
      <c r="F851" s="79">
        <f t="shared" si="13"/>
        <v>0</v>
      </c>
      <c r="G851" s="78"/>
    </row>
    <row r="852" spans="1:7" x14ac:dyDescent="0.2">
      <c r="A852" s="76"/>
      <c r="B852" s="77"/>
      <c r="C852" s="78"/>
      <c r="D852" s="81"/>
      <c r="E852" s="81"/>
      <c r="F852" s="79">
        <f t="shared" si="13"/>
        <v>0</v>
      </c>
      <c r="G852" s="78"/>
    </row>
    <row r="853" spans="1:7" x14ac:dyDescent="0.2">
      <c r="A853" s="76"/>
      <c r="B853" s="77"/>
      <c r="C853" s="78"/>
      <c r="D853" s="81"/>
      <c r="E853" s="81"/>
      <c r="F853" s="79">
        <f t="shared" si="13"/>
        <v>0</v>
      </c>
      <c r="G853" s="78"/>
    </row>
    <row r="854" spans="1:7" x14ac:dyDescent="0.2">
      <c r="A854" s="76"/>
      <c r="B854" s="77"/>
      <c r="C854" s="78"/>
      <c r="D854" s="81"/>
      <c r="E854" s="81"/>
      <c r="F854" s="79">
        <f t="shared" si="13"/>
        <v>0</v>
      </c>
      <c r="G854" s="78"/>
    </row>
    <row r="855" spans="1:7" x14ac:dyDescent="0.2">
      <c r="A855" s="76"/>
      <c r="B855" s="77"/>
      <c r="C855" s="78"/>
      <c r="D855" s="81"/>
      <c r="E855" s="81"/>
      <c r="F855" s="79">
        <f t="shared" si="13"/>
        <v>0</v>
      </c>
      <c r="G855" s="78"/>
    </row>
    <row r="856" spans="1:7" x14ac:dyDescent="0.2">
      <c r="A856" s="76"/>
      <c r="B856" s="77"/>
      <c r="C856" s="78"/>
      <c r="D856" s="81"/>
      <c r="E856" s="81"/>
      <c r="F856" s="79">
        <f t="shared" si="13"/>
        <v>0</v>
      </c>
      <c r="G856" s="78"/>
    </row>
    <row r="857" spans="1:7" x14ac:dyDescent="0.2">
      <c r="A857" s="76"/>
      <c r="B857" s="77"/>
      <c r="C857" s="78"/>
      <c r="D857" s="81"/>
      <c r="E857" s="81"/>
      <c r="F857" s="79">
        <f t="shared" si="13"/>
        <v>0</v>
      </c>
      <c r="G857" s="78"/>
    </row>
    <row r="858" spans="1:7" x14ac:dyDescent="0.2">
      <c r="A858" s="76"/>
      <c r="B858" s="77"/>
      <c r="C858" s="78"/>
      <c r="D858" s="81"/>
      <c r="E858" s="81"/>
      <c r="F858" s="79">
        <f t="shared" si="13"/>
        <v>0</v>
      </c>
      <c r="G858" s="78"/>
    </row>
    <row r="859" spans="1:7" x14ac:dyDescent="0.2">
      <c r="A859" s="76"/>
      <c r="B859" s="77"/>
      <c r="C859" s="78"/>
      <c r="D859" s="81"/>
      <c r="E859" s="81"/>
      <c r="F859" s="79">
        <f t="shared" si="13"/>
        <v>0</v>
      </c>
      <c r="G859" s="78"/>
    </row>
    <row r="860" spans="1:7" x14ac:dyDescent="0.2">
      <c r="A860" s="76"/>
      <c r="B860" s="77"/>
      <c r="C860" s="78"/>
      <c r="D860" s="81"/>
      <c r="E860" s="81"/>
      <c r="F860" s="79">
        <f t="shared" si="13"/>
        <v>0</v>
      </c>
      <c r="G860" s="78"/>
    </row>
    <row r="861" spans="1:7" x14ac:dyDescent="0.2">
      <c r="A861" s="76"/>
      <c r="B861" s="77"/>
      <c r="C861" s="78"/>
      <c r="D861" s="81"/>
      <c r="E861" s="81"/>
      <c r="F861" s="79">
        <f t="shared" si="13"/>
        <v>0</v>
      </c>
      <c r="G861" s="78"/>
    </row>
    <row r="862" spans="1:7" x14ac:dyDescent="0.2">
      <c r="A862" s="76"/>
      <c r="B862" s="77"/>
      <c r="C862" s="78"/>
      <c r="D862" s="81"/>
      <c r="E862" s="81"/>
      <c r="F862" s="79">
        <f t="shared" si="13"/>
        <v>0</v>
      </c>
      <c r="G862" s="78"/>
    </row>
    <row r="863" spans="1:7" x14ac:dyDescent="0.2">
      <c r="A863" s="76"/>
      <c r="B863" s="77"/>
      <c r="C863" s="78"/>
      <c r="D863" s="81"/>
      <c r="E863" s="81"/>
      <c r="F863" s="79">
        <f t="shared" si="13"/>
        <v>0</v>
      </c>
      <c r="G863" s="78"/>
    </row>
    <row r="864" spans="1:7" x14ac:dyDescent="0.2">
      <c r="A864" s="76"/>
      <c r="B864" s="77"/>
      <c r="C864" s="78"/>
      <c r="D864" s="81"/>
      <c r="E864" s="81"/>
      <c r="F864" s="79">
        <f t="shared" si="13"/>
        <v>0</v>
      </c>
      <c r="G864" s="78"/>
    </row>
    <row r="865" spans="1:7" x14ac:dyDescent="0.2">
      <c r="A865" s="76"/>
      <c r="B865" s="77"/>
      <c r="C865" s="78"/>
      <c r="D865" s="81"/>
      <c r="E865" s="81"/>
      <c r="F865" s="79">
        <f t="shared" si="13"/>
        <v>0</v>
      </c>
      <c r="G865" s="78"/>
    </row>
    <row r="866" spans="1:7" x14ac:dyDescent="0.2">
      <c r="A866" s="76"/>
      <c r="B866" s="77"/>
      <c r="C866" s="78"/>
      <c r="D866" s="81"/>
      <c r="E866" s="81"/>
      <c r="F866" s="79">
        <f t="shared" si="13"/>
        <v>0</v>
      </c>
      <c r="G866" s="78"/>
    </row>
    <row r="867" spans="1:7" x14ac:dyDescent="0.2">
      <c r="A867" s="76"/>
      <c r="B867" s="77"/>
      <c r="C867" s="78"/>
      <c r="D867" s="81"/>
      <c r="E867" s="81"/>
      <c r="F867" s="79">
        <f t="shared" si="13"/>
        <v>0</v>
      </c>
      <c r="G867" s="78"/>
    </row>
    <row r="868" spans="1:7" x14ac:dyDescent="0.2">
      <c r="A868" s="76"/>
      <c r="B868" s="77"/>
      <c r="C868" s="78"/>
      <c r="D868" s="81"/>
      <c r="E868" s="81"/>
      <c r="F868" s="79">
        <f t="shared" si="13"/>
        <v>0</v>
      </c>
      <c r="G868" s="78"/>
    </row>
    <row r="869" spans="1:7" x14ac:dyDescent="0.2">
      <c r="A869" s="76"/>
      <c r="B869" s="77"/>
      <c r="C869" s="78"/>
      <c r="D869" s="81"/>
      <c r="E869" s="81"/>
      <c r="F869" s="79">
        <f t="shared" si="13"/>
        <v>0</v>
      </c>
      <c r="G869" s="78"/>
    </row>
    <row r="870" spans="1:7" x14ac:dyDescent="0.2">
      <c r="A870" s="76"/>
      <c r="B870" s="77"/>
      <c r="C870" s="78"/>
      <c r="D870" s="81"/>
      <c r="E870" s="81"/>
      <c r="F870" s="79">
        <f t="shared" si="13"/>
        <v>0</v>
      </c>
      <c r="G870" s="78"/>
    </row>
    <row r="871" spans="1:7" x14ac:dyDescent="0.2">
      <c r="A871" s="76"/>
      <c r="B871" s="77"/>
      <c r="C871" s="78"/>
      <c r="D871" s="81"/>
      <c r="E871" s="81"/>
      <c r="F871" s="79">
        <f t="shared" si="13"/>
        <v>0</v>
      </c>
      <c r="G871" s="78"/>
    </row>
    <row r="872" spans="1:7" x14ac:dyDescent="0.2">
      <c r="A872" s="76"/>
      <c r="B872" s="77"/>
      <c r="C872" s="78"/>
      <c r="D872" s="81"/>
      <c r="E872" s="81"/>
      <c r="F872" s="79">
        <f t="shared" si="13"/>
        <v>0</v>
      </c>
      <c r="G872" s="78"/>
    </row>
    <row r="873" spans="1:7" x14ac:dyDescent="0.2">
      <c r="A873" s="76"/>
      <c r="B873" s="77"/>
      <c r="C873" s="78"/>
      <c r="D873" s="81"/>
      <c r="E873" s="81"/>
      <c r="F873" s="79">
        <f t="shared" si="13"/>
        <v>0</v>
      </c>
      <c r="G873" s="78"/>
    </row>
    <row r="874" spans="1:7" x14ac:dyDescent="0.2">
      <c r="A874" s="76"/>
      <c r="B874" s="77"/>
      <c r="C874" s="78"/>
      <c r="D874" s="81"/>
      <c r="E874" s="81"/>
      <c r="F874" s="79">
        <f t="shared" si="13"/>
        <v>0</v>
      </c>
      <c r="G874" s="78"/>
    </row>
    <row r="875" spans="1:7" x14ac:dyDescent="0.2">
      <c r="A875" s="76"/>
      <c r="B875" s="77"/>
      <c r="C875" s="78"/>
      <c r="D875" s="81"/>
      <c r="E875" s="81"/>
      <c r="F875" s="79">
        <f t="shared" si="13"/>
        <v>0</v>
      </c>
      <c r="G875" s="78"/>
    </row>
    <row r="876" spans="1:7" x14ac:dyDescent="0.2">
      <c r="A876" s="76"/>
      <c r="B876" s="77"/>
      <c r="C876" s="78"/>
      <c r="D876" s="81"/>
      <c r="E876" s="81"/>
      <c r="F876" s="79">
        <f t="shared" si="13"/>
        <v>0</v>
      </c>
      <c r="G876" s="78"/>
    </row>
    <row r="877" spans="1:7" x14ac:dyDescent="0.2">
      <c r="A877" s="76"/>
      <c r="B877" s="77"/>
      <c r="C877" s="78"/>
      <c r="D877" s="81"/>
      <c r="E877" s="81"/>
      <c r="F877" s="79">
        <f t="shared" si="13"/>
        <v>0</v>
      </c>
      <c r="G877" s="78"/>
    </row>
    <row r="878" spans="1:7" x14ac:dyDescent="0.2">
      <c r="A878" s="76"/>
      <c r="B878" s="77"/>
      <c r="C878" s="78"/>
      <c r="D878" s="81"/>
      <c r="E878" s="81"/>
      <c r="F878" s="79">
        <f t="shared" si="13"/>
        <v>0</v>
      </c>
      <c r="G878" s="78"/>
    </row>
    <row r="879" spans="1:7" x14ac:dyDescent="0.2">
      <c r="A879" s="76"/>
      <c r="B879" s="77"/>
      <c r="C879" s="78"/>
      <c r="D879" s="81"/>
      <c r="E879" s="81"/>
      <c r="F879" s="79">
        <f t="shared" si="13"/>
        <v>0</v>
      </c>
      <c r="G879" s="78"/>
    </row>
    <row r="880" spans="1:7" x14ac:dyDescent="0.2">
      <c r="A880" s="76"/>
      <c r="B880" s="77"/>
      <c r="C880" s="78"/>
      <c r="D880" s="81"/>
      <c r="E880" s="81"/>
      <c r="F880" s="79">
        <f t="shared" si="13"/>
        <v>0</v>
      </c>
      <c r="G880" s="78"/>
    </row>
    <row r="881" spans="1:7" x14ac:dyDescent="0.2">
      <c r="A881" s="76"/>
      <c r="B881" s="77"/>
      <c r="C881" s="78"/>
      <c r="D881" s="81"/>
      <c r="E881" s="81"/>
      <c r="F881" s="79">
        <f t="shared" si="13"/>
        <v>0</v>
      </c>
      <c r="G881" s="78"/>
    </row>
    <row r="882" spans="1:7" x14ac:dyDescent="0.2">
      <c r="A882" s="76"/>
      <c r="B882" s="77"/>
      <c r="C882" s="78"/>
      <c r="D882" s="81"/>
      <c r="E882" s="81"/>
      <c r="F882" s="79">
        <f t="shared" si="13"/>
        <v>0</v>
      </c>
      <c r="G882" s="78"/>
    </row>
    <row r="883" spans="1:7" x14ac:dyDescent="0.2">
      <c r="A883" s="76"/>
      <c r="B883" s="77"/>
      <c r="C883" s="78"/>
      <c r="D883" s="81"/>
      <c r="E883" s="81"/>
      <c r="F883" s="79">
        <f t="shared" si="13"/>
        <v>0</v>
      </c>
      <c r="G883" s="78"/>
    </row>
    <row r="884" spans="1:7" x14ac:dyDescent="0.2">
      <c r="A884" s="76"/>
      <c r="B884" s="77"/>
      <c r="C884" s="78"/>
      <c r="D884" s="81"/>
      <c r="E884" s="81"/>
      <c r="F884" s="79">
        <f t="shared" si="13"/>
        <v>0</v>
      </c>
      <c r="G884" s="78"/>
    </row>
    <row r="885" spans="1:7" x14ac:dyDescent="0.2">
      <c r="A885" s="76"/>
      <c r="B885" s="77"/>
      <c r="C885" s="78"/>
      <c r="D885" s="81"/>
      <c r="E885" s="81"/>
      <c r="F885" s="79">
        <f t="shared" si="13"/>
        <v>0</v>
      </c>
      <c r="G885" s="78"/>
    </row>
    <row r="886" spans="1:7" x14ac:dyDescent="0.2">
      <c r="A886" s="76"/>
      <c r="B886" s="77"/>
      <c r="C886" s="78"/>
      <c r="D886" s="81"/>
      <c r="E886" s="81"/>
      <c r="F886" s="79">
        <f t="shared" si="13"/>
        <v>0</v>
      </c>
      <c r="G886" s="78"/>
    </row>
    <row r="887" spans="1:7" x14ac:dyDescent="0.2">
      <c r="A887" s="76"/>
      <c r="B887" s="77"/>
      <c r="C887" s="78"/>
      <c r="D887" s="81"/>
      <c r="E887" s="81"/>
      <c r="F887" s="79">
        <f t="shared" si="13"/>
        <v>0</v>
      </c>
      <c r="G887" s="78"/>
    </row>
    <row r="888" spans="1:7" x14ac:dyDescent="0.2">
      <c r="A888" s="76"/>
      <c r="B888" s="77"/>
      <c r="C888" s="78"/>
      <c r="D888" s="81"/>
      <c r="E888" s="81"/>
      <c r="F888" s="79">
        <f t="shared" si="13"/>
        <v>0</v>
      </c>
      <c r="G888" s="78"/>
    </row>
    <row r="889" spans="1:7" x14ac:dyDescent="0.2">
      <c r="A889" s="76"/>
      <c r="B889" s="77"/>
      <c r="C889" s="78"/>
      <c r="D889" s="81"/>
      <c r="E889" s="81"/>
      <c r="F889" s="79">
        <f t="shared" si="13"/>
        <v>0</v>
      </c>
      <c r="G889" s="78"/>
    </row>
    <row r="890" spans="1:7" x14ac:dyDescent="0.2">
      <c r="A890" s="76"/>
      <c r="B890" s="77"/>
      <c r="C890" s="78"/>
      <c r="D890" s="81"/>
      <c r="E890" s="81"/>
      <c r="F890" s="79">
        <f t="shared" si="13"/>
        <v>0</v>
      </c>
      <c r="G890" s="78"/>
    </row>
    <row r="891" spans="1:7" x14ac:dyDescent="0.2">
      <c r="A891" s="76"/>
      <c r="B891" s="77"/>
      <c r="C891" s="78"/>
      <c r="D891" s="81"/>
      <c r="E891" s="81"/>
      <c r="F891" s="79">
        <f t="shared" si="13"/>
        <v>0</v>
      </c>
      <c r="G891" s="78"/>
    </row>
    <row r="892" spans="1:7" x14ac:dyDescent="0.2">
      <c r="A892" s="76"/>
      <c r="B892" s="77"/>
      <c r="C892" s="78"/>
      <c r="D892" s="81"/>
      <c r="E892" s="81"/>
      <c r="F892" s="79">
        <f t="shared" si="13"/>
        <v>0</v>
      </c>
      <c r="G892" s="78"/>
    </row>
    <row r="893" spans="1:7" x14ac:dyDescent="0.2">
      <c r="A893" s="76"/>
      <c r="B893" s="77"/>
      <c r="C893" s="78"/>
      <c r="D893" s="81"/>
      <c r="E893" s="81"/>
      <c r="F893" s="79">
        <f t="shared" si="13"/>
        <v>0</v>
      </c>
      <c r="G893" s="78"/>
    </row>
    <row r="894" spans="1:7" x14ac:dyDescent="0.2">
      <c r="A894" s="76"/>
      <c r="B894" s="77"/>
      <c r="C894" s="78"/>
      <c r="D894" s="81"/>
      <c r="E894" s="81"/>
      <c r="F894" s="79">
        <f t="shared" si="13"/>
        <v>0</v>
      </c>
      <c r="G894" s="78"/>
    </row>
    <row r="895" spans="1:7" x14ac:dyDescent="0.2">
      <c r="A895" s="76"/>
      <c r="B895" s="84"/>
      <c r="C895" s="78"/>
      <c r="D895" s="81"/>
      <c r="E895" s="81"/>
      <c r="F895" s="79">
        <f t="shared" si="13"/>
        <v>0</v>
      </c>
      <c r="G895" s="78"/>
    </row>
    <row r="896" spans="1:7" x14ac:dyDescent="0.2">
      <c r="A896" s="76"/>
      <c r="B896" s="77"/>
      <c r="C896" s="78"/>
      <c r="D896" s="81"/>
      <c r="E896" s="81"/>
      <c r="F896" s="79">
        <f t="shared" si="13"/>
        <v>0</v>
      </c>
      <c r="G896" s="78"/>
    </row>
    <row r="897" spans="1:7" x14ac:dyDescent="0.2">
      <c r="A897" s="76"/>
      <c r="B897" s="77"/>
      <c r="C897" s="78"/>
      <c r="D897" s="81"/>
      <c r="E897" s="81"/>
      <c r="F897" s="79">
        <f t="shared" si="13"/>
        <v>0</v>
      </c>
      <c r="G897" s="78"/>
    </row>
    <row r="898" spans="1:7" x14ac:dyDescent="0.2">
      <c r="A898" s="76"/>
      <c r="B898" s="77"/>
      <c r="C898" s="78"/>
      <c r="D898" s="81"/>
      <c r="E898" s="81"/>
      <c r="F898" s="79">
        <f t="shared" si="13"/>
        <v>0</v>
      </c>
      <c r="G898" s="78"/>
    </row>
    <row r="899" spans="1:7" x14ac:dyDescent="0.2">
      <c r="A899" s="76"/>
      <c r="B899" s="77"/>
      <c r="C899" s="78"/>
      <c r="D899" s="81"/>
      <c r="E899" s="81"/>
      <c r="F899" s="79">
        <f t="shared" si="13"/>
        <v>0</v>
      </c>
      <c r="G899" s="78"/>
    </row>
    <row r="900" spans="1:7" x14ac:dyDescent="0.2">
      <c r="A900" s="76"/>
      <c r="B900" s="77"/>
      <c r="C900" s="78"/>
      <c r="D900" s="81"/>
      <c r="E900" s="81"/>
      <c r="F900" s="79">
        <f t="shared" si="13"/>
        <v>0</v>
      </c>
      <c r="G900" s="78"/>
    </row>
    <row r="901" spans="1:7" x14ac:dyDescent="0.2">
      <c r="A901" s="76"/>
      <c r="B901" s="77"/>
      <c r="C901" s="78"/>
      <c r="D901" s="81"/>
      <c r="E901" s="81"/>
      <c r="F901" s="79">
        <f t="shared" si="13"/>
        <v>0</v>
      </c>
      <c r="G901" s="78"/>
    </row>
    <row r="902" spans="1:7" x14ac:dyDescent="0.2">
      <c r="A902" s="76"/>
      <c r="B902" s="77"/>
      <c r="C902" s="78"/>
      <c r="D902" s="81"/>
      <c r="E902" s="81"/>
      <c r="F902" s="79">
        <f t="shared" si="13"/>
        <v>0</v>
      </c>
      <c r="G902" s="78"/>
    </row>
    <row r="903" spans="1:7" x14ac:dyDescent="0.2">
      <c r="A903" s="76"/>
      <c r="B903" s="77"/>
      <c r="C903" s="78"/>
      <c r="D903" s="81"/>
      <c r="E903" s="81"/>
      <c r="F903" s="79">
        <f t="shared" si="13"/>
        <v>0</v>
      </c>
      <c r="G903" s="78"/>
    </row>
    <row r="904" spans="1:7" x14ac:dyDescent="0.2">
      <c r="A904" s="76"/>
      <c r="B904" s="77"/>
      <c r="C904" s="78"/>
      <c r="D904" s="81"/>
      <c r="E904" s="81"/>
      <c r="F904" s="79">
        <f t="shared" si="13"/>
        <v>0</v>
      </c>
      <c r="G904" s="78"/>
    </row>
    <row r="905" spans="1:7" x14ac:dyDescent="0.2">
      <c r="A905" s="76"/>
      <c r="B905" s="77"/>
      <c r="C905" s="78"/>
      <c r="D905" s="81"/>
      <c r="E905" s="81"/>
      <c r="F905" s="79">
        <f t="shared" si="13"/>
        <v>0</v>
      </c>
      <c r="G905" s="78"/>
    </row>
    <row r="906" spans="1:7" x14ac:dyDescent="0.2">
      <c r="A906" s="76"/>
      <c r="B906" s="77"/>
      <c r="C906" s="78"/>
      <c r="D906" s="81"/>
      <c r="E906" s="81"/>
      <c r="F906" s="79">
        <f t="shared" si="13"/>
        <v>0</v>
      </c>
      <c r="G906" s="78"/>
    </row>
    <row r="907" spans="1:7" x14ac:dyDescent="0.2">
      <c r="A907" s="76"/>
      <c r="B907" s="77"/>
      <c r="C907" s="78"/>
      <c r="D907" s="81"/>
      <c r="E907" s="81"/>
      <c r="F907" s="79">
        <f t="shared" si="13"/>
        <v>0</v>
      </c>
      <c r="G907" s="78"/>
    </row>
    <row r="908" spans="1:7" x14ac:dyDescent="0.2">
      <c r="A908" s="76"/>
      <c r="B908" s="77"/>
      <c r="C908" s="78"/>
      <c r="D908" s="81"/>
      <c r="E908" s="81"/>
      <c r="F908" s="79">
        <f t="shared" si="13"/>
        <v>0</v>
      </c>
      <c r="G908" s="78"/>
    </row>
    <row r="909" spans="1:7" x14ac:dyDescent="0.2">
      <c r="A909" s="76"/>
      <c r="B909" s="77"/>
      <c r="C909" s="78"/>
      <c r="D909" s="81"/>
      <c r="E909" s="81"/>
      <c r="F909" s="79">
        <f t="shared" si="13"/>
        <v>0</v>
      </c>
      <c r="G909" s="78"/>
    </row>
    <row r="910" spans="1:7" x14ac:dyDescent="0.2">
      <c r="A910" s="76"/>
      <c r="B910" s="77"/>
      <c r="C910" s="78"/>
      <c r="D910" s="81"/>
      <c r="E910" s="81"/>
      <c r="F910" s="79">
        <f t="shared" ref="F910:F973" si="14">E910-D910</f>
        <v>0</v>
      </c>
      <c r="G910" s="78"/>
    </row>
    <row r="911" spans="1:7" x14ac:dyDescent="0.2">
      <c r="A911" s="76"/>
      <c r="B911" s="77"/>
      <c r="C911" s="78"/>
      <c r="D911" s="81"/>
      <c r="E911" s="81"/>
      <c r="F911" s="79">
        <f t="shared" si="14"/>
        <v>0</v>
      </c>
      <c r="G911" s="78"/>
    </row>
    <row r="912" spans="1:7" x14ac:dyDescent="0.2">
      <c r="A912" s="76"/>
      <c r="B912" s="77"/>
      <c r="C912" s="78"/>
      <c r="D912" s="81"/>
      <c r="E912" s="81"/>
      <c r="F912" s="79">
        <f t="shared" si="14"/>
        <v>0</v>
      </c>
      <c r="G912" s="78"/>
    </row>
    <row r="913" spans="1:7" x14ac:dyDescent="0.2">
      <c r="A913" s="76"/>
      <c r="B913" s="77"/>
      <c r="C913" s="78"/>
      <c r="D913" s="81"/>
      <c r="E913" s="81"/>
      <c r="F913" s="79">
        <f t="shared" si="14"/>
        <v>0</v>
      </c>
      <c r="G913" s="78"/>
    </row>
    <row r="914" spans="1:7" x14ac:dyDescent="0.2">
      <c r="A914" s="76"/>
      <c r="B914" s="77"/>
      <c r="C914" s="78"/>
      <c r="D914" s="81"/>
      <c r="E914" s="81"/>
      <c r="F914" s="79">
        <f t="shared" si="14"/>
        <v>0</v>
      </c>
      <c r="G914" s="78"/>
    </row>
    <row r="915" spans="1:7" x14ac:dyDescent="0.2">
      <c r="A915" s="76"/>
      <c r="B915" s="77"/>
      <c r="C915" s="78"/>
      <c r="D915" s="81"/>
      <c r="E915" s="81"/>
      <c r="F915" s="79">
        <f t="shared" si="14"/>
        <v>0</v>
      </c>
      <c r="G915" s="78"/>
    </row>
    <row r="916" spans="1:7" x14ac:dyDescent="0.2">
      <c r="A916" s="76"/>
      <c r="B916" s="77"/>
      <c r="C916" s="78"/>
      <c r="D916" s="81"/>
      <c r="E916" s="81"/>
      <c r="F916" s="79">
        <f t="shared" si="14"/>
        <v>0</v>
      </c>
      <c r="G916" s="78"/>
    </row>
    <row r="917" spans="1:7" x14ac:dyDescent="0.2">
      <c r="A917" s="76"/>
      <c r="B917" s="77"/>
      <c r="C917" s="78"/>
      <c r="D917" s="81"/>
      <c r="E917" s="81"/>
      <c r="F917" s="79">
        <f t="shared" si="14"/>
        <v>0</v>
      </c>
      <c r="G917" s="78"/>
    </row>
    <row r="918" spans="1:7" x14ac:dyDescent="0.2">
      <c r="A918" s="76"/>
      <c r="B918" s="77"/>
      <c r="C918" s="78"/>
      <c r="D918" s="81"/>
      <c r="E918" s="81"/>
      <c r="F918" s="79">
        <f t="shared" si="14"/>
        <v>0</v>
      </c>
      <c r="G918" s="78"/>
    </row>
    <row r="919" spans="1:7" x14ac:dyDescent="0.2">
      <c r="A919" s="76"/>
      <c r="B919" s="77"/>
      <c r="C919" s="78"/>
      <c r="D919" s="81"/>
      <c r="E919" s="81"/>
      <c r="F919" s="79">
        <f t="shared" si="14"/>
        <v>0</v>
      </c>
      <c r="G919" s="78"/>
    </row>
    <row r="920" spans="1:7" x14ac:dyDescent="0.2">
      <c r="A920" s="76"/>
      <c r="B920" s="77"/>
      <c r="C920" s="78"/>
      <c r="D920" s="81"/>
      <c r="E920" s="81"/>
      <c r="F920" s="79">
        <f t="shared" si="14"/>
        <v>0</v>
      </c>
      <c r="G920" s="78"/>
    </row>
    <row r="921" spans="1:7" x14ac:dyDescent="0.2">
      <c r="A921" s="76"/>
      <c r="B921" s="77"/>
      <c r="C921" s="78"/>
      <c r="D921" s="81"/>
      <c r="E921" s="81"/>
      <c r="F921" s="79">
        <f t="shared" si="14"/>
        <v>0</v>
      </c>
      <c r="G921" s="78"/>
    </row>
    <row r="922" spans="1:7" x14ac:dyDescent="0.2">
      <c r="A922" s="76"/>
      <c r="B922" s="77"/>
      <c r="C922" s="78"/>
      <c r="D922" s="81"/>
      <c r="E922" s="81"/>
      <c r="F922" s="79">
        <f t="shared" si="14"/>
        <v>0</v>
      </c>
      <c r="G922" s="78"/>
    </row>
    <row r="923" spans="1:7" x14ac:dyDescent="0.2">
      <c r="A923" s="76"/>
      <c r="B923" s="77"/>
      <c r="C923" s="78"/>
      <c r="D923" s="81"/>
      <c r="E923" s="81"/>
      <c r="F923" s="79">
        <f t="shared" si="14"/>
        <v>0</v>
      </c>
      <c r="G923" s="78"/>
    </row>
    <row r="924" spans="1:7" x14ac:dyDescent="0.2">
      <c r="A924" s="76"/>
      <c r="B924" s="77"/>
      <c r="C924" s="78"/>
      <c r="D924" s="81"/>
      <c r="E924" s="81"/>
      <c r="F924" s="79">
        <f t="shared" si="14"/>
        <v>0</v>
      </c>
      <c r="G924" s="78"/>
    </row>
    <row r="925" spans="1:7" x14ac:dyDescent="0.2">
      <c r="A925" s="76"/>
      <c r="B925" s="77"/>
      <c r="C925" s="78"/>
      <c r="D925" s="81"/>
      <c r="E925" s="81"/>
      <c r="F925" s="79">
        <f t="shared" si="14"/>
        <v>0</v>
      </c>
      <c r="G925" s="78"/>
    </row>
    <row r="926" spans="1:7" x14ac:dyDescent="0.2">
      <c r="A926" s="76"/>
      <c r="B926" s="77"/>
      <c r="C926" s="78"/>
      <c r="D926" s="81"/>
      <c r="E926" s="81"/>
      <c r="F926" s="79">
        <f t="shared" si="14"/>
        <v>0</v>
      </c>
      <c r="G926" s="78"/>
    </row>
    <row r="927" spans="1:7" x14ac:dyDescent="0.2">
      <c r="A927" s="76"/>
      <c r="B927" s="77"/>
      <c r="C927" s="78"/>
      <c r="D927" s="81"/>
      <c r="E927" s="81"/>
      <c r="F927" s="79">
        <f t="shared" si="14"/>
        <v>0</v>
      </c>
      <c r="G927" s="78"/>
    </row>
    <row r="928" spans="1:7" x14ac:dyDescent="0.2">
      <c r="A928" s="76"/>
      <c r="B928" s="77"/>
      <c r="C928" s="78"/>
      <c r="D928" s="81"/>
      <c r="E928" s="81"/>
      <c r="F928" s="79">
        <f t="shared" si="14"/>
        <v>0</v>
      </c>
      <c r="G928" s="78"/>
    </row>
    <row r="929" spans="1:7" x14ac:dyDescent="0.2">
      <c r="A929" s="76"/>
      <c r="B929" s="77"/>
      <c r="C929" s="78"/>
      <c r="D929" s="81"/>
      <c r="E929" s="81"/>
      <c r="F929" s="79">
        <f t="shared" si="14"/>
        <v>0</v>
      </c>
      <c r="G929" s="78"/>
    </row>
    <row r="930" spans="1:7" x14ac:dyDescent="0.2">
      <c r="A930" s="76"/>
      <c r="B930" s="77"/>
      <c r="C930" s="78"/>
      <c r="D930" s="81"/>
      <c r="E930" s="81"/>
      <c r="F930" s="79">
        <f t="shared" si="14"/>
        <v>0</v>
      </c>
      <c r="G930" s="78"/>
    </row>
    <row r="931" spans="1:7" x14ac:dyDescent="0.2">
      <c r="A931" s="76"/>
      <c r="B931" s="77"/>
      <c r="C931" s="78"/>
      <c r="D931" s="81"/>
      <c r="E931" s="81"/>
      <c r="F931" s="79">
        <f t="shared" si="14"/>
        <v>0</v>
      </c>
      <c r="G931" s="78"/>
    </row>
    <row r="932" spans="1:7" x14ac:dyDescent="0.2">
      <c r="A932" s="76"/>
      <c r="B932" s="77"/>
      <c r="C932" s="78"/>
      <c r="D932" s="81"/>
      <c r="E932" s="81"/>
      <c r="F932" s="79">
        <f t="shared" si="14"/>
        <v>0</v>
      </c>
      <c r="G932" s="78"/>
    </row>
    <row r="933" spans="1:7" x14ac:dyDescent="0.2">
      <c r="A933" s="76"/>
      <c r="B933" s="77"/>
      <c r="C933" s="78"/>
      <c r="D933" s="81"/>
      <c r="E933" s="81"/>
      <c r="F933" s="79">
        <f t="shared" si="14"/>
        <v>0</v>
      </c>
      <c r="G933" s="78"/>
    </row>
    <row r="934" spans="1:7" x14ac:dyDescent="0.2">
      <c r="A934" s="76"/>
      <c r="B934" s="77"/>
      <c r="C934" s="78"/>
      <c r="D934" s="81"/>
      <c r="E934" s="81"/>
      <c r="F934" s="79">
        <f t="shared" si="14"/>
        <v>0</v>
      </c>
      <c r="G934" s="78"/>
    </row>
    <row r="935" spans="1:7" x14ac:dyDescent="0.2">
      <c r="A935" s="76"/>
      <c r="B935" s="77"/>
      <c r="C935" s="78"/>
      <c r="D935" s="81"/>
      <c r="E935" s="81"/>
      <c r="F935" s="79">
        <f t="shared" si="14"/>
        <v>0</v>
      </c>
      <c r="G935" s="78"/>
    </row>
    <row r="936" spans="1:7" x14ac:dyDescent="0.2">
      <c r="A936" s="76"/>
      <c r="B936" s="77"/>
      <c r="C936" s="78"/>
      <c r="D936" s="81"/>
      <c r="E936" s="81"/>
      <c r="F936" s="79">
        <f t="shared" si="14"/>
        <v>0</v>
      </c>
      <c r="G936" s="78"/>
    </row>
    <row r="937" spans="1:7" x14ac:dyDescent="0.2">
      <c r="A937" s="76"/>
      <c r="B937" s="77"/>
      <c r="C937" s="78"/>
      <c r="D937" s="81"/>
      <c r="E937" s="81"/>
      <c r="F937" s="79">
        <f t="shared" si="14"/>
        <v>0</v>
      </c>
      <c r="G937" s="78"/>
    </row>
    <row r="938" spans="1:7" x14ac:dyDescent="0.2">
      <c r="A938" s="76"/>
      <c r="B938" s="77"/>
      <c r="C938" s="78"/>
      <c r="D938" s="81"/>
      <c r="E938" s="81"/>
      <c r="F938" s="79">
        <f t="shared" si="14"/>
        <v>0</v>
      </c>
      <c r="G938" s="78"/>
    </row>
    <row r="939" spans="1:7" x14ac:dyDescent="0.2">
      <c r="A939" s="76"/>
      <c r="B939" s="77"/>
      <c r="C939" s="78"/>
      <c r="D939" s="81"/>
      <c r="E939" s="81"/>
      <c r="F939" s="79">
        <f t="shared" si="14"/>
        <v>0</v>
      </c>
      <c r="G939" s="78"/>
    </row>
    <row r="940" spans="1:7" x14ac:dyDescent="0.2">
      <c r="A940" s="76"/>
      <c r="B940" s="77"/>
      <c r="C940" s="78"/>
      <c r="D940" s="81"/>
      <c r="E940" s="81"/>
      <c r="F940" s="79">
        <f t="shared" si="14"/>
        <v>0</v>
      </c>
      <c r="G940" s="78"/>
    </row>
    <row r="941" spans="1:7" x14ac:dyDescent="0.2">
      <c r="A941" s="76"/>
      <c r="B941" s="77"/>
      <c r="C941" s="78"/>
      <c r="D941" s="81"/>
      <c r="E941" s="81"/>
      <c r="F941" s="79">
        <f t="shared" si="14"/>
        <v>0</v>
      </c>
      <c r="G941" s="78"/>
    </row>
    <row r="942" spans="1:7" x14ac:dyDescent="0.2">
      <c r="A942" s="76"/>
      <c r="B942" s="77"/>
      <c r="C942" s="78"/>
      <c r="D942" s="81"/>
      <c r="E942" s="81"/>
      <c r="F942" s="79">
        <f t="shared" si="14"/>
        <v>0</v>
      </c>
      <c r="G942" s="78"/>
    </row>
    <row r="943" spans="1:7" x14ac:dyDescent="0.2">
      <c r="A943" s="76"/>
      <c r="B943" s="77"/>
      <c r="C943" s="78"/>
      <c r="D943" s="81"/>
      <c r="E943" s="81"/>
      <c r="F943" s="79">
        <f t="shared" si="14"/>
        <v>0</v>
      </c>
      <c r="G943" s="78"/>
    </row>
    <row r="944" spans="1:7" x14ac:dyDescent="0.2">
      <c r="A944" s="76"/>
      <c r="B944" s="77"/>
      <c r="C944" s="78"/>
      <c r="D944" s="81"/>
      <c r="E944" s="81"/>
      <c r="F944" s="79">
        <f t="shared" si="14"/>
        <v>0</v>
      </c>
      <c r="G944" s="78"/>
    </row>
    <row r="945" spans="1:7" x14ac:dyDescent="0.2">
      <c r="A945" s="76"/>
      <c r="B945" s="77"/>
      <c r="C945" s="78"/>
      <c r="D945" s="81"/>
      <c r="E945" s="81"/>
      <c r="F945" s="79">
        <f t="shared" si="14"/>
        <v>0</v>
      </c>
      <c r="G945" s="78"/>
    </row>
    <row r="946" spans="1:7" x14ac:dyDescent="0.2">
      <c r="A946" s="76"/>
      <c r="B946" s="77"/>
      <c r="C946" s="78"/>
      <c r="D946" s="81"/>
      <c r="E946" s="81"/>
      <c r="F946" s="79">
        <f t="shared" si="14"/>
        <v>0</v>
      </c>
      <c r="G946" s="78"/>
    </row>
    <row r="947" spans="1:7" x14ac:dyDescent="0.2">
      <c r="A947" s="76"/>
      <c r="B947" s="77"/>
      <c r="C947" s="78"/>
      <c r="D947" s="81"/>
      <c r="E947" s="81"/>
      <c r="F947" s="79">
        <f t="shared" si="14"/>
        <v>0</v>
      </c>
      <c r="G947" s="78"/>
    </row>
    <row r="948" spans="1:7" x14ac:dyDescent="0.2">
      <c r="A948" s="76"/>
      <c r="B948" s="77"/>
      <c r="C948" s="78"/>
      <c r="D948" s="81"/>
      <c r="E948" s="81"/>
      <c r="F948" s="79">
        <f t="shared" si="14"/>
        <v>0</v>
      </c>
      <c r="G948" s="78"/>
    </row>
    <row r="949" spans="1:7" x14ac:dyDescent="0.2">
      <c r="A949" s="76"/>
      <c r="B949" s="77"/>
      <c r="C949" s="78"/>
      <c r="D949" s="81"/>
      <c r="E949" s="81"/>
      <c r="F949" s="79">
        <f t="shared" si="14"/>
        <v>0</v>
      </c>
      <c r="G949" s="78"/>
    </row>
    <row r="950" spans="1:7" x14ac:dyDescent="0.2">
      <c r="A950" s="76"/>
      <c r="B950" s="77"/>
      <c r="C950" s="78"/>
      <c r="D950" s="81"/>
      <c r="E950" s="81"/>
      <c r="F950" s="79">
        <f t="shared" si="14"/>
        <v>0</v>
      </c>
      <c r="G950" s="78"/>
    </row>
    <row r="951" spans="1:7" x14ac:dyDescent="0.2">
      <c r="A951" s="76"/>
      <c r="B951" s="77"/>
      <c r="C951" s="78"/>
      <c r="D951" s="81"/>
      <c r="E951" s="81"/>
      <c r="F951" s="79">
        <f t="shared" si="14"/>
        <v>0</v>
      </c>
      <c r="G951" s="78"/>
    </row>
    <row r="952" spans="1:7" x14ac:dyDescent="0.2">
      <c r="A952" s="76"/>
      <c r="B952" s="77"/>
      <c r="C952" s="78"/>
      <c r="D952" s="81"/>
      <c r="E952" s="81"/>
      <c r="F952" s="79">
        <f t="shared" si="14"/>
        <v>0</v>
      </c>
      <c r="G952" s="78"/>
    </row>
    <row r="953" spans="1:7" x14ac:dyDescent="0.2">
      <c r="A953" s="76"/>
      <c r="B953" s="77"/>
      <c r="C953" s="78"/>
      <c r="D953" s="81"/>
      <c r="E953" s="81"/>
      <c r="F953" s="79">
        <f t="shared" si="14"/>
        <v>0</v>
      </c>
      <c r="G953" s="78"/>
    </row>
    <row r="954" spans="1:7" x14ac:dyDescent="0.2">
      <c r="A954" s="76"/>
      <c r="B954" s="77"/>
      <c r="C954" s="78"/>
      <c r="D954" s="81"/>
      <c r="E954" s="81"/>
      <c r="F954" s="79">
        <f t="shared" si="14"/>
        <v>0</v>
      </c>
      <c r="G954" s="78"/>
    </row>
    <row r="955" spans="1:7" x14ac:dyDescent="0.2">
      <c r="A955" s="76"/>
      <c r="B955" s="77"/>
      <c r="C955" s="78"/>
      <c r="D955" s="81"/>
      <c r="E955" s="81"/>
      <c r="F955" s="79">
        <f t="shared" si="14"/>
        <v>0</v>
      </c>
      <c r="G955" s="78"/>
    </row>
    <row r="956" spans="1:7" x14ac:dyDescent="0.2">
      <c r="A956" s="76"/>
      <c r="B956" s="84"/>
      <c r="C956" s="78"/>
      <c r="D956" s="81"/>
      <c r="E956" s="81"/>
      <c r="F956" s="79">
        <f t="shared" si="14"/>
        <v>0</v>
      </c>
      <c r="G956" s="78"/>
    </row>
    <row r="957" spans="1:7" x14ac:dyDescent="0.2">
      <c r="A957" s="76"/>
      <c r="B957" s="77"/>
      <c r="C957" s="78"/>
      <c r="D957" s="81"/>
      <c r="E957" s="81"/>
      <c r="F957" s="79">
        <f>E957-D957</f>
        <v>0</v>
      </c>
      <c r="G957" s="78"/>
    </row>
    <row r="958" spans="1:7" x14ac:dyDescent="0.2">
      <c r="A958" s="76"/>
      <c r="B958" s="77"/>
      <c r="C958" s="78"/>
      <c r="D958" s="81"/>
      <c r="E958" s="81"/>
      <c r="F958" s="79">
        <f>E958-D958</f>
        <v>0</v>
      </c>
      <c r="G958" s="78"/>
    </row>
    <row r="959" spans="1:7" x14ac:dyDescent="0.2">
      <c r="A959" s="76"/>
      <c r="B959" s="77"/>
      <c r="C959" s="78"/>
      <c r="D959" s="81"/>
      <c r="E959" s="81"/>
      <c r="F959" s="79">
        <f t="shared" si="14"/>
        <v>0</v>
      </c>
      <c r="G959" s="78"/>
    </row>
    <row r="960" spans="1:7" x14ac:dyDescent="0.2">
      <c r="A960" s="76"/>
      <c r="B960" s="77"/>
      <c r="C960" s="78"/>
      <c r="D960" s="81"/>
      <c r="E960" s="81"/>
      <c r="F960" s="79">
        <f t="shared" si="14"/>
        <v>0</v>
      </c>
      <c r="G960" s="78"/>
    </row>
    <row r="961" spans="1:7" x14ac:dyDescent="0.2">
      <c r="A961" s="76"/>
      <c r="B961" s="77"/>
      <c r="C961" s="78"/>
      <c r="D961" s="81"/>
      <c r="E961" s="81"/>
      <c r="F961" s="79">
        <f t="shared" si="14"/>
        <v>0</v>
      </c>
      <c r="G961" s="78"/>
    </row>
    <row r="962" spans="1:7" x14ac:dyDescent="0.2">
      <c r="A962" s="76"/>
      <c r="B962" s="77"/>
      <c r="C962" s="78"/>
      <c r="D962" s="81"/>
      <c r="E962" s="81"/>
      <c r="F962" s="79">
        <f t="shared" si="14"/>
        <v>0</v>
      </c>
      <c r="G962" s="78"/>
    </row>
    <row r="963" spans="1:7" x14ac:dyDescent="0.2">
      <c r="A963" s="76"/>
      <c r="B963" s="77"/>
      <c r="C963" s="78"/>
      <c r="D963" s="81"/>
      <c r="E963" s="81"/>
      <c r="F963" s="79">
        <f t="shared" si="14"/>
        <v>0</v>
      </c>
      <c r="G963" s="78"/>
    </row>
    <row r="964" spans="1:7" x14ac:dyDescent="0.2">
      <c r="A964" s="76"/>
      <c r="B964" s="77"/>
      <c r="C964" s="78"/>
      <c r="D964" s="81"/>
      <c r="E964" s="81"/>
      <c r="F964" s="79">
        <f t="shared" si="14"/>
        <v>0</v>
      </c>
      <c r="G964" s="78"/>
    </row>
    <row r="965" spans="1:7" x14ac:dyDescent="0.2">
      <c r="A965" s="76"/>
      <c r="B965" s="77"/>
      <c r="C965" s="78"/>
      <c r="D965" s="81"/>
      <c r="E965" s="81"/>
      <c r="F965" s="79">
        <f t="shared" si="14"/>
        <v>0</v>
      </c>
      <c r="G965" s="78"/>
    </row>
    <row r="966" spans="1:7" x14ac:dyDescent="0.2">
      <c r="A966" s="76"/>
      <c r="B966" s="77"/>
      <c r="C966" s="78"/>
      <c r="D966" s="81"/>
      <c r="E966" s="81"/>
      <c r="F966" s="79">
        <f t="shared" si="14"/>
        <v>0</v>
      </c>
      <c r="G966" s="78"/>
    </row>
    <row r="967" spans="1:7" x14ac:dyDescent="0.2">
      <c r="A967" s="76"/>
      <c r="B967" s="77"/>
      <c r="C967" s="78"/>
      <c r="D967" s="81"/>
      <c r="E967" s="81"/>
      <c r="F967" s="79">
        <f t="shared" si="14"/>
        <v>0</v>
      </c>
      <c r="G967" s="78"/>
    </row>
    <row r="968" spans="1:7" x14ac:dyDescent="0.2">
      <c r="A968" s="76"/>
      <c r="B968" s="77"/>
      <c r="C968" s="78"/>
      <c r="D968" s="81"/>
      <c r="E968" s="81"/>
      <c r="F968" s="79">
        <f t="shared" si="14"/>
        <v>0</v>
      </c>
      <c r="G968" s="78"/>
    </row>
    <row r="969" spans="1:7" x14ac:dyDescent="0.2">
      <c r="A969" s="76"/>
      <c r="B969" s="77"/>
      <c r="C969" s="78"/>
      <c r="D969" s="81"/>
      <c r="E969" s="81"/>
      <c r="F969" s="79">
        <f t="shared" si="14"/>
        <v>0</v>
      </c>
      <c r="G969" s="78"/>
    </row>
    <row r="970" spans="1:7" x14ac:dyDescent="0.2">
      <c r="A970" s="76"/>
      <c r="B970" s="77"/>
      <c r="C970" s="78"/>
      <c r="D970" s="81"/>
      <c r="E970" s="81"/>
      <c r="F970" s="79">
        <f t="shared" si="14"/>
        <v>0</v>
      </c>
      <c r="G970" s="78"/>
    </row>
    <row r="971" spans="1:7" x14ac:dyDescent="0.2">
      <c r="A971" s="76"/>
      <c r="B971" s="77"/>
      <c r="C971" s="78"/>
      <c r="D971" s="81"/>
      <c r="E971" s="81"/>
      <c r="F971" s="79">
        <f t="shared" si="14"/>
        <v>0</v>
      </c>
      <c r="G971" s="78"/>
    </row>
    <row r="972" spans="1:7" x14ac:dyDescent="0.2">
      <c r="A972" s="76"/>
      <c r="B972" s="77"/>
      <c r="C972" s="78"/>
      <c r="D972" s="81"/>
      <c r="E972" s="81"/>
      <c r="F972" s="79">
        <f t="shared" si="14"/>
        <v>0</v>
      </c>
      <c r="G972" s="78"/>
    </row>
    <row r="973" spans="1:7" x14ac:dyDescent="0.2">
      <c r="A973" s="76"/>
      <c r="B973" s="77"/>
      <c r="C973" s="78"/>
      <c r="D973" s="81"/>
      <c r="E973" s="81"/>
      <c r="F973" s="79">
        <f t="shared" si="14"/>
        <v>0</v>
      </c>
      <c r="G973" s="78"/>
    </row>
    <row r="974" spans="1:7" x14ac:dyDescent="0.2">
      <c r="A974" s="76"/>
      <c r="B974" s="77"/>
      <c r="C974" s="78"/>
      <c r="D974" s="81"/>
      <c r="E974" s="81"/>
      <c r="F974" s="79">
        <f t="shared" ref="F974:F1037" si="15">E974-D974</f>
        <v>0</v>
      </c>
      <c r="G974" s="78"/>
    </row>
    <row r="975" spans="1:7" x14ac:dyDescent="0.2">
      <c r="A975" s="76"/>
      <c r="B975" s="77"/>
      <c r="C975" s="78"/>
      <c r="D975" s="81"/>
      <c r="E975" s="81"/>
      <c r="F975" s="79">
        <f t="shared" si="15"/>
        <v>0</v>
      </c>
      <c r="G975" s="78"/>
    </row>
    <row r="976" spans="1:7" x14ac:dyDescent="0.2">
      <c r="A976" s="76"/>
      <c r="B976" s="77"/>
      <c r="C976" s="78"/>
      <c r="D976" s="81"/>
      <c r="E976" s="81"/>
      <c r="F976" s="79">
        <f t="shared" si="15"/>
        <v>0</v>
      </c>
      <c r="G976" s="78"/>
    </row>
    <row r="977" spans="1:7" x14ac:dyDescent="0.2">
      <c r="A977" s="76"/>
      <c r="B977" s="77"/>
      <c r="C977" s="78"/>
      <c r="D977" s="81"/>
      <c r="E977" s="81"/>
      <c r="F977" s="79">
        <f t="shared" si="15"/>
        <v>0</v>
      </c>
      <c r="G977" s="78"/>
    </row>
    <row r="978" spans="1:7" x14ac:dyDescent="0.2">
      <c r="A978" s="76"/>
      <c r="B978" s="77"/>
      <c r="C978" s="78"/>
      <c r="D978" s="81"/>
      <c r="E978" s="81"/>
      <c r="F978" s="79">
        <f t="shared" si="15"/>
        <v>0</v>
      </c>
      <c r="G978" s="78"/>
    </row>
    <row r="979" spans="1:7" x14ac:dyDescent="0.2">
      <c r="A979" s="76"/>
      <c r="B979" s="77"/>
      <c r="C979" s="78"/>
      <c r="D979" s="81"/>
      <c r="E979" s="81"/>
      <c r="F979" s="79">
        <f t="shared" si="15"/>
        <v>0</v>
      </c>
      <c r="G979" s="78"/>
    </row>
    <row r="980" spans="1:7" x14ac:dyDescent="0.2">
      <c r="A980" s="76"/>
      <c r="B980" s="77"/>
      <c r="C980" s="78"/>
      <c r="D980" s="81"/>
      <c r="E980" s="81"/>
      <c r="F980" s="79">
        <f t="shared" si="15"/>
        <v>0</v>
      </c>
      <c r="G980" s="78"/>
    </row>
    <row r="981" spans="1:7" x14ac:dyDescent="0.2">
      <c r="A981" s="76"/>
      <c r="B981" s="77"/>
      <c r="C981" s="78"/>
      <c r="D981" s="81"/>
      <c r="E981" s="81"/>
      <c r="F981" s="79">
        <f t="shared" si="15"/>
        <v>0</v>
      </c>
      <c r="G981" s="78"/>
    </row>
    <row r="982" spans="1:7" x14ac:dyDescent="0.2">
      <c r="A982" s="76"/>
      <c r="B982" s="77"/>
      <c r="C982" s="78"/>
      <c r="D982" s="81"/>
      <c r="E982" s="81"/>
      <c r="F982" s="79">
        <f t="shared" si="15"/>
        <v>0</v>
      </c>
      <c r="G982" s="78"/>
    </row>
    <row r="983" spans="1:7" x14ac:dyDescent="0.2">
      <c r="A983" s="76"/>
      <c r="B983" s="77"/>
      <c r="C983" s="78"/>
      <c r="D983" s="81"/>
      <c r="E983" s="81"/>
      <c r="F983" s="79">
        <f t="shared" si="15"/>
        <v>0</v>
      </c>
      <c r="G983" s="78"/>
    </row>
    <row r="984" spans="1:7" x14ac:dyDescent="0.2">
      <c r="A984" s="76"/>
      <c r="B984" s="77"/>
      <c r="C984" s="78"/>
      <c r="D984" s="81"/>
      <c r="E984" s="81"/>
      <c r="F984" s="79">
        <f t="shared" si="15"/>
        <v>0</v>
      </c>
      <c r="G984" s="80"/>
    </row>
    <row r="985" spans="1:7" x14ac:dyDescent="0.2">
      <c r="A985" s="76"/>
      <c r="B985" s="77"/>
      <c r="C985" s="78"/>
      <c r="D985" s="81"/>
      <c r="E985" s="81"/>
      <c r="F985" s="79">
        <f t="shared" si="15"/>
        <v>0</v>
      </c>
      <c r="G985" s="78"/>
    </row>
    <row r="986" spans="1:7" x14ac:dyDescent="0.2">
      <c r="A986" s="76"/>
      <c r="B986" s="77"/>
      <c r="C986" s="78"/>
      <c r="D986" s="81"/>
      <c r="E986" s="81"/>
      <c r="F986" s="79">
        <f t="shared" si="15"/>
        <v>0</v>
      </c>
      <c r="G986" s="78"/>
    </row>
    <row r="987" spans="1:7" x14ac:dyDescent="0.2">
      <c r="A987" s="76"/>
      <c r="B987" s="77"/>
      <c r="C987" s="78"/>
      <c r="D987" s="81"/>
      <c r="E987" s="81"/>
      <c r="F987" s="79">
        <f t="shared" si="15"/>
        <v>0</v>
      </c>
      <c r="G987" s="78"/>
    </row>
    <row r="988" spans="1:7" x14ac:dyDescent="0.2">
      <c r="A988" s="76"/>
      <c r="B988" s="77"/>
      <c r="C988" s="78"/>
      <c r="D988" s="81"/>
      <c r="E988" s="81"/>
      <c r="F988" s="79">
        <f t="shared" si="15"/>
        <v>0</v>
      </c>
      <c r="G988" s="78"/>
    </row>
    <row r="989" spans="1:7" x14ac:dyDescent="0.2">
      <c r="A989" s="76"/>
      <c r="B989" s="77"/>
      <c r="C989" s="78"/>
      <c r="D989" s="81"/>
      <c r="E989" s="81"/>
      <c r="F989" s="79">
        <f t="shared" si="15"/>
        <v>0</v>
      </c>
      <c r="G989" s="78"/>
    </row>
    <row r="990" spans="1:7" x14ac:dyDescent="0.2">
      <c r="A990" s="76"/>
      <c r="B990" s="77"/>
      <c r="C990" s="78"/>
      <c r="D990" s="81"/>
      <c r="E990" s="81"/>
      <c r="F990" s="79">
        <f t="shared" si="15"/>
        <v>0</v>
      </c>
      <c r="G990" s="78"/>
    </row>
    <row r="991" spans="1:7" x14ac:dyDescent="0.2">
      <c r="A991" s="76"/>
      <c r="B991" s="77"/>
      <c r="C991" s="78"/>
      <c r="D991" s="81"/>
      <c r="E991" s="81"/>
      <c r="F991" s="79">
        <f t="shared" si="15"/>
        <v>0</v>
      </c>
      <c r="G991" s="78"/>
    </row>
    <row r="992" spans="1:7" x14ac:dyDescent="0.2">
      <c r="A992" s="76"/>
      <c r="B992" s="77"/>
      <c r="C992" s="78"/>
      <c r="D992" s="81"/>
      <c r="E992" s="81"/>
      <c r="F992" s="79">
        <f t="shared" si="15"/>
        <v>0</v>
      </c>
      <c r="G992" s="78"/>
    </row>
    <row r="993" spans="1:7" x14ac:dyDescent="0.2">
      <c r="A993" s="76"/>
      <c r="B993" s="77"/>
      <c r="C993" s="78"/>
      <c r="D993" s="81"/>
      <c r="E993" s="81"/>
      <c r="F993" s="79">
        <f t="shared" si="15"/>
        <v>0</v>
      </c>
      <c r="G993" s="78"/>
    </row>
    <row r="994" spans="1:7" x14ac:dyDescent="0.2">
      <c r="A994" s="76"/>
      <c r="B994" s="77"/>
      <c r="C994" s="78"/>
      <c r="D994" s="81"/>
      <c r="E994" s="81"/>
      <c r="F994" s="79">
        <f t="shared" si="15"/>
        <v>0</v>
      </c>
      <c r="G994" s="78"/>
    </row>
    <row r="995" spans="1:7" x14ac:dyDescent="0.2">
      <c r="A995" s="76"/>
      <c r="B995" s="77"/>
      <c r="C995" s="78"/>
      <c r="D995" s="81"/>
      <c r="E995" s="81"/>
      <c r="F995" s="79">
        <f t="shared" si="15"/>
        <v>0</v>
      </c>
      <c r="G995" s="78"/>
    </row>
    <row r="996" spans="1:7" x14ac:dyDescent="0.2">
      <c r="A996" s="76"/>
      <c r="B996" s="77"/>
      <c r="C996" s="78"/>
      <c r="D996" s="81"/>
      <c r="E996" s="81"/>
      <c r="F996" s="79">
        <f t="shared" si="15"/>
        <v>0</v>
      </c>
      <c r="G996" s="78"/>
    </row>
    <row r="997" spans="1:7" x14ac:dyDescent="0.2">
      <c r="A997" s="76"/>
      <c r="B997" s="77"/>
      <c r="C997" s="78"/>
      <c r="D997" s="81"/>
      <c r="E997" s="81"/>
      <c r="F997" s="79">
        <f t="shared" si="15"/>
        <v>0</v>
      </c>
      <c r="G997" s="78"/>
    </row>
    <row r="998" spans="1:7" x14ac:dyDescent="0.2">
      <c r="A998" s="76"/>
      <c r="B998" s="77"/>
      <c r="C998" s="78"/>
      <c r="D998" s="81"/>
      <c r="E998" s="81"/>
      <c r="F998" s="79">
        <f t="shared" si="15"/>
        <v>0</v>
      </c>
      <c r="G998" s="78"/>
    </row>
    <row r="999" spans="1:7" x14ac:dyDescent="0.2">
      <c r="A999" s="76"/>
      <c r="B999" s="77"/>
      <c r="C999" s="78"/>
      <c r="D999" s="81"/>
      <c r="E999" s="81"/>
      <c r="F999" s="79">
        <f t="shared" si="15"/>
        <v>0</v>
      </c>
      <c r="G999" s="78"/>
    </row>
    <row r="1000" spans="1:7" x14ac:dyDescent="0.2">
      <c r="A1000" s="76"/>
      <c r="B1000" s="77"/>
      <c r="C1000" s="78"/>
      <c r="D1000" s="81"/>
      <c r="E1000" s="81"/>
      <c r="F1000" s="79">
        <f t="shared" si="15"/>
        <v>0</v>
      </c>
      <c r="G1000" s="78"/>
    </row>
    <row r="1001" spans="1:7" x14ac:dyDescent="0.2">
      <c r="A1001" s="76"/>
      <c r="B1001" s="77"/>
      <c r="C1001" s="78"/>
      <c r="D1001" s="81"/>
      <c r="E1001" s="81"/>
      <c r="F1001" s="79">
        <f t="shared" si="15"/>
        <v>0</v>
      </c>
      <c r="G1001" s="78"/>
    </row>
    <row r="1002" spans="1:7" x14ac:dyDescent="0.2">
      <c r="A1002" s="76"/>
      <c r="B1002" s="10"/>
      <c r="C1002" s="78"/>
      <c r="D1002" s="81"/>
      <c r="E1002" s="81"/>
      <c r="F1002" s="79">
        <f t="shared" si="15"/>
        <v>0</v>
      </c>
      <c r="G1002" s="78"/>
    </row>
    <row r="1003" spans="1:7" x14ac:dyDescent="0.2">
      <c r="A1003" s="76"/>
      <c r="B1003" s="77"/>
      <c r="C1003" s="78"/>
      <c r="D1003" s="81"/>
      <c r="E1003" s="81"/>
      <c r="F1003" s="79">
        <f t="shared" si="15"/>
        <v>0</v>
      </c>
      <c r="G1003" s="78"/>
    </row>
    <row r="1004" spans="1:7" x14ac:dyDescent="0.2">
      <c r="A1004" s="76"/>
      <c r="B1004" s="77"/>
      <c r="C1004" s="78"/>
      <c r="D1004" s="81"/>
      <c r="E1004" s="81"/>
      <c r="F1004" s="79">
        <f t="shared" si="15"/>
        <v>0</v>
      </c>
      <c r="G1004" s="78"/>
    </row>
    <row r="1005" spans="1:7" x14ac:dyDescent="0.2">
      <c r="A1005" s="76"/>
      <c r="B1005" s="77"/>
      <c r="C1005" s="78"/>
      <c r="D1005" s="81"/>
      <c r="E1005" s="81"/>
      <c r="F1005" s="79">
        <f t="shared" si="15"/>
        <v>0</v>
      </c>
      <c r="G1005" s="78"/>
    </row>
    <row r="1006" spans="1:7" x14ac:dyDescent="0.2">
      <c r="A1006" s="76"/>
      <c r="B1006" s="77"/>
      <c r="C1006" s="78"/>
      <c r="D1006" s="81"/>
      <c r="E1006" s="81"/>
      <c r="F1006" s="79">
        <f t="shared" si="15"/>
        <v>0</v>
      </c>
      <c r="G1006" s="78"/>
    </row>
    <row r="1007" spans="1:7" x14ac:dyDescent="0.2">
      <c r="A1007" s="76"/>
      <c r="B1007" s="77"/>
      <c r="C1007" s="78"/>
      <c r="D1007" s="81"/>
      <c r="E1007" s="81"/>
      <c r="F1007" s="79">
        <f t="shared" si="15"/>
        <v>0</v>
      </c>
      <c r="G1007" s="78"/>
    </row>
    <row r="1008" spans="1:7" x14ac:dyDescent="0.2">
      <c r="A1008" s="76"/>
      <c r="B1008" s="77"/>
      <c r="C1008" s="78"/>
      <c r="D1008" s="81"/>
      <c r="E1008" s="81"/>
      <c r="F1008" s="79">
        <f t="shared" si="15"/>
        <v>0</v>
      </c>
      <c r="G1008" s="78"/>
    </row>
    <row r="1009" spans="1:7" x14ac:dyDescent="0.2">
      <c r="A1009" s="76"/>
      <c r="B1009" s="77"/>
      <c r="C1009" s="78"/>
      <c r="D1009" s="81"/>
      <c r="E1009" s="81"/>
      <c r="F1009" s="79">
        <f t="shared" si="15"/>
        <v>0</v>
      </c>
      <c r="G1009" s="78"/>
    </row>
    <row r="1010" spans="1:7" x14ac:dyDescent="0.2">
      <c r="A1010" s="76"/>
      <c r="B1010" s="77"/>
      <c r="C1010" s="78"/>
      <c r="D1010" s="81"/>
      <c r="E1010" s="81"/>
      <c r="F1010" s="79">
        <f t="shared" si="15"/>
        <v>0</v>
      </c>
      <c r="G1010" s="78"/>
    </row>
    <row r="1011" spans="1:7" x14ac:dyDescent="0.2">
      <c r="A1011" s="76"/>
      <c r="B1011" s="77"/>
      <c r="C1011" s="78"/>
      <c r="D1011" s="81"/>
      <c r="E1011" s="81"/>
      <c r="F1011" s="79">
        <f t="shared" si="15"/>
        <v>0</v>
      </c>
      <c r="G1011" s="78"/>
    </row>
    <row r="1012" spans="1:7" x14ac:dyDescent="0.2">
      <c r="A1012" s="76"/>
      <c r="B1012" s="77"/>
      <c r="C1012" s="78"/>
      <c r="D1012" s="81"/>
      <c r="E1012" s="81"/>
      <c r="F1012" s="79">
        <f t="shared" si="15"/>
        <v>0</v>
      </c>
      <c r="G1012" s="78"/>
    </row>
    <row r="1013" spans="1:7" x14ac:dyDescent="0.2">
      <c r="A1013" s="76"/>
      <c r="B1013" s="77"/>
      <c r="C1013" s="78"/>
      <c r="D1013" s="81"/>
      <c r="E1013" s="81"/>
      <c r="F1013" s="79">
        <f t="shared" si="15"/>
        <v>0</v>
      </c>
      <c r="G1013" s="78"/>
    </row>
    <row r="1014" spans="1:7" x14ac:dyDescent="0.2">
      <c r="A1014" s="76"/>
      <c r="B1014" s="10"/>
      <c r="C1014" s="78"/>
      <c r="D1014" s="81"/>
      <c r="E1014" s="81"/>
      <c r="F1014" s="79">
        <f t="shared" si="15"/>
        <v>0</v>
      </c>
      <c r="G1014" s="78"/>
    </row>
    <row r="1015" spans="1:7" x14ac:dyDescent="0.2">
      <c r="A1015" s="76"/>
      <c r="B1015" s="77"/>
      <c r="C1015" s="78"/>
      <c r="D1015" s="81"/>
      <c r="E1015" s="81"/>
      <c r="F1015" s="79">
        <f t="shared" si="15"/>
        <v>0</v>
      </c>
      <c r="G1015" s="78"/>
    </row>
    <row r="1016" spans="1:7" x14ac:dyDescent="0.2">
      <c r="A1016" s="76"/>
      <c r="B1016" s="77"/>
      <c r="C1016" s="78"/>
      <c r="D1016" s="81"/>
      <c r="E1016" s="81"/>
      <c r="F1016" s="79">
        <f t="shared" si="15"/>
        <v>0</v>
      </c>
      <c r="G1016" s="78"/>
    </row>
    <row r="1017" spans="1:7" x14ac:dyDescent="0.2">
      <c r="A1017" s="76"/>
      <c r="B1017" s="77"/>
      <c r="C1017" s="78"/>
      <c r="D1017" s="81"/>
      <c r="E1017" s="81"/>
      <c r="F1017" s="79">
        <f t="shared" si="15"/>
        <v>0</v>
      </c>
      <c r="G1017" s="78"/>
    </row>
    <row r="1018" spans="1:7" x14ac:dyDescent="0.2">
      <c r="A1018" s="76"/>
      <c r="B1018" s="77"/>
      <c r="C1018" s="78"/>
      <c r="D1018" s="81"/>
      <c r="E1018" s="81"/>
      <c r="F1018" s="79">
        <f t="shared" si="15"/>
        <v>0</v>
      </c>
      <c r="G1018" s="78"/>
    </row>
    <row r="1019" spans="1:7" x14ac:dyDescent="0.2">
      <c r="A1019" s="76"/>
      <c r="B1019" s="77"/>
      <c r="C1019" s="78"/>
      <c r="D1019" s="81"/>
      <c r="E1019" s="81"/>
      <c r="F1019" s="79">
        <f t="shared" si="15"/>
        <v>0</v>
      </c>
      <c r="G1019" s="78"/>
    </row>
    <row r="1020" spans="1:7" x14ac:dyDescent="0.2">
      <c r="A1020" s="76"/>
      <c r="B1020" s="77"/>
      <c r="C1020" s="78"/>
      <c r="D1020" s="81"/>
      <c r="E1020" s="81"/>
      <c r="F1020" s="79">
        <f t="shared" si="15"/>
        <v>0</v>
      </c>
      <c r="G1020" s="78"/>
    </row>
    <row r="1021" spans="1:7" x14ac:dyDescent="0.2">
      <c r="A1021" s="76"/>
      <c r="B1021" s="77"/>
      <c r="C1021" s="78"/>
      <c r="D1021" s="81"/>
      <c r="E1021" s="81"/>
      <c r="F1021" s="79">
        <f t="shared" si="15"/>
        <v>0</v>
      </c>
      <c r="G1021" s="78"/>
    </row>
    <row r="1022" spans="1:7" x14ac:dyDescent="0.2">
      <c r="A1022" s="76"/>
      <c r="B1022" s="84"/>
      <c r="C1022" s="78"/>
      <c r="D1022" s="81"/>
      <c r="E1022" s="81"/>
      <c r="F1022" s="79">
        <f t="shared" si="15"/>
        <v>0</v>
      </c>
      <c r="G1022" s="78"/>
    </row>
    <row r="1023" spans="1:7" x14ac:dyDescent="0.2">
      <c r="A1023" s="76"/>
      <c r="B1023" s="77"/>
      <c r="C1023" s="78"/>
      <c r="D1023" s="81"/>
      <c r="E1023" s="81"/>
      <c r="F1023" s="79">
        <f t="shared" si="15"/>
        <v>0</v>
      </c>
      <c r="G1023" s="78"/>
    </row>
    <row r="1024" spans="1:7" x14ac:dyDescent="0.2">
      <c r="A1024" s="76"/>
      <c r="B1024" s="77"/>
      <c r="C1024" s="78"/>
      <c r="D1024" s="81"/>
      <c r="E1024" s="81"/>
      <c r="F1024" s="79">
        <f t="shared" si="15"/>
        <v>0</v>
      </c>
      <c r="G1024" s="78"/>
    </row>
    <row r="1025" spans="1:7" x14ac:dyDescent="0.2">
      <c r="A1025" s="76"/>
      <c r="B1025" s="77"/>
      <c r="C1025" s="78"/>
      <c r="D1025" s="81"/>
      <c r="E1025" s="81"/>
      <c r="F1025" s="79">
        <f t="shared" si="15"/>
        <v>0</v>
      </c>
      <c r="G1025" s="78"/>
    </row>
    <row r="1026" spans="1:7" x14ac:dyDescent="0.2">
      <c r="A1026" s="76"/>
      <c r="B1026" s="77"/>
      <c r="C1026" s="78"/>
      <c r="D1026" s="81"/>
      <c r="E1026" s="81"/>
      <c r="F1026" s="79">
        <f t="shared" si="15"/>
        <v>0</v>
      </c>
      <c r="G1026" s="78"/>
    </row>
    <row r="1027" spans="1:7" x14ac:dyDescent="0.2">
      <c r="A1027" s="76"/>
      <c r="B1027" s="77"/>
      <c r="C1027" s="78"/>
      <c r="D1027" s="81"/>
      <c r="E1027" s="81"/>
      <c r="F1027" s="79">
        <f t="shared" si="15"/>
        <v>0</v>
      </c>
      <c r="G1027" s="78"/>
    </row>
    <row r="1028" spans="1:7" x14ac:dyDescent="0.2">
      <c r="A1028" s="76"/>
      <c r="B1028" s="77"/>
      <c r="C1028" s="78"/>
      <c r="D1028" s="81"/>
      <c r="E1028" s="81"/>
      <c r="F1028" s="79">
        <f t="shared" si="15"/>
        <v>0</v>
      </c>
      <c r="G1028" s="78"/>
    </row>
    <row r="1029" spans="1:7" x14ac:dyDescent="0.2">
      <c r="A1029" s="76"/>
      <c r="B1029" s="77"/>
      <c r="C1029" s="78"/>
      <c r="D1029" s="81"/>
      <c r="E1029" s="81"/>
      <c r="F1029" s="79">
        <f t="shared" si="15"/>
        <v>0</v>
      </c>
      <c r="G1029" s="78"/>
    </row>
    <row r="1030" spans="1:7" x14ac:dyDescent="0.2">
      <c r="A1030" s="76"/>
      <c r="B1030" s="77"/>
      <c r="C1030" s="78"/>
      <c r="D1030" s="81"/>
      <c r="E1030" s="81"/>
      <c r="F1030" s="79">
        <f t="shared" si="15"/>
        <v>0</v>
      </c>
      <c r="G1030" s="78"/>
    </row>
    <row r="1031" spans="1:7" x14ac:dyDescent="0.2">
      <c r="A1031" s="76"/>
      <c r="B1031" s="77"/>
      <c r="C1031" s="78"/>
      <c r="D1031" s="81"/>
      <c r="E1031" s="81"/>
      <c r="F1031" s="79">
        <f t="shared" si="15"/>
        <v>0</v>
      </c>
      <c r="G1031" s="78"/>
    </row>
    <row r="1032" spans="1:7" x14ac:dyDescent="0.2">
      <c r="A1032" s="76"/>
      <c r="B1032" s="77"/>
      <c r="C1032" s="78"/>
      <c r="D1032" s="81"/>
      <c r="E1032" s="81"/>
      <c r="F1032" s="79">
        <f t="shared" si="15"/>
        <v>0</v>
      </c>
      <c r="G1032" s="78"/>
    </row>
    <row r="1033" spans="1:7" x14ac:dyDescent="0.2">
      <c r="A1033" s="76"/>
      <c r="B1033" s="77"/>
      <c r="C1033" s="78"/>
      <c r="D1033" s="81"/>
      <c r="E1033" s="81"/>
      <c r="F1033" s="79">
        <f t="shared" si="15"/>
        <v>0</v>
      </c>
      <c r="G1033" s="78"/>
    </row>
    <row r="1034" spans="1:7" x14ac:dyDescent="0.2">
      <c r="A1034" s="76"/>
      <c r="B1034" s="77"/>
      <c r="C1034" s="78"/>
      <c r="D1034" s="81"/>
      <c r="E1034" s="81"/>
      <c r="F1034" s="79">
        <f t="shared" si="15"/>
        <v>0</v>
      </c>
      <c r="G1034" s="78"/>
    </row>
    <row r="1035" spans="1:7" x14ac:dyDescent="0.2">
      <c r="A1035" s="76"/>
      <c r="B1035" s="77"/>
      <c r="C1035" s="78"/>
      <c r="D1035" s="81"/>
      <c r="E1035" s="81"/>
      <c r="F1035" s="79">
        <f t="shared" si="15"/>
        <v>0</v>
      </c>
      <c r="G1035" s="78"/>
    </row>
    <row r="1036" spans="1:7" x14ac:dyDescent="0.2">
      <c r="A1036" s="76"/>
      <c r="B1036" s="77"/>
      <c r="C1036" s="78"/>
      <c r="D1036" s="81"/>
      <c r="E1036" s="81"/>
      <c r="F1036" s="79">
        <f t="shared" si="15"/>
        <v>0</v>
      </c>
      <c r="G1036" s="78"/>
    </row>
    <row r="1037" spans="1:7" x14ac:dyDescent="0.2">
      <c r="A1037" s="76"/>
      <c r="B1037" s="77"/>
      <c r="C1037" s="78"/>
      <c r="D1037" s="81"/>
      <c r="E1037" s="81"/>
      <c r="F1037" s="79">
        <f t="shared" si="15"/>
        <v>0</v>
      </c>
      <c r="G1037" s="78"/>
    </row>
    <row r="1038" spans="1:7" x14ac:dyDescent="0.2">
      <c r="A1038" s="76"/>
      <c r="B1038" s="77"/>
      <c r="C1038" s="78"/>
      <c r="D1038" s="81"/>
      <c r="E1038" s="81"/>
      <c r="F1038" s="79">
        <f t="shared" ref="F1038:F1101" si="16">E1038-D1038</f>
        <v>0</v>
      </c>
      <c r="G1038" s="78"/>
    </row>
    <row r="1039" spans="1:7" x14ac:dyDescent="0.2">
      <c r="A1039" s="76"/>
      <c r="B1039" s="77"/>
      <c r="C1039" s="78"/>
      <c r="D1039" s="81"/>
      <c r="E1039" s="81"/>
      <c r="F1039" s="79">
        <f t="shared" si="16"/>
        <v>0</v>
      </c>
      <c r="G1039" s="78"/>
    </row>
    <row r="1040" spans="1:7" x14ac:dyDescent="0.2">
      <c r="A1040" s="76"/>
      <c r="B1040" s="77"/>
      <c r="C1040" s="78"/>
      <c r="D1040" s="81"/>
      <c r="E1040" s="81"/>
      <c r="F1040" s="79">
        <f t="shared" si="16"/>
        <v>0</v>
      </c>
      <c r="G1040" s="78"/>
    </row>
    <row r="1041" spans="1:7" x14ac:dyDescent="0.2">
      <c r="A1041" s="76"/>
      <c r="B1041" s="77"/>
      <c r="C1041" s="78"/>
      <c r="D1041" s="81"/>
      <c r="E1041" s="81"/>
      <c r="F1041" s="79">
        <f t="shared" si="16"/>
        <v>0</v>
      </c>
      <c r="G1041" s="78"/>
    </row>
    <row r="1042" spans="1:7" x14ac:dyDescent="0.2">
      <c r="A1042" s="76"/>
      <c r="B1042" s="77"/>
      <c r="C1042" s="78"/>
      <c r="D1042" s="81"/>
      <c r="E1042" s="81"/>
      <c r="F1042" s="79">
        <f t="shared" si="16"/>
        <v>0</v>
      </c>
      <c r="G1042" s="78"/>
    </row>
    <row r="1043" spans="1:7" x14ac:dyDescent="0.2">
      <c r="A1043" s="76"/>
      <c r="B1043" s="77"/>
      <c r="C1043" s="78"/>
      <c r="D1043" s="81"/>
      <c r="E1043" s="81"/>
      <c r="F1043" s="79">
        <f t="shared" si="16"/>
        <v>0</v>
      </c>
      <c r="G1043" s="78"/>
    </row>
    <row r="1044" spans="1:7" x14ac:dyDescent="0.2">
      <c r="A1044" s="76"/>
      <c r="B1044" s="77"/>
      <c r="C1044" s="78"/>
      <c r="D1044" s="81"/>
      <c r="E1044" s="81"/>
      <c r="F1044" s="79">
        <f t="shared" si="16"/>
        <v>0</v>
      </c>
      <c r="G1044" s="78"/>
    </row>
    <row r="1045" spans="1:7" x14ac:dyDescent="0.2">
      <c r="A1045" s="76"/>
      <c r="B1045" s="77"/>
      <c r="C1045" s="78"/>
      <c r="D1045" s="81"/>
      <c r="E1045" s="81"/>
      <c r="F1045" s="79">
        <f t="shared" si="16"/>
        <v>0</v>
      </c>
      <c r="G1045" s="78"/>
    </row>
    <row r="1046" spans="1:7" x14ac:dyDescent="0.2">
      <c r="A1046" s="76"/>
      <c r="B1046" s="77"/>
      <c r="C1046" s="78"/>
      <c r="D1046" s="81"/>
      <c r="E1046" s="81"/>
      <c r="F1046" s="79">
        <f t="shared" si="16"/>
        <v>0</v>
      </c>
      <c r="G1046" s="78"/>
    </row>
    <row r="1047" spans="1:7" x14ac:dyDescent="0.2">
      <c r="A1047" s="76"/>
      <c r="B1047" s="77"/>
      <c r="C1047" s="78"/>
      <c r="D1047" s="81"/>
      <c r="E1047" s="81"/>
      <c r="F1047" s="79">
        <f t="shared" si="16"/>
        <v>0</v>
      </c>
      <c r="G1047" s="78"/>
    </row>
    <row r="1048" spans="1:7" x14ac:dyDescent="0.2">
      <c r="A1048" s="76"/>
      <c r="B1048" s="77"/>
      <c r="C1048" s="78"/>
      <c r="D1048" s="81"/>
      <c r="E1048" s="81"/>
      <c r="F1048" s="79">
        <f t="shared" si="16"/>
        <v>0</v>
      </c>
      <c r="G1048" s="78"/>
    </row>
    <row r="1049" spans="1:7" x14ac:dyDescent="0.2">
      <c r="A1049" s="76"/>
      <c r="B1049" s="77"/>
      <c r="C1049" s="78"/>
      <c r="D1049" s="81"/>
      <c r="E1049" s="81"/>
      <c r="F1049" s="79">
        <f t="shared" si="16"/>
        <v>0</v>
      </c>
      <c r="G1049" s="78"/>
    </row>
    <row r="1050" spans="1:7" x14ac:dyDescent="0.2">
      <c r="A1050" s="76"/>
      <c r="B1050" s="77"/>
      <c r="C1050" s="78"/>
      <c r="D1050" s="81"/>
      <c r="E1050" s="81"/>
      <c r="F1050" s="79">
        <f t="shared" si="16"/>
        <v>0</v>
      </c>
      <c r="G1050" s="78"/>
    </row>
    <row r="1051" spans="1:7" x14ac:dyDescent="0.2">
      <c r="A1051" s="76"/>
      <c r="B1051" s="77"/>
      <c r="C1051" s="78"/>
      <c r="D1051" s="81"/>
      <c r="E1051" s="81"/>
      <c r="F1051" s="79">
        <f t="shared" si="16"/>
        <v>0</v>
      </c>
      <c r="G1051" s="78"/>
    </row>
    <row r="1052" spans="1:7" x14ac:dyDescent="0.2">
      <c r="A1052" s="76"/>
      <c r="B1052" s="77"/>
      <c r="C1052" s="78"/>
      <c r="D1052" s="81"/>
      <c r="E1052" s="81"/>
      <c r="F1052" s="79">
        <f t="shared" si="16"/>
        <v>0</v>
      </c>
      <c r="G1052" s="78"/>
    </row>
    <row r="1053" spans="1:7" x14ac:dyDescent="0.2">
      <c r="A1053" s="76"/>
      <c r="B1053" s="77"/>
      <c r="C1053" s="78"/>
      <c r="D1053" s="81"/>
      <c r="E1053" s="81"/>
      <c r="F1053" s="79">
        <f t="shared" si="16"/>
        <v>0</v>
      </c>
      <c r="G1053" s="78"/>
    </row>
    <row r="1054" spans="1:7" x14ac:dyDescent="0.2">
      <c r="A1054" s="76"/>
      <c r="B1054" s="77"/>
      <c r="C1054" s="78"/>
      <c r="D1054" s="81"/>
      <c r="E1054" s="81"/>
      <c r="F1054" s="79">
        <f t="shared" si="16"/>
        <v>0</v>
      </c>
      <c r="G1054" s="78"/>
    </row>
    <row r="1055" spans="1:7" x14ac:dyDescent="0.2">
      <c r="A1055" s="76"/>
      <c r="B1055" s="77"/>
      <c r="C1055" s="78"/>
      <c r="D1055" s="81"/>
      <c r="E1055" s="81"/>
      <c r="F1055" s="79">
        <f t="shared" si="16"/>
        <v>0</v>
      </c>
      <c r="G1055" s="78"/>
    </row>
    <row r="1056" spans="1:7" x14ac:dyDescent="0.2">
      <c r="A1056" s="76"/>
      <c r="B1056" s="77"/>
      <c r="C1056" s="78"/>
      <c r="D1056" s="81"/>
      <c r="E1056" s="81"/>
      <c r="F1056" s="79">
        <f t="shared" si="16"/>
        <v>0</v>
      </c>
      <c r="G1056" s="78"/>
    </row>
    <row r="1057" spans="1:7" x14ac:dyDescent="0.2">
      <c r="A1057" s="76"/>
      <c r="B1057" s="77"/>
      <c r="C1057" s="78"/>
      <c r="D1057" s="81"/>
      <c r="E1057" s="81"/>
      <c r="F1057" s="79">
        <f t="shared" si="16"/>
        <v>0</v>
      </c>
      <c r="G1057" s="78"/>
    </row>
    <row r="1058" spans="1:7" x14ac:dyDescent="0.2">
      <c r="A1058" s="76"/>
      <c r="B1058" s="77"/>
      <c r="C1058" s="78"/>
      <c r="D1058" s="81"/>
      <c r="E1058" s="81"/>
      <c r="F1058" s="79">
        <f t="shared" si="16"/>
        <v>0</v>
      </c>
      <c r="G1058" s="78"/>
    </row>
    <row r="1059" spans="1:7" x14ac:dyDescent="0.2">
      <c r="A1059" s="76"/>
      <c r="B1059" s="84"/>
      <c r="C1059" s="78"/>
      <c r="D1059" s="81"/>
      <c r="E1059" s="81"/>
      <c r="F1059" s="79">
        <f t="shared" si="16"/>
        <v>0</v>
      </c>
      <c r="G1059" s="78"/>
    </row>
    <row r="1060" spans="1:7" x14ac:dyDescent="0.2">
      <c r="A1060" s="76"/>
      <c r="B1060" s="77"/>
      <c r="C1060" s="78"/>
      <c r="D1060" s="81"/>
      <c r="E1060" s="81"/>
      <c r="F1060" s="79">
        <f t="shared" si="16"/>
        <v>0</v>
      </c>
      <c r="G1060" s="78"/>
    </row>
    <row r="1061" spans="1:7" x14ac:dyDescent="0.2">
      <c r="A1061" s="76"/>
      <c r="B1061" s="77"/>
      <c r="C1061" s="78"/>
      <c r="D1061" s="81"/>
      <c r="E1061" s="81"/>
      <c r="F1061" s="79">
        <f t="shared" si="16"/>
        <v>0</v>
      </c>
      <c r="G1061" s="78"/>
    </row>
    <row r="1062" spans="1:7" x14ac:dyDescent="0.2">
      <c r="A1062" s="76"/>
      <c r="B1062" s="77"/>
      <c r="C1062" s="78"/>
      <c r="D1062" s="81"/>
      <c r="E1062" s="81"/>
      <c r="F1062" s="79">
        <f t="shared" si="16"/>
        <v>0</v>
      </c>
      <c r="G1062" s="78"/>
    </row>
    <row r="1063" spans="1:7" x14ac:dyDescent="0.2">
      <c r="A1063" s="76"/>
      <c r="B1063" s="77"/>
      <c r="C1063" s="78"/>
      <c r="D1063" s="81"/>
      <c r="E1063" s="81"/>
      <c r="F1063" s="79">
        <f t="shared" si="16"/>
        <v>0</v>
      </c>
      <c r="G1063" s="78"/>
    </row>
    <row r="1064" spans="1:7" x14ac:dyDescent="0.2">
      <c r="A1064" s="76"/>
      <c r="B1064" s="77"/>
      <c r="C1064" s="78"/>
      <c r="D1064" s="81"/>
      <c r="E1064" s="81"/>
      <c r="F1064" s="79">
        <f t="shared" si="16"/>
        <v>0</v>
      </c>
      <c r="G1064" s="78"/>
    </row>
    <row r="1065" spans="1:7" x14ac:dyDescent="0.2">
      <c r="A1065" s="76"/>
      <c r="B1065" s="77"/>
      <c r="C1065" s="78"/>
      <c r="D1065" s="81"/>
      <c r="E1065" s="81"/>
      <c r="F1065" s="79">
        <f t="shared" si="16"/>
        <v>0</v>
      </c>
      <c r="G1065" s="78"/>
    </row>
    <row r="1066" spans="1:7" x14ac:dyDescent="0.2">
      <c r="A1066" s="76"/>
      <c r="B1066" s="77"/>
      <c r="C1066" s="78"/>
      <c r="D1066" s="81"/>
      <c r="E1066" s="81"/>
      <c r="F1066" s="79">
        <f t="shared" si="16"/>
        <v>0</v>
      </c>
      <c r="G1066" s="78"/>
    </row>
    <row r="1067" spans="1:7" x14ac:dyDescent="0.2">
      <c r="A1067" s="76"/>
      <c r="B1067" s="77"/>
      <c r="C1067" s="78"/>
      <c r="D1067" s="81"/>
      <c r="E1067" s="81"/>
      <c r="F1067" s="79">
        <f t="shared" si="16"/>
        <v>0</v>
      </c>
      <c r="G1067" s="78"/>
    </row>
    <row r="1068" spans="1:7" x14ac:dyDescent="0.2">
      <c r="A1068" s="76"/>
      <c r="B1068" s="77"/>
      <c r="C1068" s="78"/>
      <c r="D1068" s="81"/>
      <c r="E1068" s="81"/>
      <c r="F1068" s="79">
        <f t="shared" si="16"/>
        <v>0</v>
      </c>
      <c r="G1068" s="78"/>
    </row>
    <row r="1069" spans="1:7" x14ac:dyDescent="0.2">
      <c r="A1069" s="76"/>
      <c r="B1069" s="77"/>
      <c r="C1069" s="78"/>
      <c r="D1069" s="81"/>
      <c r="E1069" s="81"/>
      <c r="F1069" s="79">
        <f t="shared" si="16"/>
        <v>0</v>
      </c>
      <c r="G1069" s="78"/>
    </row>
    <row r="1070" spans="1:7" x14ac:dyDescent="0.2">
      <c r="A1070" s="76"/>
      <c r="B1070" s="77"/>
      <c r="C1070" s="78"/>
      <c r="D1070" s="81"/>
      <c r="E1070" s="81"/>
      <c r="F1070" s="79">
        <f t="shared" si="16"/>
        <v>0</v>
      </c>
      <c r="G1070" s="78"/>
    </row>
    <row r="1071" spans="1:7" x14ac:dyDescent="0.2">
      <c r="A1071" s="76"/>
      <c r="B1071" s="77"/>
      <c r="C1071" s="78"/>
      <c r="D1071" s="81"/>
      <c r="E1071" s="81"/>
      <c r="F1071" s="79">
        <f t="shared" si="16"/>
        <v>0</v>
      </c>
      <c r="G1071" s="78"/>
    </row>
    <row r="1072" spans="1:7" x14ac:dyDescent="0.2">
      <c r="A1072" s="76"/>
      <c r="B1072" s="77"/>
      <c r="C1072" s="78"/>
      <c r="D1072" s="81"/>
      <c r="E1072" s="81"/>
      <c r="F1072" s="79">
        <f t="shared" si="16"/>
        <v>0</v>
      </c>
      <c r="G1072" s="78"/>
    </row>
    <row r="1073" spans="1:7" x14ac:dyDescent="0.2">
      <c r="A1073" s="76"/>
      <c r="B1073" s="77"/>
      <c r="C1073" s="78"/>
      <c r="D1073" s="81"/>
      <c r="E1073" s="81"/>
      <c r="F1073" s="79">
        <f t="shared" si="16"/>
        <v>0</v>
      </c>
      <c r="G1073" s="78"/>
    </row>
    <row r="1074" spans="1:7" x14ac:dyDescent="0.2">
      <c r="A1074" s="76"/>
      <c r="B1074" s="77"/>
      <c r="C1074" s="78"/>
      <c r="D1074" s="81"/>
      <c r="E1074" s="81"/>
      <c r="F1074" s="79">
        <f t="shared" si="16"/>
        <v>0</v>
      </c>
      <c r="G1074" s="78"/>
    </row>
    <row r="1075" spans="1:7" x14ac:dyDescent="0.2">
      <c r="A1075" s="76"/>
      <c r="B1075" s="77"/>
      <c r="C1075" s="78"/>
      <c r="D1075" s="81"/>
      <c r="E1075" s="81"/>
      <c r="F1075" s="79">
        <f t="shared" si="16"/>
        <v>0</v>
      </c>
      <c r="G1075" s="78"/>
    </row>
    <row r="1076" spans="1:7" x14ac:dyDescent="0.2">
      <c r="A1076" s="76"/>
      <c r="B1076" s="77"/>
      <c r="C1076" s="78"/>
      <c r="D1076" s="81"/>
      <c r="E1076" s="81"/>
      <c r="F1076" s="79">
        <f t="shared" si="16"/>
        <v>0</v>
      </c>
      <c r="G1076" s="78"/>
    </row>
    <row r="1077" spans="1:7" x14ac:dyDescent="0.2">
      <c r="A1077" s="76"/>
      <c r="B1077" s="77"/>
      <c r="C1077" s="78"/>
      <c r="D1077" s="81"/>
      <c r="E1077" s="81"/>
      <c r="F1077" s="79">
        <f t="shared" si="16"/>
        <v>0</v>
      </c>
      <c r="G1077" s="78"/>
    </row>
    <row r="1078" spans="1:7" x14ac:dyDescent="0.2">
      <c r="A1078" s="76"/>
      <c r="B1078" s="77"/>
      <c r="C1078" s="78"/>
      <c r="D1078" s="81"/>
      <c r="E1078" s="81"/>
      <c r="F1078" s="79">
        <f t="shared" si="16"/>
        <v>0</v>
      </c>
      <c r="G1078" s="78"/>
    </row>
    <row r="1079" spans="1:7" x14ac:dyDescent="0.2">
      <c r="A1079" s="76"/>
      <c r="B1079" s="77"/>
      <c r="C1079" s="78"/>
      <c r="D1079" s="81"/>
      <c r="E1079" s="81"/>
      <c r="F1079" s="79">
        <f t="shared" si="16"/>
        <v>0</v>
      </c>
      <c r="G1079" s="78"/>
    </row>
    <row r="1080" spans="1:7" x14ac:dyDescent="0.2">
      <c r="A1080" s="76"/>
      <c r="B1080" s="77"/>
      <c r="C1080" s="78"/>
      <c r="D1080" s="81"/>
      <c r="E1080" s="81"/>
      <c r="F1080" s="79">
        <f t="shared" si="16"/>
        <v>0</v>
      </c>
      <c r="G1080" s="78"/>
    </row>
    <row r="1081" spans="1:7" x14ac:dyDescent="0.2">
      <c r="A1081" s="76"/>
      <c r="B1081" s="77"/>
      <c r="C1081" s="78"/>
      <c r="D1081" s="81"/>
      <c r="E1081" s="81"/>
      <c r="F1081" s="79">
        <f t="shared" si="16"/>
        <v>0</v>
      </c>
      <c r="G1081" s="78"/>
    </row>
    <row r="1082" spans="1:7" x14ac:dyDescent="0.2">
      <c r="A1082" s="76"/>
      <c r="B1082" s="77"/>
      <c r="C1082" s="78"/>
      <c r="D1082" s="81"/>
      <c r="E1082" s="81"/>
      <c r="F1082" s="79">
        <f t="shared" si="16"/>
        <v>0</v>
      </c>
      <c r="G1082" s="78"/>
    </row>
    <row r="1083" spans="1:7" x14ac:dyDescent="0.2">
      <c r="A1083" s="76"/>
      <c r="B1083" s="77"/>
      <c r="C1083" s="78"/>
      <c r="D1083" s="81"/>
      <c r="E1083" s="81"/>
      <c r="F1083" s="79">
        <f t="shared" si="16"/>
        <v>0</v>
      </c>
      <c r="G1083" s="78"/>
    </row>
    <row r="1084" spans="1:7" x14ac:dyDescent="0.2">
      <c r="A1084" s="76"/>
      <c r="B1084" s="77"/>
      <c r="C1084" s="78"/>
      <c r="D1084" s="81"/>
      <c r="E1084" s="81"/>
      <c r="F1084" s="79">
        <f t="shared" si="16"/>
        <v>0</v>
      </c>
      <c r="G1084" s="78"/>
    </row>
    <row r="1085" spans="1:7" x14ac:dyDescent="0.2">
      <c r="A1085" s="76"/>
      <c r="B1085" s="77"/>
      <c r="C1085" s="78"/>
      <c r="D1085" s="81"/>
      <c r="E1085" s="81"/>
      <c r="F1085" s="79">
        <f t="shared" si="16"/>
        <v>0</v>
      </c>
      <c r="G1085" s="78"/>
    </row>
    <row r="1086" spans="1:7" x14ac:dyDescent="0.2">
      <c r="A1086" s="76"/>
      <c r="B1086" s="77"/>
      <c r="C1086" s="78"/>
      <c r="D1086" s="81"/>
      <c r="E1086" s="81"/>
      <c r="F1086" s="79">
        <f t="shared" si="16"/>
        <v>0</v>
      </c>
      <c r="G1086" s="78"/>
    </row>
    <row r="1087" spans="1:7" x14ac:dyDescent="0.2">
      <c r="A1087" s="76"/>
      <c r="B1087" s="77"/>
      <c r="C1087" s="78"/>
      <c r="D1087" s="81"/>
      <c r="E1087" s="81"/>
      <c r="F1087" s="79">
        <f t="shared" si="16"/>
        <v>0</v>
      </c>
      <c r="G1087" s="78"/>
    </row>
    <row r="1088" spans="1:7" x14ac:dyDescent="0.2">
      <c r="A1088" s="76"/>
      <c r="B1088" s="77"/>
      <c r="C1088" s="78"/>
      <c r="D1088" s="81"/>
      <c r="E1088" s="81"/>
      <c r="F1088" s="79">
        <f t="shared" si="16"/>
        <v>0</v>
      </c>
      <c r="G1088" s="78"/>
    </row>
    <row r="1089" spans="1:7" x14ac:dyDescent="0.2">
      <c r="A1089" s="76"/>
      <c r="B1089" s="77"/>
      <c r="C1089" s="78"/>
      <c r="D1089" s="81"/>
      <c r="E1089" s="81"/>
      <c r="F1089" s="79">
        <f t="shared" si="16"/>
        <v>0</v>
      </c>
      <c r="G1089" s="78"/>
    </row>
    <row r="1090" spans="1:7" x14ac:dyDescent="0.2">
      <c r="A1090" s="76"/>
      <c r="B1090" s="77"/>
      <c r="C1090" s="78"/>
      <c r="D1090" s="81"/>
      <c r="E1090" s="81"/>
      <c r="F1090" s="79">
        <f t="shared" si="16"/>
        <v>0</v>
      </c>
      <c r="G1090" s="78"/>
    </row>
    <row r="1091" spans="1:7" x14ac:dyDescent="0.2">
      <c r="A1091" s="76"/>
      <c r="B1091" s="77"/>
      <c r="C1091" s="78"/>
      <c r="D1091" s="81"/>
      <c r="E1091" s="81"/>
      <c r="F1091" s="79">
        <f t="shared" si="16"/>
        <v>0</v>
      </c>
      <c r="G1091" s="78"/>
    </row>
    <row r="1092" spans="1:7" x14ac:dyDescent="0.2">
      <c r="A1092" s="76"/>
      <c r="B1092" s="77"/>
      <c r="C1092" s="78"/>
      <c r="D1092" s="81"/>
      <c r="E1092" s="81"/>
      <c r="F1092" s="79">
        <f t="shared" si="16"/>
        <v>0</v>
      </c>
      <c r="G1092" s="78"/>
    </row>
    <row r="1093" spans="1:7" x14ac:dyDescent="0.2">
      <c r="A1093" s="76"/>
      <c r="B1093" s="77"/>
      <c r="C1093" s="78"/>
      <c r="D1093" s="81"/>
      <c r="E1093" s="81"/>
      <c r="F1093" s="79">
        <f t="shared" si="16"/>
        <v>0</v>
      </c>
      <c r="G1093" s="78"/>
    </row>
    <row r="1094" spans="1:7" x14ac:dyDescent="0.2">
      <c r="A1094" s="76"/>
      <c r="B1094" s="77"/>
      <c r="C1094" s="78"/>
      <c r="D1094" s="81"/>
      <c r="E1094" s="81"/>
      <c r="F1094" s="79">
        <f t="shared" si="16"/>
        <v>0</v>
      </c>
      <c r="G1094" s="78"/>
    </row>
    <row r="1095" spans="1:7" x14ac:dyDescent="0.2">
      <c r="A1095" s="76"/>
      <c r="B1095" s="77"/>
      <c r="C1095" s="78"/>
      <c r="D1095" s="81"/>
      <c r="E1095" s="81"/>
      <c r="F1095" s="79">
        <f t="shared" si="16"/>
        <v>0</v>
      </c>
      <c r="G1095" s="78"/>
    </row>
    <row r="1096" spans="1:7" x14ac:dyDescent="0.2">
      <c r="A1096" s="76"/>
      <c r="B1096" s="77"/>
      <c r="C1096" s="78"/>
      <c r="D1096" s="81"/>
      <c r="E1096" s="81"/>
      <c r="F1096" s="79">
        <f t="shared" si="16"/>
        <v>0</v>
      </c>
      <c r="G1096" s="78"/>
    </row>
    <row r="1097" spans="1:7" x14ac:dyDescent="0.2">
      <c r="A1097" s="76"/>
      <c r="B1097" s="77"/>
      <c r="C1097" s="78"/>
      <c r="D1097" s="81"/>
      <c r="E1097" s="81"/>
      <c r="F1097" s="79">
        <f t="shared" si="16"/>
        <v>0</v>
      </c>
      <c r="G1097" s="78"/>
    </row>
    <row r="1098" spans="1:7" x14ac:dyDescent="0.2">
      <c r="A1098" s="76"/>
      <c r="B1098" s="77"/>
      <c r="C1098" s="78"/>
      <c r="D1098" s="81"/>
      <c r="E1098" s="81"/>
      <c r="F1098" s="79">
        <f t="shared" si="16"/>
        <v>0</v>
      </c>
      <c r="G1098" s="80"/>
    </row>
    <row r="1099" spans="1:7" x14ac:dyDescent="0.2">
      <c r="A1099" s="76"/>
      <c r="B1099" s="77"/>
      <c r="C1099" s="78"/>
      <c r="D1099" s="81"/>
      <c r="E1099" s="81"/>
      <c r="F1099" s="79">
        <f t="shared" si="16"/>
        <v>0</v>
      </c>
      <c r="G1099" s="78"/>
    </row>
    <row r="1100" spans="1:7" x14ac:dyDescent="0.2">
      <c r="A1100" s="76"/>
      <c r="B1100" s="77"/>
      <c r="C1100" s="78"/>
      <c r="D1100" s="81"/>
      <c r="E1100" s="81"/>
      <c r="F1100" s="79">
        <f t="shared" si="16"/>
        <v>0</v>
      </c>
      <c r="G1100" s="78"/>
    </row>
    <row r="1101" spans="1:7" x14ac:dyDescent="0.2">
      <c r="A1101" s="76"/>
      <c r="B1101" s="77"/>
      <c r="C1101" s="78"/>
      <c r="D1101" s="81"/>
      <c r="E1101" s="81"/>
      <c r="F1101" s="79">
        <f t="shared" si="16"/>
        <v>0</v>
      </c>
      <c r="G1101" s="78"/>
    </row>
    <row r="1102" spans="1:7" x14ac:dyDescent="0.2">
      <c r="A1102" s="76"/>
      <c r="B1102" s="77"/>
      <c r="C1102" s="78"/>
      <c r="D1102" s="81"/>
      <c r="E1102" s="81"/>
      <c r="F1102" s="79">
        <f t="shared" ref="F1102:F1165" si="17">E1102-D1102</f>
        <v>0</v>
      </c>
      <c r="G1102" s="78"/>
    </row>
    <row r="1103" spans="1:7" x14ac:dyDescent="0.2">
      <c r="A1103" s="76"/>
      <c r="B1103" s="77"/>
      <c r="C1103" s="78"/>
      <c r="D1103" s="81"/>
      <c r="E1103" s="81"/>
      <c r="F1103" s="79">
        <f t="shared" si="17"/>
        <v>0</v>
      </c>
      <c r="G1103" s="78"/>
    </row>
    <row r="1104" spans="1:7" x14ac:dyDescent="0.2">
      <c r="A1104" s="76"/>
      <c r="B1104" s="77"/>
      <c r="C1104" s="78"/>
      <c r="D1104" s="81"/>
      <c r="E1104" s="81"/>
      <c r="F1104" s="79">
        <f t="shared" si="17"/>
        <v>0</v>
      </c>
      <c r="G1104" s="78"/>
    </row>
    <row r="1105" spans="1:7" x14ac:dyDescent="0.2">
      <c r="A1105" s="76"/>
      <c r="B1105" s="77"/>
      <c r="C1105" s="78"/>
      <c r="D1105" s="81"/>
      <c r="E1105" s="81"/>
      <c r="F1105" s="79">
        <f t="shared" si="17"/>
        <v>0</v>
      </c>
      <c r="G1105" s="78"/>
    </row>
    <row r="1106" spans="1:7" x14ac:dyDescent="0.2">
      <c r="A1106" s="76"/>
      <c r="B1106" s="77"/>
      <c r="C1106" s="78"/>
      <c r="D1106" s="81"/>
      <c r="E1106" s="81"/>
      <c r="F1106" s="79">
        <f t="shared" si="17"/>
        <v>0</v>
      </c>
      <c r="G1106" s="78"/>
    </row>
    <row r="1107" spans="1:7" x14ac:dyDescent="0.2">
      <c r="A1107" s="76"/>
      <c r="B1107" s="77"/>
      <c r="C1107" s="78"/>
      <c r="D1107" s="81"/>
      <c r="E1107" s="81"/>
      <c r="F1107" s="79">
        <f t="shared" si="17"/>
        <v>0</v>
      </c>
      <c r="G1107" s="78"/>
    </row>
    <row r="1108" spans="1:7" x14ac:dyDescent="0.2">
      <c r="A1108" s="76"/>
      <c r="B1108" s="77"/>
      <c r="C1108" s="78"/>
      <c r="D1108" s="81"/>
      <c r="E1108" s="81"/>
      <c r="F1108" s="79">
        <f t="shared" si="17"/>
        <v>0</v>
      </c>
      <c r="G1108" s="78"/>
    </row>
    <row r="1109" spans="1:7" x14ac:dyDescent="0.2">
      <c r="A1109" s="76"/>
      <c r="B1109" s="77"/>
      <c r="C1109" s="78"/>
      <c r="D1109" s="81"/>
      <c r="E1109" s="81"/>
      <c r="F1109" s="79">
        <f t="shared" si="17"/>
        <v>0</v>
      </c>
      <c r="G1109" s="78"/>
    </row>
    <row r="1110" spans="1:7" x14ac:dyDescent="0.2">
      <c r="A1110" s="76"/>
      <c r="B1110" s="77"/>
      <c r="C1110" s="78"/>
      <c r="D1110" s="81"/>
      <c r="E1110" s="81"/>
      <c r="F1110" s="79">
        <f t="shared" si="17"/>
        <v>0</v>
      </c>
      <c r="G1110" s="78"/>
    </row>
    <row r="1111" spans="1:7" x14ac:dyDescent="0.2">
      <c r="A1111" s="76"/>
      <c r="B1111" s="77"/>
      <c r="C1111" s="78"/>
      <c r="D1111" s="81"/>
      <c r="E1111" s="81"/>
      <c r="F1111" s="79">
        <f t="shared" si="17"/>
        <v>0</v>
      </c>
      <c r="G1111" s="78"/>
    </row>
    <row r="1112" spans="1:7" x14ac:dyDescent="0.2">
      <c r="A1112" s="76"/>
      <c r="B1112" s="77"/>
      <c r="C1112" s="78"/>
      <c r="D1112" s="81"/>
      <c r="E1112" s="81"/>
      <c r="F1112" s="79">
        <f t="shared" si="17"/>
        <v>0</v>
      </c>
      <c r="G1112" s="78"/>
    </row>
    <row r="1113" spans="1:7" x14ac:dyDescent="0.2">
      <c r="A1113" s="76"/>
      <c r="B1113" s="77"/>
      <c r="C1113" s="78"/>
      <c r="D1113" s="81"/>
      <c r="E1113" s="81"/>
      <c r="F1113" s="79">
        <f t="shared" si="17"/>
        <v>0</v>
      </c>
      <c r="G1113" s="78"/>
    </row>
    <row r="1114" spans="1:7" x14ac:dyDescent="0.2">
      <c r="A1114" s="76"/>
      <c r="B1114" s="77"/>
      <c r="C1114" s="78"/>
      <c r="D1114" s="81"/>
      <c r="E1114" s="81"/>
      <c r="F1114" s="79">
        <f t="shared" si="17"/>
        <v>0</v>
      </c>
      <c r="G1114" s="78"/>
    </row>
    <row r="1115" spans="1:7" x14ac:dyDescent="0.2">
      <c r="A1115" s="76"/>
      <c r="B1115" s="77"/>
      <c r="C1115" s="78"/>
      <c r="D1115" s="81"/>
      <c r="E1115" s="81"/>
      <c r="F1115" s="79">
        <f t="shared" si="17"/>
        <v>0</v>
      </c>
      <c r="G1115" s="78"/>
    </row>
    <row r="1116" spans="1:7" x14ac:dyDescent="0.2">
      <c r="A1116" s="76"/>
      <c r="B1116" s="10"/>
      <c r="C1116" s="78"/>
      <c r="D1116" s="81"/>
      <c r="E1116" s="81"/>
      <c r="F1116" s="79">
        <f t="shared" si="17"/>
        <v>0</v>
      </c>
      <c r="G1116" s="78"/>
    </row>
    <row r="1117" spans="1:7" x14ac:dyDescent="0.2">
      <c r="A1117" s="76"/>
      <c r="B1117" s="77"/>
      <c r="C1117" s="78"/>
      <c r="D1117" s="81"/>
      <c r="E1117" s="81"/>
      <c r="F1117" s="79">
        <f t="shared" si="17"/>
        <v>0</v>
      </c>
      <c r="G1117" s="78"/>
    </row>
    <row r="1118" spans="1:7" x14ac:dyDescent="0.2">
      <c r="A1118" s="76"/>
      <c r="B1118" s="77"/>
      <c r="C1118" s="78"/>
      <c r="D1118" s="81"/>
      <c r="E1118" s="81"/>
      <c r="F1118" s="79">
        <f t="shared" si="17"/>
        <v>0</v>
      </c>
      <c r="G1118" s="78"/>
    </row>
    <row r="1119" spans="1:7" x14ac:dyDescent="0.2">
      <c r="A1119" s="76"/>
      <c r="B1119" s="77"/>
      <c r="C1119" s="78"/>
      <c r="D1119" s="81"/>
      <c r="E1119" s="81"/>
      <c r="F1119" s="79">
        <f t="shared" si="17"/>
        <v>0</v>
      </c>
      <c r="G1119" s="78"/>
    </row>
    <row r="1120" spans="1:7" x14ac:dyDescent="0.2">
      <c r="A1120" s="76"/>
      <c r="B1120" s="77"/>
      <c r="C1120" s="78"/>
      <c r="D1120" s="81"/>
      <c r="E1120" s="81"/>
      <c r="F1120" s="79">
        <f t="shared" si="17"/>
        <v>0</v>
      </c>
      <c r="G1120" s="80"/>
    </row>
    <row r="1121" spans="1:7" x14ac:dyDescent="0.2">
      <c r="A1121" s="76"/>
      <c r="B1121" s="77"/>
      <c r="C1121" s="78"/>
      <c r="D1121" s="81"/>
      <c r="E1121" s="81"/>
      <c r="F1121" s="79">
        <f t="shared" si="17"/>
        <v>0</v>
      </c>
      <c r="G1121" s="80"/>
    </row>
    <row r="1122" spans="1:7" x14ac:dyDescent="0.2">
      <c r="A1122" s="76"/>
      <c r="B1122" s="77"/>
      <c r="C1122" s="78"/>
      <c r="D1122" s="81"/>
      <c r="E1122" s="81"/>
      <c r="F1122" s="79">
        <f t="shared" si="17"/>
        <v>0</v>
      </c>
      <c r="G1122" s="80"/>
    </row>
    <row r="1123" spans="1:7" x14ac:dyDescent="0.2">
      <c r="A1123" s="76"/>
      <c r="B1123" s="77"/>
      <c r="C1123" s="78"/>
      <c r="D1123" s="81"/>
      <c r="E1123" s="81"/>
      <c r="F1123" s="79">
        <f t="shared" si="17"/>
        <v>0</v>
      </c>
      <c r="G1123" s="78"/>
    </row>
    <row r="1124" spans="1:7" x14ac:dyDescent="0.2">
      <c r="A1124" s="76"/>
      <c r="B1124" s="77"/>
      <c r="C1124" s="78"/>
      <c r="D1124" s="81"/>
      <c r="E1124" s="81"/>
      <c r="F1124" s="79">
        <f t="shared" si="17"/>
        <v>0</v>
      </c>
      <c r="G1124" s="78"/>
    </row>
    <row r="1125" spans="1:7" x14ac:dyDescent="0.2">
      <c r="A1125" s="76"/>
      <c r="B1125" s="77"/>
      <c r="C1125" s="78"/>
      <c r="D1125" s="81"/>
      <c r="E1125" s="81"/>
      <c r="F1125" s="79">
        <f t="shared" si="17"/>
        <v>0</v>
      </c>
      <c r="G1125" s="78"/>
    </row>
    <row r="1126" spans="1:7" x14ac:dyDescent="0.2">
      <c r="A1126" s="76"/>
      <c r="B1126" s="77"/>
      <c r="C1126" s="78"/>
      <c r="D1126" s="81"/>
      <c r="E1126" s="81"/>
      <c r="F1126" s="79">
        <f t="shared" si="17"/>
        <v>0</v>
      </c>
      <c r="G1126" s="78"/>
    </row>
    <row r="1127" spans="1:7" x14ac:dyDescent="0.2">
      <c r="A1127" s="76"/>
      <c r="B1127" s="77"/>
      <c r="C1127" s="78"/>
      <c r="D1127" s="81"/>
      <c r="E1127" s="81"/>
      <c r="F1127" s="79">
        <f t="shared" si="17"/>
        <v>0</v>
      </c>
      <c r="G1127" s="78"/>
    </row>
    <row r="1128" spans="1:7" x14ac:dyDescent="0.2">
      <c r="A1128" s="76"/>
      <c r="B1128" s="77"/>
      <c r="C1128" s="78"/>
      <c r="D1128" s="81"/>
      <c r="E1128" s="81"/>
      <c r="F1128" s="79">
        <f t="shared" si="17"/>
        <v>0</v>
      </c>
      <c r="G1128" s="78"/>
    </row>
    <row r="1129" spans="1:7" x14ac:dyDescent="0.2">
      <c r="A1129" s="76"/>
      <c r="B1129" s="77"/>
      <c r="C1129" s="78"/>
      <c r="D1129" s="81"/>
      <c r="E1129" s="81"/>
      <c r="F1129" s="79">
        <f t="shared" si="17"/>
        <v>0</v>
      </c>
      <c r="G1129" s="78"/>
    </row>
    <row r="1130" spans="1:7" x14ac:dyDescent="0.2">
      <c r="A1130" s="76"/>
      <c r="B1130" s="77"/>
      <c r="C1130" s="78"/>
      <c r="D1130" s="81"/>
      <c r="E1130" s="81"/>
      <c r="F1130" s="79">
        <f t="shared" si="17"/>
        <v>0</v>
      </c>
      <c r="G1130" s="78"/>
    </row>
    <row r="1131" spans="1:7" x14ac:dyDescent="0.2">
      <c r="A1131" s="76"/>
      <c r="B1131" s="77"/>
      <c r="C1131" s="78"/>
      <c r="D1131" s="81"/>
      <c r="E1131" s="81"/>
      <c r="F1131" s="79">
        <f t="shared" si="17"/>
        <v>0</v>
      </c>
      <c r="G1131" s="78"/>
    </row>
    <row r="1132" spans="1:7" x14ac:dyDescent="0.2">
      <c r="A1132" s="76"/>
      <c r="B1132" s="77"/>
      <c r="C1132" s="78"/>
      <c r="D1132" s="81"/>
      <c r="E1132" s="81"/>
      <c r="F1132" s="79">
        <f t="shared" si="17"/>
        <v>0</v>
      </c>
      <c r="G1132" s="78"/>
    </row>
    <row r="1133" spans="1:7" x14ac:dyDescent="0.2">
      <c r="A1133" s="76"/>
      <c r="B1133" s="77"/>
      <c r="C1133" s="78"/>
      <c r="D1133" s="81"/>
      <c r="E1133" s="81"/>
      <c r="F1133" s="79">
        <f t="shared" si="17"/>
        <v>0</v>
      </c>
      <c r="G1133" s="78"/>
    </row>
    <row r="1134" spans="1:7" x14ac:dyDescent="0.2">
      <c r="A1134" s="76"/>
      <c r="B1134" s="77"/>
      <c r="C1134" s="78"/>
      <c r="D1134" s="81"/>
      <c r="E1134" s="81"/>
      <c r="F1134" s="79">
        <f t="shared" si="17"/>
        <v>0</v>
      </c>
      <c r="G1134" s="78"/>
    </row>
    <row r="1135" spans="1:7" x14ac:dyDescent="0.2">
      <c r="A1135" s="76"/>
      <c r="B1135" s="77"/>
      <c r="C1135" s="78"/>
      <c r="D1135" s="81"/>
      <c r="E1135" s="81"/>
      <c r="F1135" s="79">
        <f t="shared" si="17"/>
        <v>0</v>
      </c>
      <c r="G1135" s="78"/>
    </row>
    <row r="1136" spans="1:7" x14ac:dyDescent="0.2">
      <c r="A1136" s="76"/>
      <c r="B1136" s="77"/>
      <c r="C1136" s="78"/>
      <c r="D1136" s="81"/>
      <c r="E1136" s="81"/>
      <c r="F1136" s="79">
        <f t="shared" si="17"/>
        <v>0</v>
      </c>
      <c r="G1136" s="78"/>
    </row>
    <row r="1137" spans="1:7" x14ac:dyDescent="0.2">
      <c r="A1137" s="76"/>
      <c r="B1137" s="77"/>
      <c r="C1137" s="78"/>
      <c r="D1137" s="81"/>
      <c r="E1137" s="81"/>
      <c r="F1137" s="79">
        <f t="shared" si="17"/>
        <v>0</v>
      </c>
      <c r="G1137" s="78"/>
    </row>
    <row r="1138" spans="1:7" x14ac:dyDescent="0.2">
      <c r="A1138" s="76"/>
      <c r="B1138" s="77"/>
      <c r="C1138" s="78"/>
      <c r="D1138" s="81"/>
      <c r="E1138" s="81"/>
      <c r="F1138" s="79">
        <f t="shared" si="17"/>
        <v>0</v>
      </c>
      <c r="G1138" s="78"/>
    </row>
    <row r="1139" spans="1:7" x14ac:dyDescent="0.2">
      <c r="A1139" s="76"/>
      <c r="B1139" s="77"/>
      <c r="C1139" s="78"/>
      <c r="D1139" s="81"/>
      <c r="E1139" s="81"/>
      <c r="F1139" s="79">
        <f t="shared" si="17"/>
        <v>0</v>
      </c>
      <c r="G1139" s="78"/>
    </row>
    <row r="1140" spans="1:7" x14ac:dyDescent="0.2">
      <c r="A1140" s="76"/>
      <c r="B1140" s="77"/>
      <c r="C1140" s="78"/>
      <c r="D1140" s="81"/>
      <c r="E1140" s="81"/>
      <c r="F1140" s="79">
        <f t="shared" si="17"/>
        <v>0</v>
      </c>
      <c r="G1140" s="78"/>
    </row>
    <row r="1141" spans="1:7" x14ac:dyDescent="0.2">
      <c r="A1141" s="76"/>
      <c r="B1141" s="77"/>
      <c r="C1141" s="78"/>
      <c r="D1141" s="81"/>
      <c r="E1141" s="81"/>
      <c r="F1141" s="79">
        <f t="shared" si="17"/>
        <v>0</v>
      </c>
      <c r="G1141" s="78"/>
    </row>
    <row r="1142" spans="1:7" x14ac:dyDescent="0.2">
      <c r="A1142" s="76"/>
      <c r="B1142" s="77"/>
      <c r="C1142" s="78"/>
      <c r="D1142" s="81"/>
      <c r="E1142" s="81"/>
      <c r="F1142" s="79">
        <f t="shared" si="17"/>
        <v>0</v>
      </c>
      <c r="G1142" s="78"/>
    </row>
    <row r="1143" spans="1:7" x14ac:dyDescent="0.2">
      <c r="A1143" s="76"/>
      <c r="B1143" s="77"/>
      <c r="C1143" s="78"/>
      <c r="D1143" s="81"/>
      <c r="E1143" s="81"/>
      <c r="F1143" s="79">
        <f t="shared" si="17"/>
        <v>0</v>
      </c>
      <c r="G1143" s="78"/>
    </row>
    <row r="1144" spans="1:7" x14ac:dyDescent="0.2">
      <c r="A1144" s="76"/>
      <c r="B1144" s="77"/>
      <c r="C1144" s="78"/>
      <c r="D1144" s="81"/>
      <c r="E1144" s="81"/>
      <c r="F1144" s="79">
        <f t="shared" si="17"/>
        <v>0</v>
      </c>
      <c r="G1144" s="78"/>
    </row>
    <row r="1145" spans="1:7" x14ac:dyDescent="0.2">
      <c r="A1145" s="76"/>
      <c r="B1145" s="77"/>
      <c r="C1145" s="78"/>
      <c r="D1145" s="81"/>
      <c r="E1145" s="81"/>
      <c r="F1145" s="79">
        <f t="shared" si="17"/>
        <v>0</v>
      </c>
      <c r="G1145" s="78"/>
    </row>
    <row r="1146" spans="1:7" x14ac:dyDescent="0.2">
      <c r="A1146" s="76"/>
      <c r="B1146" s="77"/>
      <c r="C1146" s="78"/>
      <c r="D1146" s="81"/>
      <c r="E1146" s="81"/>
      <c r="F1146" s="79">
        <f t="shared" si="17"/>
        <v>0</v>
      </c>
      <c r="G1146" s="78"/>
    </row>
    <row r="1147" spans="1:7" x14ac:dyDescent="0.2">
      <c r="A1147" s="76"/>
      <c r="B1147" s="77"/>
      <c r="C1147" s="78"/>
      <c r="D1147" s="81"/>
      <c r="E1147" s="81"/>
      <c r="F1147" s="79">
        <f t="shared" si="17"/>
        <v>0</v>
      </c>
      <c r="G1147" s="78"/>
    </row>
    <row r="1148" spans="1:7" x14ac:dyDescent="0.2">
      <c r="A1148" s="76"/>
      <c r="B1148" s="77"/>
      <c r="C1148" s="78"/>
      <c r="D1148" s="81"/>
      <c r="E1148" s="81"/>
      <c r="F1148" s="79">
        <f t="shared" si="17"/>
        <v>0</v>
      </c>
      <c r="G1148" s="78"/>
    </row>
    <row r="1149" spans="1:7" x14ac:dyDescent="0.2">
      <c r="A1149" s="76"/>
      <c r="B1149" s="77"/>
      <c r="C1149" s="78"/>
      <c r="D1149" s="81"/>
      <c r="E1149" s="81"/>
      <c r="F1149" s="79">
        <f t="shared" si="17"/>
        <v>0</v>
      </c>
      <c r="G1149" s="78"/>
    </row>
    <row r="1150" spans="1:7" x14ac:dyDescent="0.2">
      <c r="A1150" s="76"/>
      <c r="B1150" s="77"/>
      <c r="C1150" s="78"/>
      <c r="D1150" s="81"/>
      <c r="E1150" s="81"/>
      <c r="F1150" s="79">
        <f t="shared" si="17"/>
        <v>0</v>
      </c>
      <c r="G1150" s="78"/>
    </row>
    <row r="1151" spans="1:7" x14ac:dyDescent="0.2">
      <c r="A1151" s="76"/>
      <c r="B1151" s="77"/>
      <c r="C1151" s="78"/>
      <c r="D1151" s="81"/>
      <c r="E1151" s="81"/>
      <c r="F1151" s="79">
        <f t="shared" si="17"/>
        <v>0</v>
      </c>
      <c r="G1151" s="78"/>
    </row>
    <row r="1152" spans="1:7" x14ac:dyDescent="0.2">
      <c r="A1152" s="76"/>
      <c r="B1152" s="77"/>
      <c r="C1152" s="78"/>
      <c r="D1152" s="81"/>
      <c r="E1152" s="81"/>
      <c r="F1152" s="79">
        <f t="shared" si="17"/>
        <v>0</v>
      </c>
      <c r="G1152" s="78"/>
    </row>
    <row r="1153" spans="1:7" x14ac:dyDescent="0.2">
      <c r="A1153" s="76"/>
      <c r="B1153" s="77"/>
      <c r="C1153" s="78"/>
      <c r="D1153" s="81"/>
      <c r="E1153" s="81"/>
      <c r="F1153" s="79">
        <f t="shared" si="17"/>
        <v>0</v>
      </c>
      <c r="G1153" s="78"/>
    </row>
    <row r="1154" spans="1:7" x14ac:dyDescent="0.2">
      <c r="A1154" s="76"/>
      <c r="B1154" s="77"/>
      <c r="C1154" s="78"/>
      <c r="D1154" s="81"/>
      <c r="E1154" s="81"/>
      <c r="F1154" s="79">
        <f t="shared" si="17"/>
        <v>0</v>
      </c>
      <c r="G1154" s="78"/>
    </row>
    <row r="1155" spans="1:7" x14ac:dyDescent="0.2">
      <c r="A1155" s="76"/>
      <c r="B1155" s="77"/>
      <c r="C1155" s="78"/>
      <c r="D1155" s="81"/>
      <c r="E1155" s="81"/>
      <c r="F1155" s="79">
        <f t="shared" si="17"/>
        <v>0</v>
      </c>
      <c r="G1155" s="78"/>
    </row>
    <row r="1156" spans="1:7" x14ac:dyDescent="0.2">
      <c r="A1156" s="76"/>
      <c r="B1156" s="77"/>
      <c r="C1156" s="78"/>
      <c r="D1156" s="81"/>
      <c r="E1156" s="81"/>
      <c r="F1156" s="79">
        <f t="shared" si="17"/>
        <v>0</v>
      </c>
      <c r="G1156" s="78"/>
    </row>
    <row r="1157" spans="1:7" x14ac:dyDescent="0.2">
      <c r="A1157" s="76"/>
      <c r="B1157" s="77"/>
      <c r="C1157" s="78"/>
      <c r="D1157" s="81"/>
      <c r="E1157" s="81"/>
      <c r="F1157" s="79">
        <f t="shared" si="17"/>
        <v>0</v>
      </c>
      <c r="G1157" s="78"/>
    </row>
    <row r="1158" spans="1:7" x14ac:dyDescent="0.2">
      <c r="A1158" s="76"/>
      <c r="B1158" s="77"/>
      <c r="C1158" s="78"/>
      <c r="D1158" s="81"/>
      <c r="E1158" s="81"/>
      <c r="F1158" s="79">
        <f t="shared" si="17"/>
        <v>0</v>
      </c>
      <c r="G1158" s="78"/>
    </row>
    <row r="1159" spans="1:7" x14ac:dyDescent="0.2">
      <c r="A1159" s="76"/>
      <c r="B1159" s="77"/>
      <c r="C1159" s="78"/>
      <c r="D1159" s="81"/>
      <c r="E1159" s="81"/>
      <c r="F1159" s="79">
        <f t="shared" si="17"/>
        <v>0</v>
      </c>
      <c r="G1159" s="78"/>
    </row>
    <row r="1160" spans="1:7" x14ac:dyDescent="0.2">
      <c r="A1160" s="76"/>
      <c r="B1160" s="77"/>
      <c r="C1160" s="78"/>
      <c r="D1160" s="81"/>
      <c r="E1160" s="81"/>
      <c r="F1160" s="79">
        <f t="shared" si="17"/>
        <v>0</v>
      </c>
      <c r="G1160" s="80"/>
    </row>
    <row r="1161" spans="1:7" x14ac:dyDescent="0.2">
      <c r="A1161" s="76"/>
      <c r="B1161" s="77"/>
      <c r="C1161" s="78"/>
      <c r="D1161" s="81"/>
      <c r="E1161" s="81"/>
      <c r="F1161" s="79">
        <f t="shared" si="17"/>
        <v>0</v>
      </c>
      <c r="G1161" s="78"/>
    </row>
    <row r="1162" spans="1:7" x14ac:dyDescent="0.2">
      <c r="A1162" s="76"/>
      <c r="B1162" s="77"/>
      <c r="C1162" s="78"/>
      <c r="D1162" s="81"/>
      <c r="E1162" s="81"/>
      <c r="F1162" s="79">
        <f t="shared" si="17"/>
        <v>0</v>
      </c>
      <c r="G1162" s="78"/>
    </row>
    <row r="1163" spans="1:7" x14ac:dyDescent="0.2">
      <c r="A1163" s="76"/>
      <c r="B1163" s="77"/>
      <c r="C1163" s="78"/>
      <c r="D1163" s="81"/>
      <c r="E1163" s="81"/>
      <c r="F1163" s="79">
        <f t="shared" si="17"/>
        <v>0</v>
      </c>
      <c r="G1163" s="78"/>
    </row>
    <row r="1164" spans="1:7" x14ac:dyDescent="0.2">
      <c r="A1164" s="76"/>
      <c r="B1164" s="77"/>
      <c r="C1164" s="78"/>
      <c r="D1164" s="81"/>
      <c r="E1164" s="81"/>
      <c r="F1164" s="79">
        <f t="shared" si="17"/>
        <v>0</v>
      </c>
      <c r="G1164" s="78"/>
    </row>
    <row r="1165" spans="1:7" x14ac:dyDescent="0.2">
      <c r="A1165" s="76"/>
      <c r="B1165" s="77"/>
      <c r="C1165" s="78"/>
      <c r="D1165" s="81"/>
      <c r="E1165" s="81"/>
      <c r="F1165" s="79">
        <f t="shared" si="17"/>
        <v>0</v>
      </c>
      <c r="G1165" s="78"/>
    </row>
    <row r="1166" spans="1:7" x14ac:dyDescent="0.2">
      <c r="A1166" s="76"/>
      <c r="B1166" s="77"/>
      <c r="C1166" s="78"/>
      <c r="D1166" s="81"/>
      <c r="E1166" s="81"/>
      <c r="F1166" s="79">
        <f t="shared" ref="F1166:F1229" si="18">E1166-D1166</f>
        <v>0</v>
      </c>
      <c r="G1166" s="78"/>
    </row>
    <row r="1167" spans="1:7" x14ac:dyDescent="0.2">
      <c r="A1167" s="76"/>
      <c r="B1167" s="77"/>
      <c r="C1167" s="78"/>
      <c r="D1167" s="81"/>
      <c r="E1167" s="81"/>
      <c r="F1167" s="79">
        <f t="shared" si="18"/>
        <v>0</v>
      </c>
      <c r="G1167" s="78"/>
    </row>
    <row r="1168" spans="1:7" x14ac:dyDescent="0.2">
      <c r="A1168" s="76"/>
      <c r="B1168" s="77"/>
      <c r="C1168" s="78"/>
      <c r="D1168" s="81"/>
      <c r="E1168" s="81"/>
      <c r="F1168" s="79">
        <f t="shared" si="18"/>
        <v>0</v>
      </c>
      <c r="G1168" s="78"/>
    </row>
    <row r="1169" spans="1:7" x14ac:dyDescent="0.2">
      <c r="A1169" s="76"/>
      <c r="B1169" s="77"/>
      <c r="C1169" s="78"/>
      <c r="D1169" s="81"/>
      <c r="E1169" s="81"/>
      <c r="F1169" s="79">
        <f t="shared" si="18"/>
        <v>0</v>
      </c>
      <c r="G1169" s="78"/>
    </row>
    <row r="1170" spans="1:7" x14ac:dyDescent="0.2">
      <c r="A1170" s="76"/>
      <c r="B1170" s="77"/>
      <c r="C1170" s="78"/>
      <c r="D1170" s="81"/>
      <c r="E1170" s="81"/>
      <c r="F1170" s="79">
        <f t="shared" si="18"/>
        <v>0</v>
      </c>
      <c r="G1170" s="78"/>
    </row>
    <row r="1171" spans="1:7" x14ac:dyDescent="0.2">
      <c r="A1171" s="76"/>
      <c r="B1171" s="77"/>
      <c r="C1171" s="78"/>
      <c r="D1171" s="81"/>
      <c r="E1171" s="81"/>
      <c r="F1171" s="79">
        <f t="shared" si="18"/>
        <v>0</v>
      </c>
      <c r="G1171" s="78"/>
    </row>
    <row r="1172" spans="1:7" x14ac:dyDescent="0.2">
      <c r="A1172" s="76"/>
      <c r="B1172" s="77"/>
      <c r="C1172" s="78"/>
      <c r="D1172" s="81"/>
      <c r="E1172" s="81"/>
      <c r="F1172" s="79">
        <f t="shared" si="18"/>
        <v>0</v>
      </c>
      <c r="G1172" s="80"/>
    </row>
    <row r="1173" spans="1:7" x14ac:dyDescent="0.2">
      <c r="A1173" s="76"/>
      <c r="B1173" s="77"/>
      <c r="C1173" s="78"/>
      <c r="D1173" s="81"/>
      <c r="E1173" s="81"/>
      <c r="F1173" s="79">
        <f t="shared" si="18"/>
        <v>0</v>
      </c>
      <c r="G1173" s="78"/>
    </row>
    <row r="1174" spans="1:7" x14ac:dyDescent="0.2">
      <c r="A1174" s="76"/>
      <c r="B1174" s="77"/>
      <c r="C1174" s="78"/>
      <c r="D1174" s="81"/>
      <c r="E1174" s="81"/>
      <c r="F1174" s="79">
        <f t="shared" si="18"/>
        <v>0</v>
      </c>
      <c r="G1174" s="78"/>
    </row>
    <row r="1175" spans="1:7" x14ac:dyDescent="0.2">
      <c r="A1175" s="76"/>
      <c r="B1175" s="77"/>
      <c r="C1175" s="78"/>
      <c r="D1175" s="81"/>
      <c r="E1175" s="81"/>
      <c r="F1175" s="79">
        <f t="shared" si="18"/>
        <v>0</v>
      </c>
      <c r="G1175" s="78"/>
    </row>
    <row r="1176" spans="1:7" x14ac:dyDescent="0.2">
      <c r="A1176" s="76"/>
      <c r="B1176" s="77"/>
      <c r="C1176" s="78"/>
      <c r="D1176" s="81"/>
      <c r="E1176" s="81"/>
      <c r="F1176" s="79">
        <f t="shared" si="18"/>
        <v>0</v>
      </c>
      <c r="G1176" s="78"/>
    </row>
    <row r="1177" spans="1:7" x14ac:dyDescent="0.2">
      <c r="A1177" s="76"/>
      <c r="B1177" s="77"/>
      <c r="C1177" s="78"/>
      <c r="D1177" s="81"/>
      <c r="E1177" s="81"/>
      <c r="F1177" s="79">
        <f t="shared" si="18"/>
        <v>0</v>
      </c>
      <c r="G1177" s="78"/>
    </row>
    <row r="1178" spans="1:7" x14ac:dyDescent="0.2">
      <c r="A1178" s="76"/>
      <c r="B1178" s="77"/>
      <c r="C1178" s="78"/>
      <c r="D1178" s="81"/>
      <c r="E1178" s="81"/>
      <c r="F1178" s="79">
        <f t="shared" si="18"/>
        <v>0</v>
      </c>
      <c r="G1178" s="78"/>
    </row>
    <row r="1179" spans="1:7" x14ac:dyDescent="0.2">
      <c r="A1179" s="76"/>
      <c r="B1179" s="77"/>
      <c r="C1179" s="78"/>
      <c r="D1179" s="81"/>
      <c r="E1179" s="81"/>
      <c r="F1179" s="79">
        <f t="shared" si="18"/>
        <v>0</v>
      </c>
      <c r="G1179" s="78"/>
    </row>
    <row r="1180" spans="1:7" x14ac:dyDescent="0.2">
      <c r="A1180" s="76"/>
      <c r="B1180" s="77"/>
      <c r="C1180" s="78"/>
      <c r="D1180" s="81"/>
      <c r="E1180" s="81"/>
      <c r="F1180" s="79">
        <f t="shared" si="18"/>
        <v>0</v>
      </c>
      <c r="G1180" s="78"/>
    </row>
    <row r="1181" spans="1:7" x14ac:dyDescent="0.2">
      <c r="A1181" s="76"/>
      <c r="B1181" s="77"/>
      <c r="C1181" s="78"/>
      <c r="D1181" s="81"/>
      <c r="E1181" s="81"/>
      <c r="F1181" s="79">
        <f t="shared" si="18"/>
        <v>0</v>
      </c>
      <c r="G1181" s="78"/>
    </row>
    <row r="1182" spans="1:7" x14ac:dyDescent="0.2">
      <c r="A1182" s="76"/>
      <c r="B1182" s="77"/>
      <c r="C1182" s="78"/>
      <c r="D1182" s="81"/>
      <c r="E1182" s="81"/>
      <c r="F1182" s="79">
        <f t="shared" si="18"/>
        <v>0</v>
      </c>
      <c r="G1182" s="78"/>
    </row>
    <row r="1183" spans="1:7" x14ac:dyDescent="0.2">
      <c r="A1183" s="76"/>
      <c r="B1183" s="77"/>
      <c r="C1183" s="78"/>
      <c r="D1183" s="81"/>
      <c r="E1183" s="81"/>
      <c r="F1183" s="79">
        <f t="shared" si="18"/>
        <v>0</v>
      </c>
      <c r="G1183" s="78"/>
    </row>
    <row r="1184" spans="1:7" x14ac:dyDescent="0.2">
      <c r="A1184" s="76"/>
      <c r="B1184" s="77"/>
      <c r="C1184" s="78"/>
      <c r="D1184" s="81"/>
      <c r="E1184" s="81"/>
      <c r="F1184" s="79">
        <f t="shared" si="18"/>
        <v>0</v>
      </c>
      <c r="G1184" s="78"/>
    </row>
    <row r="1185" spans="1:7" x14ac:dyDescent="0.2">
      <c r="A1185" s="76"/>
      <c r="B1185" s="77"/>
      <c r="C1185" s="78"/>
      <c r="D1185" s="81"/>
      <c r="E1185" s="81"/>
      <c r="F1185" s="79">
        <f t="shared" si="18"/>
        <v>0</v>
      </c>
      <c r="G1185" s="78"/>
    </row>
    <row r="1186" spans="1:7" x14ac:dyDescent="0.2">
      <c r="A1186" s="76"/>
      <c r="B1186" s="77"/>
      <c r="C1186" s="78"/>
      <c r="D1186" s="81"/>
      <c r="E1186" s="81"/>
      <c r="F1186" s="79">
        <f t="shared" si="18"/>
        <v>0</v>
      </c>
      <c r="G1186" s="78"/>
    </row>
    <row r="1187" spans="1:7" x14ac:dyDescent="0.2">
      <c r="A1187" s="76"/>
      <c r="B1187" s="77"/>
      <c r="C1187" s="78"/>
      <c r="D1187" s="81"/>
      <c r="E1187" s="81"/>
      <c r="F1187" s="79">
        <f t="shared" si="18"/>
        <v>0</v>
      </c>
      <c r="G1187" s="78"/>
    </row>
    <row r="1188" spans="1:7" x14ac:dyDescent="0.2">
      <c r="A1188" s="76"/>
      <c r="B1188" s="77"/>
      <c r="C1188" s="78"/>
      <c r="D1188" s="81"/>
      <c r="E1188" s="81"/>
      <c r="F1188" s="79">
        <f t="shared" si="18"/>
        <v>0</v>
      </c>
      <c r="G1188" s="78"/>
    </row>
    <row r="1189" spans="1:7" x14ac:dyDescent="0.2">
      <c r="A1189" s="76"/>
      <c r="B1189" s="77"/>
      <c r="C1189" s="78"/>
      <c r="D1189" s="81"/>
      <c r="E1189" s="81"/>
      <c r="F1189" s="79">
        <f t="shared" si="18"/>
        <v>0</v>
      </c>
      <c r="G1189" s="78"/>
    </row>
    <row r="1190" spans="1:7" x14ac:dyDescent="0.2">
      <c r="A1190" s="76"/>
      <c r="B1190" s="77"/>
      <c r="C1190" s="78"/>
      <c r="D1190" s="81"/>
      <c r="E1190" s="81"/>
      <c r="F1190" s="79">
        <f>E1190-D1190</f>
        <v>0</v>
      </c>
      <c r="G1190" s="78"/>
    </row>
    <row r="1191" spans="1:7" x14ac:dyDescent="0.2">
      <c r="A1191" s="76"/>
      <c r="B1191" s="77"/>
      <c r="C1191" s="78"/>
      <c r="D1191" s="81"/>
      <c r="E1191" s="81"/>
      <c r="F1191" s="79">
        <f t="shared" si="18"/>
        <v>0</v>
      </c>
      <c r="G1191" s="78"/>
    </row>
    <row r="1192" spans="1:7" x14ac:dyDescent="0.2">
      <c r="A1192" s="76"/>
      <c r="B1192" s="77"/>
      <c r="C1192" s="78"/>
      <c r="D1192" s="81"/>
      <c r="E1192" s="81"/>
      <c r="F1192" s="79">
        <f t="shared" si="18"/>
        <v>0</v>
      </c>
      <c r="G1192" s="78"/>
    </row>
    <row r="1193" spans="1:7" x14ac:dyDescent="0.2">
      <c r="A1193" s="76"/>
      <c r="B1193" s="77"/>
      <c r="C1193" s="78"/>
      <c r="D1193" s="81"/>
      <c r="E1193" s="81"/>
      <c r="F1193" s="79">
        <f t="shared" si="18"/>
        <v>0</v>
      </c>
      <c r="G1193" s="78"/>
    </row>
    <row r="1194" spans="1:7" x14ac:dyDescent="0.2">
      <c r="A1194" s="76"/>
      <c r="B1194" s="77"/>
      <c r="C1194" s="78"/>
      <c r="D1194" s="81"/>
      <c r="E1194" s="81"/>
      <c r="F1194" s="79">
        <f t="shared" si="18"/>
        <v>0</v>
      </c>
      <c r="G1194" s="78"/>
    </row>
    <row r="1195" spans="1:7" x14ac:dyDescent="0.2">
      <c r="A1195" s="76"/>
      <c r="B1195" s="77"/>
      <c r="C1195" s="78"/>
      <c r="D1195" s="81"/>
      <c r="E1195" s="81"/>
      <c r="F1195" s="79">
        <f t="shared" si="18"/>
        <v>0</v>
      </c>
      <c r="G1195" s="78"/>
    </row>
    <row r="1196" spans="1:7" x14ac:dyDescent="0.2">
      <c r="A1196" s="76"/>
      <c r="B1196" s="77"/>
      <c r="C1196" s="78"/>
      <c r="D1196" s="81"/>
      <c r="E1196" s="81"/>
      <c r="F1196" s="79">
        <f t="shared" si="18"/>
        <v>0</v>
      </c>
      <c r="G1196" s="78"/>
    </row>
    <row r="1197" spans="1:7" x14ac:dyDescent="0.2">
      <c r="A1197" s="76"/>
      <c r="B1197" s="77"/>
      <c r="C1197" s="78"/>
      <c r="D1197" s="81"/>
      <c r="E1197" s="81"/>
      <c r="F1197" s="79">
        <f t="shared" si="18"/>
        <v>0</v>
      </c>
      <c r="G1197" s="78"/>
    </row>
    <row r="1198" spans="1:7" x14ac:dyDescent="0.2">
      <c r="A1198" s="76"/>
      <c r="B1198" s="77"/>
      <c r="C1198" s="78"/>
      <c r="D1198" s="81"/>
      <c r="E1198" s="81"/>
      <c r="F1198" s="79">
        <f t="shared" si="18"/>
        <v>0</v>
      </c>
      <c r="G1198" s="78"/>
    </row>
    <row r="1199" spans="1:7" x14ac:dyDescent="0.2">
      <c r="A1199" s="76"/>
      <c r="B1199" s="77"/>
      <c r="C1199" s="78"/>
      <c r="D1199" s="81"/>
      <c r="E1199" s="81"/>
      <c r="F1199" s="79">
        <f t="shared" si="18"/>
        <v>0</v>
      </c>
      <c r="G1199" s="78"/>
    </row>
    <row r="1200" spans="1:7" x14ac:dyDescent="0.2">
      <c r="A1200" s="76"/>
      <c r="B1200" s="77"/>
      <c r="C1200" s="78"/>
      <c r="D1200" s="81"/>
      <c r="E1200" s="81"/>
      <c r="F1200" s="79">
        <f t="shared" si="18"/>
        <v>0</v>
      </c>
      <c r="G1200" s="78"/>
    </row>
    <row r="1201" spans="1:7" x14ac:dyDescent="0.2">
      <c r="A1201" s="76"/>
      <c r="B1201" s="77"/>
      <c r="C1201" s="78"/>
      <c r="D1201" s="81"/>
      <c r="E1201" s="81"/>
      <c r="F1201" s="79">
        <f t="shared" si="18"/>
        <v>0</v>
      </c>
      <c r="G1201" s="78"/>
    </row>
    <row r="1202" spans="1:7" x14ac:dyDescent="0.2">
      <c r="A1202" s="76"/>
      <c r="B1202" s="77"/>
      <c r="C1202" s="78"/>
      <c r="D1202" s="81"/>
      <c r="E1202" s="81"/>
      <c r="F1202" s="79">
        <f t="shared" si="18"/>
        <v>0</v>
      </c>
      <c r="G1202" s="78"/>
    </row>
    <row r="1203" spans="1:7" x14ac:dyDescent="0.2">
      <c r="A1203" s="76"/>
      <c r="B1203" s="77"/>
      <c r="C1203" s="78"/>
      <c r="D1203" s="81"/>
      <c r="E1203" s="81"/>
      <c r="F1203" s="79">
        <f t="shared" si="18"/>
        <v>0</v>
      </c>
      <c r="G1203" s="78"/>
    </row>
    <row r="1204" spans="1:7" x14ac:dyDescent="0.2">
      <c r="A1204" s="76"/>
      <c r="B1204" s="77"/>
      <c r="C1204" s="78"/>
      <c r="D1204" s="81"/>
      <c r="E1204" s="81"/>
      <c r="F1204" s="79">
        <f t="shared" si="18"/>
        <v>0</v>
      </c>
      <c r="G1204" s="78"/>
    </row>
    <row r="1205" spans="1:7" x14ac:dyDescent="0.2">
      <c r="A1205" s="76"/>
      <c r="B1205" s="77"/>
      <c r="C1205" s="78"/>
      <c r="D1205" s="81"/>
      <c r="E1205" s="81"/>
      <c r="F1205" s="79">
        <f t="shared" si="18"/>
        <v>0</v>
      </c>
      <c r="G1205" s="78"/>
    </row>
    <row r="1206" spans="1:7" x14ac:dyDescent="0.2">
      <c r="A1206" s="76"/>
      <c r="B1206" s="77"/>
      <c r="C1206" s="78"/>
      <c r="D1206" s="81"/>
      <c r="E1206" s="81"/>
      <c r="F1206" s="79">
        <f t="shared" si="18"/>
        <v>0</v>
      </c>
      <c r="G1206" s="78"/>
    </row>
    <row r="1207" spans="1:7" x14ac:dyDescent="0.2">
      <c r="A1207" s="76"/>
      <c r="B1207" s="77"/>
      <c r="C1207" s="78"/>
      <c r="D1207" s="81"/>
      <c r="E1207" s="81"/>
      <c r="F1207" s="79">
        <f t="shared" si="18"/>
        <v>0</v>
      </c>
      <c r="G1207" s="78"/>
    </row>
    <row r="1208" spans="1:7" x14ac:dyDescent="0.2">
      <c r="A1208" s="76"/>
      <c r="B1208" s="77"/>
      <c r="C1208" s="78"/>
      <c r="D1208" s="81"/>
      <c r="E1208" s="81"/>
      <c r="F1208" s="79">
        <f t="shared" si="18"/>
        <v>0</v>
      </c>
      <c r="G1208" s="78"/>
    </row>
    <row r="1209" spans="1:7" x14ac:dyDescent="0.2">
      <c r="A1209" s="76"/>
      <c r="B1209" s="77"/>
      <c r="C1209" s="78"/>
      <c r="D1209" s="81"/>
      <c r="E1209" s="81"/>
      <c r="F1209" s="79">
        <f t="shared" si="18"/>
        <v>0</v>
      </c>
      <c r="G1209" s="78"/>
    </row>
    <row r="1210" spans="1:7" x14ac:dyDescent="0.2">
      <c r="A1210" s="76"/>
      <c r="B1210" s="77"/>
      <c r="C1210" s="78"/>
      <c r="D1210" s="81"/>
      <c r="E1210" s="81"/>
      <c r="F1210" s="79">
        <f t="shared" si="18"/>
        <v>0</v>
      </c>
      <c r="G1210" s="78"/>
    </row>
    <row r="1211" spans="1:7" x14ac:dyDescent="0.2">
      <c r="A1211" s="76"/>
      <c r="B1211" s="77"/>
      <c r="C1211" s="78"/>
      <c r="D1211" s="81"/>
      <c r="E1211" s="81"/>
      <c r="F1211" s="79">
        <f t="shared" si="18"/>
        <v>0</v>
      </c>
      <c r="G1211" s="78"/>
    </row>
    <row r="1212" spans="1:7" x14ac:dyDescent="0.2">
      <c r="A1212" s="76"/>
      <c r="B1212" s="77"/>
      <c r="C1212" s="78"/>
      <c r="D1212" s="81"/>
      <c r="E1212" s="81"/>
      <c r="F1212" s="79">
        <f t="shared" si="18"/>
        <v>0</v>
      </c>
      <c r="G1212" s="78"/>
    </row>
    <row r="1213" spans="1:7" x14ac:dyDescent="0.2">
      <c r="A1213" s="76"/>
      <c r="B1213" s="77"/>
      <c r="C1213" s="78"/>
      <c r="D1213" s="81"/>
      <c r="E1213" s="81"/>
      <c r="F1213" s="79">
        <f t="shared" si="18"/>
        <v>0</v>
      </c>
      <c r="G1213" s="78"/>
    </row>
    <row r="1214" spans="1:7" x14ac:dyDescent="0.2">
      <c r="A1214" s="76"/>
      <c r="B1214" s="77"/>
      <c r="C1214" s="78"/>
      <c r="D1214" s="81"/>
      <c r="E1214" s="81"/>
      <c r="F1214" s="79">
        <f t="shared" si="18"/>
        <v>0</v>
      </c>
      <c r="G1214" s="78"/>
    </row>
    <row r="1215" spans="1:7" x14ac:dyDescent="0.2">
      <c r="A1215" s="76"/>
      <c r="B1215" s="77"/>
      <c r="C1215" s="78"/>
      <c r="D1215" s="81"/>
      <c r="E1215" s="81"/>
      <c r="F1215" s="79">
        <f t="shared" si="18"/>
        <v>0</v>
      </c>
      <c r="G1215" s="78"/>
    </row>
    <row r="1216" spans="1:7" x14ac:dyDescent="0.2">
      <c r="A1216" s="76"/>
      <c r="B1216" s="77"/>
      <c r="C1216" s="78"/>
      <c r="D1216" s="81"/>
      <c r="E1216" s="81"/>
      <c r="F1216" s="79">
        <f t="shared" si="18"/>
        <v>0</v>
      </c>
      <c r="G1216" s="78"/>
    </row>
    <row r="1217" spans="1:7" x14ac:dyDescent="0.2">
      <c r="A1217" s="76"/>
      <c r="B1217" s="77"/>
      <c r="C1217" s="78"/>
      <c r="D1217" s="81"/>
      <c r="E1217" s="81"/>
      <c r="F1217" s="79">
        <f t="shared" si="18"/>
        <v>0</v>
      </c>
      <c r="G1217" s="78"/>
    </row>
    <row r="1218" spans="1:7" x14ac:dyDescent="0.2">
      <c r="A1218" s="76"/>
      <c r="B1218" s="77"/>
      <c r="C1218" s="78"/>
      <c r="D1218" s="81"/>
      <c r="E1218" s="81"/>
      <c r="F1218" s="79">
        <f t="shared" si="18"/>
        <v>0</v>
      </c>
      <c r="G1218" s="78"/>
    </row>
    <row r="1219" spans="1:7" x14ac:dyDescent="0.2">
      <c r="A1219" s="76"/>
      <c r="B1219" s="77"/>
      <c r="C1219" s="78"/>
      <c r="D1219" s="81"/>
      <c r="E1219" s="81"/>
      <c r="F1219" s="79">
        <f t="shared" si="18"/>
        <v>0</v>
      </c>
      <c r="G1219" s="78"/>
    </row>
    <row r="1220" spans="1:7" x14ac:dyDescent="0.2">
      <c r="A1220" s="76"/>
      <c r="B1220" s="77"/>
      <c r="C1220" s="78"/>
      <c r="D1220" s="81"/>
      <c r="E1220" s="81"/>
      <c r="F1220" s="79">
        <f t="shared" si="18"/>
        <v>0</v>
      </c>
      <c r="G1220" s="78"/>
    </row>
    <row r="1221" spans="1:7" x14ac:dyDescent="0.2">
      <c r="A1221" s="76"/>
      <c r="B1221" s="77"/>
      <c r="C1221" s="78"/>
      <c r="D1221" s="81"/>
      <c r="E1221" s="81"/>
      <c r="F1221" s="79">
        <f t="shared" si="18"/>
        <v>0</v>
      </c>
      <c r="G1221" s="78"/>
    </row>
    <row r="1222" spans="1:7" x14ac:dyDescent="0.2">
      <c r="A1222" s="76"/>
      <c r="B1222" s="77"/>
      <c r="C1222" s="78"/>
      <c r="D1222" s="81"/>
      <c r="E1222" s="81"/>
      <c r="F1222" s="79">
        <f t="shared" si="18"/>
        <v>0</v>
      </c>
      <c r="G1222" s="78"/>
    </row>
    <row r="1223" spans="1:7" x14ac:dyDescent="0.2">
      <c r="A1223" s="76"/>
      <c r="B1223" s="77"/>
      <c r="C1223" s="78"/>
      <c r="D1223" s="81"/>
      <c r="E1223" s="81"/>
      <c r="F1223" s="79">
        <f t="shared" si="18"/>
        <v>0</v>
      </c>
      <c r="G1223" s="80"/>
    </row>
    <row r="1224" spans="1:7" x14ac:dyDescent="0.2">
      <c r="A1224" s="76"/>
      <c r="B1224" s="77"/>
      <c r="C1224" s="78"/>
      <c r="D1224" s="81"/>
      <c r="E1224" s="81"/>
      <c r="F1224" s="79">
        <f t="shared" si="18"/>
        <v>0</v>
      </c>
      <c r="G1224" s="78"/>
    </row>
    <row r="1225" spans="1:7" x14ac:dyDescent="0.2">
      <c r="A1225" s="76"/>
      <c r="B1225" s="77"/>
      <c r="C1225" s="78"/>
      <c r="D1225" s="81"/>
      <c r="E1225" s="81"/>
      <c r="F1225" s="79">
        <f t="shared" si="18"/>
        <v>0</v>
      </c>
      <c r="G1225" s="78"/>
    </row>
    <row r="1226" spans="1:7" x14ac:dyDescent="0.2">
      <c r="A1226" s="76"/>
      <c r="B1226" s="77"/>
      <c r="C1226" s="78"/>
      <c r="D1226" s="81"/>
      <c r="E1226" s="81"/>
      <c r="F1226" s="79">
        <f t="shared" si="18"/>
        <v>0</v>
      </c>
      <c r="G1226" s="78"/>
    </row>
    <row r="1227" spans="1:7" x14ac:dyDescent="0.2">
      <c r="A1227" s="76"/>
      <c r="B1227" s="77"/>
      <c r="C1227" s="78"/>
      <c r="D1227" s="81"/>
      <c r="E1227" s="81"/>
      <c r="F1227" s="79">
        <f t="shared" si="18"/>
        <v>0</v>
      </c>
      <c r="G1227" s="78"/>
    </row>
    <row r="1228" spans="1:7" x14ac:dyDescent="0.2">
      <c r="A1228" s="76"/>
      <c r="B1228" s="77"/>
      <c r="C1228" s="78"/>
      <c r="D1228" s="81"/>
      <c r="E1228" s="81"/>
      <c r="F1228" s="79">
        <f t="shared" si="18"/>
        <v>0</v>
      </c>
      <c r="G1228" s="78"/>
    </row>
    <row r="1229" spans="1:7" x14ac:dyDescent="0.2">
      <c r="A1229" s="76"/>
      <c r="B1229" s="77"/>
      <c r="C1229" s="78"/>
      <c r="D1229" s="81"/>
      <c r="E1229" s="81"/>
      <c r="F1229" s="79">
        <f t="shared" si="18"/>
        <v>0</v>
      </c>
      <c r="G1229" s="78"/>
    </row>
    <row r="1230" spans="1:7" x14ac:dyDescent="0.2">
      <c r="A1230" s="76"/>
      <c r="B1230" s="77"/>
      <c r="C1230" s="78"/>
      <c r="D1230" s="81"/>
      <c r="E1230" s="81"/>
      <c r="F1230" s="79">
        <f t="shared" ref="F1230:F1293" si="19">E1230-D1230</f>
        <v>0</v>
      </c>
      <c r="G1230" s="78"/>
    </row>
    <row r="1231" spans="1:7" x14ac:dyDescent="0.2">
      <c r="A1231" s="76"/>
      <c r="B1231" s="77"/>
      <c r="C1231" s="78"/>
      <c r="D1231" s="81"/>
      <c r="E1231" s="81"/>
      <c r="F1231" s="79">
        <f t="shared" si="19"/>
        <v>0</v>
      </c>
      <c r="G1231" s="78"/>
    </row>
    <row r="1232" spans="1:7" x14ac:dyDescent="0.2">
      <c r="A1232" s="76"/>
      <c r="B1232" s="77"/>
      <c r="C1232" s="78"/>
      <c r="D1232" s="81"/>
      <c r="E1232" s="81"/>
      <c r="F1232" s="79">
        <f t="shared" si="19"/>
        <v>0</v>
      </c>
      <c r="G1232" s="78"/>
    </row>
    <row r="1233" spans="1:7" x14ac:dyDescent="0.2">
      <c r="A1233" s="76"/>
      <c r="B1233" s="77"/>
      <c r="C1233" s="78"/>
      <c r="D1233" s="81"/>
      <c r="E1233" s="81"/>
      <c r="F1233" s="79">
        <f t="shared" si="19"/>
        <v>0</v>
      </c>
      <c r="G1233" s="78"/>
    </row>
    <row r="1234" spans="1:7" x14ac:dyDescent="0.2">
      <c r="A1234" s="76"/>
      <c r="B1234" s="77"/>
      <c r="C1234" s="78"/>
      <c r="D1234" s="81"/>
      <c r="E1234" s="81"/>
      <c r="F1234" s="79">
        <f t="shared" si="19"/>
        <v>0</v>
      </c>
      <c r="G1234" s="78"/>
    </row>
    <row r="1235" spans="1:7" x14ac:dyDescent="0.2">
      <c r="A1235" s="76"/>
      <c r="B1235" s="77"/>
      <c r="C1235" s="78"/>
      <c r="D1235" s="81"/>
      <c r="E1235" s="81"/>
      <c r="F1235" s="79">
        <f t="shared" si="19"/>
        <v>0</v>
      </c>
      <c r="G1235" s="78"/>
    </row>
    <row r="1236" spans="1:7" x14ac:dyDescent="0.2">
      <c r="A1236" s="76"/>
      <c r="B1236" s="77"/>
      <c r="C1236" s="78"/>
      <c r="D1236" s="81"/>
      <c r="E1236" s="81"/>
      <c r="F1236" s="79">
        <f t="shared" si="19"/>
        <v>0</v>
      </c>
      <c r="G1236" s="78"/>
    </row>
    <row r="1237" spans="1:7" x14ac:dyDescent="0.2">
      <c r="A1237" s="76"/>
      <c r="B1237" s="77"/>
      <c r="C1237" s="78"/>
      <c r="D1237" s="81"/>
      <c r="E1237" s="81"/>
      <c r="F1237" s="79">
        <f t="shared" si="19"/>
        <v>0</v>
      </c>
      <c r="G1237" s="78"/>
    </row>
    <row r="1238" spans="1:7" x14ac:dyDescent="0.2">
      <c r="A1238" s="76"/>
      <c r="B1238" s="77"/>
      <c r="C1238" s="78"/>
      <c r="D1238" s="81"/>
      <c r="E1238" s="81"/>
      <c r="F1238" s="79">
        <f t="shared" si="19"/>
        <v>0</v>
      </c>
      <c r="G1238" s="78"/>
    </row>
    <row r="1239" spans="1:7" x14ac:dyDescent="0.2">
      <c r="A1239" s="76"/>
      <c r="B1239" s="10"/>
      <c r="C1239" s="78"/>
      <c r="D1239" s="81"/>
      <c r="E1239" s="81"/>
      <c r="F1239" s="79">
        <f t="shared" si="19"/>
        <v>0</v>
      </c>
      <c r="G1239" s="78"/>
    </row>
    <row r="1240" spans="1:7" x14ac:dyDescent="0.2">
      <c r="A1240" s="76"/>
      <c r="B1240" s="77"/>
      <c r="C1240" s="78"/>
      <c r="D1240" s="81"/>
      <c r="E1240" s="81"/>
      <c r="F1240" s="79">
        <f t="shared" si="19"/>
        <v>0</v>
      </c>
      <c r="G1240" s="78"/>
    </row>
    <row r="1241" spans="1:7" x14ac:dyDescent="0.2">
      <c r="A1241" s="76"/>
      <c r="B1241" s="77"/>
      <c r="C1241" s="78"/>
      <c r="D1241" s="81"/>
      <c r="E1241" s="81"/>
      <c r="F1241" s="79">
        <f t="shared" si="19"/>
        <v>0</v>
      </c>
      <c r="G1241" s="78"/>
    </row>
    <row r="1242" spans="1:7" x14ac:dyDescent="0.2">
      <c r="A1242" s="76"/>
      <c r="B1242" s="77"/>
      <c r="C1242" s="78"/>
      <c r="D1242" s="81"/>
      <c r="E1242" s="81"/>
      <c r="F1242" s="79">
        <f t="shared" si="19"/>
        <v>0</v>
      </c>
      <c r="G1242" s="78"/>
    </row>
    <row r="1243" spans="1:7" x14ac:dyDescent="0.2">
      <c r="A1243" s="76"/>
      <c r="B1243" s="77"/>
      <c r="C1243" s="78"/>
      <c r="D1243" s="81"/>
      <c r="E1243" s="81"/>
      <c r="F1243" s="79">
        <f t="shared" si="19"/>
        <v>0</v>
      </c>
      <c r="G1243" s="78"/>
    </row>
    <row r="1244" spans="1:7" x14ac:dyDescent="0.2">
      <c r="A1244" s="76"/>
      <c r="B1244" s="77"/>
      <c r="C1244" s="78"/>
      <c r="D1244" s="81"/>
      <c r="E1244" s="81"/>
      <c r="F1244" s="79">
        <f t="shared" si="19"/>
        <v>0</v>
      </c>
      <c r="G1244" s="78"/>
    </row>
    <row r="1245" spans="1:7" x14ac:dyDescent="0.2">
      <c r="A1245" s="76"/>
      <c r="B1245" s="77"/>
      <c r="C1245" s="78"/>
      <c r="D1245" s="81"/>
      <c r="E1245" s="81"/>
      <c r="F1245" s="79">
        <f t="shared" si="19"/>
        <v>0</v>
      </c>
      <c r="G1245" s="78"/>
    </row>
    <row r="1246" spans="1:7" x14ac:dyDescent="0.2">
      <c r="A1246" s="76"/>
      <c r="B1246" s="77"/>
      <c r="C1246" s="78"/>
      <c r="D1246" s="81"/>
      <c r="E1246" s="81"/>
      <c r="F1246" s="79">
        <f t="shared" si="19"/>
        <v>0</v>
      </c>
      <c r="G1246" s="78"/>
    </row>
    <row r="1247" spans="1:7" x14ac:dyDescent="0.2">
      <c r="A1247" s="76"/>
      <c r="B1247" s="77"/>
      <c r="C1247" s="78"/>
      <c r="D1247" s="81"/>
      <c r="E1247" s="81"/>
      <c r="F1247" s="79">
        <f t="shared" si="19"/>
        <v>0</v>
      </c>
      <c r="G1247" s="78"/>
    </row>
    <row r="1248" spans="1:7" x14ac:dyDescent="0.2">
      <c r="A1248" s="76"/>
      <c r="B1248" s="10"/>
      <c r="C1248" s="78"/>
      <c r="D1248" s="81"/>
      <c r="E1248" s="81"/>
      <c r="F1248" s="79">
        <f t="shared" si="19"/>
        <v>0</v>
      </c>
      <c r="G1248" s="78"/>
    </row>
    <row r="1249" spans="1:7" x14ac:dyDescent="0.2">
      <c r="A1249" s="76"/>
      <c r="B1249" s="77"/>
      <c r="C1249" s="78"/>
      <c r="D1249" s="81"/>
      <c r="E1249" s="81"/>
      <c r="F1249" s="79">
        <f t="shared" si="19"/>
        <v>0</v>
      </c>
      <c r="G1249" s="78"/>
    </row>
    <row r="1250" spans="1:7" x14ac:dyDescent="0.2">
      <c r="A1250" s="76"/>
      <c r="B1250" s="77"/>
      <c r="C1250" s="78"/>
      <c r="D1250" s="81"/>
      <c r="E1250" s="81"/>
      <c r="F1250" s="79">
        <f t="shared" si="19"/>
        <v>0</v>
      </c>
      <c r="G1250" s="78"/>
    </row>
    <row r="1251" spans="1:7" x14ac:dyDescent="0.2">
      <c r="A1251" s="76"/>
      <c r="B1251" s="77"/>
      <c r="C1251" s="78"/>
      <c r="D1251" s="81"/>
      <c r="E1251" s="81"/>
      <c r="F1251" s="79">
        <f t="shared" si="19"/>
        <v>0</v>
      </c>
      <c r="G1251" s="78"/>
    </row>
    <row r="1252" spans="1:7" x14ac:dyDescent="0.2">
      <c r="A1252" s="76"/>
      <c r="B1252" s="77"/>
      <c r="C1252" s="78"/>
      <c r="D1252" s="81"/>
      <c r="E1252" s="81"/>
      <c r="F1252" s="79">
        <f t="shared" si="19"/>
        <v>0</v>
      </c>
      <c r="G1252" s="78"/>
    </row>
    <row r="1253" spans="1:7" x14ac:dyDescent="0.2">
      <c r="A1253" s="76"/>
      <c r="B1253" s="77"/>
      <c r="C1253" s="78"/>
      <c r="D1253" s="81"/>
      <c r="E1253" s="81"/>
      <c r="F1253" s="79">
        <f t="shared" si="19"/>
        <v>0</v>
      </c>
      <c r="G1253" s="78"/>
    </row>
    <row r="1254" spans="1:7" x14ac:dyDescent="0.2">
      <c r="A1254" s="76"/>
      <c r="B1254" s="77"/>
      <c r="C1254" s="78"/>
      <c r="D1254" s="81"/>
      <c r="E1254" s="81"/>
      <c r="F1254" s="79">
        <f t="shared" si="19"/>
        <v>0</v>
      </c>
      <c r="G1254" s="78"/>
    </row>
    <row r="1255" spans="1:7" x14ac:dyDescent="0.2">
      <c r="A1255" s="76"/>
      <c r="B1255" s="77"/>
      <c r="C1255" s="78"/>
      <c r="D1255" s="81"/>
      <c r="E1255" s="81"/>
      <c r="F1255" s="79">
        <f t="shared" si="19"/>
        <v>0</v>
      </c>
      <c r="G1255" s="78"/>
    </row>
    <row r="1256" spans="1:7" x14ac:dyDescent="0.2">
      <c r="A1256" s="76"/>
      <c r="B1256" s="77"/>
      <c r="C1256" s="78"/>
      <c r="D1256" s="81"/>
      <c r="E1256" s="81"/>
      <c r="F1256" s="79">
        <f t="shared" si="19"/>
        <v>0</v>
      </c>
      <c r="G1256" s="78"/>
    </row>
    <row r="1257" spans="1:7" x14ac:dyDescent="0.2">
      <c r="A1257" s="76"/>
      <c r="B1257" s="77"/>
      <c r="C1257" s="78"/>
      <c r="D1257" s="81"/>
      <c r="E1257" s="81"/>
      <c r="F1257" s="79">
        <f t="shared" si="19"/>
        <v>0</v>
      </c>
      <c r="G1257" s="78"/>
    </row>
    <row r="1258" spans="1:7" x14ac:dyDescent="0.2">
      <c r="A1258" s="76"/>
      <c r="B1258" s="77"/>
      <c r="C1258" s="78"/>
      <c r="D1258" s="81"/>
      <c r="E1258" s="81"/>
      <c r="F1258" s="79">
        <f t="shared" si="19"/>
        <v>0</v>
      </c>
      <c r="G1258" s="78"/>
    </row>
    <row r="1259" spans="1:7" x14ac:dyDescent="0.2">
      <c r="A1259" s="76"/>
      <c r="B1259" s="77"/>
      <c r="C1259" s="78"/>
      <c r="D1259" s="81"/>
      <c r="E1259" s="81"/>
      <c r="F1259" s="79">
        <f t="shared" si="19"/>
        <v>0</v>
      </c>
      <c r="G1259" s="78"/>
    </row>
    <row r="1260" spans="1:7" x14ac:dyDescent="0.2">
      <c r="A1260" s="76"/>
      <c r="B1260" s="77"/>
      <c r="C1260" s="78"/>
      <c r="D1260" s="81"/>
      <c r="E1260" s="81"/>
      <c r="F1260" s="79">
        <f t="shared" si="19"/>
        <v>0</v>
      </c>
      <c r="G1260" s="78"/>
    </row>
    <row r="1261" spans="1:7" x14ac:dyDescent="0.2">
      <c r="A1261" s="76"/>
      <c r="B1261" s="85"/>
      <c r="C1261" s="78"/>
      <c r="D1261" s="81"/>
      <c r="E1261" s="81"/>
      <c r="F1261" s="79">
        <f t="shared" si="19"/>
        <v>0</v>
      </c>
      <c r="G1261" s="78"/>
    </row>
    <row r="1262" spans="1:7" x14ac:dyDescent="0.2">
      <c r="A1262" s="76"/>
      <c r="B1262" s="77"/>
      <c r="C1262" s="78"/>
      <c r="D1262" s="81"/>
      <c r="E1262" s="81"/>
      <c r="F1262" s="79">
        <f t="shared" si="19"/>
        <v>0</v>
      </c>
      <c r="G1262" s="78"/>
    </row>
    <row r="1263" spans="1:7" x14ac:dyDescent="0.2">
      <c r="A1263" s="76"/>
      <c r="B1263" s="77"/>
      <c r="C1263" s="78"/>
      <c r="D1263" s="81"/>
      <c r="E1263" s="81"/>
      <c r="F1263" s="79">
        <f t="shared" si="19"/>
        <v>0</v>
      </c>
      <c r="G1263" s="78"/>
    </row>
    <row r="1264" spans="1:7" x14ac:dyDescent="0.2">
      <c r="A1264" s="76"/>
      <c r="B1264" s="77"/>
      <c r="C1264" s="78"/>
      <c r="D1264" s="81"/>
      <c r="E1264" s="81"/>
      <c r="F1264" s="79">
        <f t="shared" si="19"/>
        <v>0</v>
      </c>
      <c r="G1264" s="78"/>
    </row>
    <row r="1265" spans="1:7" x14ac:dyDescent="0.2">
      <c r="A1265" s="76"/>
      <c r="B1265" s="77"/>
      <c r="C1265" s="78"/>
      <c r="D1265" s="81"/>
      <c r="E1265" s="81"/>
      <c r="F1265" s="79">
        <f t="shared" si="19"/>
        <v>0</v>
      </c>
      <c r="G1265" s="78"/>
    </row>
    <row r="1266" spans="1:7" x14ac:dyDescent="0.2">
      <c r="A1266" s="76"/>
      <c r="B1266" s="77"/>
      <c r="C1266" s="78"/>
      <c r="D1266" s="81"/>
      <c r="E1266" s="81"/>
      <c r="F1266" s="79">
        <f t="shared" si="19"/>
        <v>0</v>
      </c>
      <c r="G1266" s="78"/>
    </row>
    <row r="1267" spans="1:7" x14ac:dyDescent="0.2">
      <c r="A1267" s="76"/>
      <c r="B1267" s="77"/>
      <c r="C1267" s="78"/>
      <c r="D1267" s="81"/>
      <c r="E1267" s="81"/>
      <c r="F1267" s="79">
        <f t="shared" si="19"/>
        <v>0</v>
      </c>
      <c r="G1267" s="78"/>
    </row>
    <row r="1268" spans="1:7" x14ac:dyDescent="0.2">
      <c r="A1268" s="76"/>
      <c r="B1268" s="77"/>
      <c r="C1268" s="78"/>
      <c r="D1268" s="81"/>
      <c r="E1268" s="81"/>
      <c r="F1268" s="79">
        <f t="shared" si="19"/>
        <v>0</v>
      </c>
      <c r="G1268" s="78"/>
    </row>
    <row r="1269" spans="1:7" x14ac:dyDescent="0.2">
      <c r="A1269" s="76"/>
      <c r="B1269" s="77"/>
      <c r="C1269" s="78"/>
      <c r="D1269" s="81"/>
      <c r="E1269" s="81"/>
      <c r="F1269" s="79">
        <f t="shared" si="19"/>
        <v>0</v>
      </c>
      <c r="G1269" s="78"/>
    </row>
    <row r="1270" spans="1:7" x14ac:dyDescent="0.2">
      <c r="A1270" s="76"/>
      <c r="B1270" s="77"/>
      <c r="C1270" s="78"/>
      <c r="D1270" s="81"/>
      <c r="E1270" s="81"/>
      <c r="F1270" s="79">
        <f t="shared" si="19"/>
        <v>0</v>
      </c>
      <c r="G1270" s="78"/>
    </row>
    <row r="1271" spans="1:7" x14ac:dyDescent="0.2">
      <c r="A1271" s="76"/>
      <c r="B1271" s="77"/>
      <c r="C1271" s="78"/>
      <c r="D1271" s="81"/>
      <c r="E1271" s="81"/>
      <c r="F1271" s="79">
        <f t="shared" si="19"/>
        <v>0</v>
      </c>
      <c r="G1271" s="78"/>
    </row>
    <row r="1272" spans="1:7" x14ac:dyDescent="0.2">
      <c r="A1272" s="76"/>
      <c r="B1272" s="77"/>
      <c r="C1272" s="78"/>
      <c r="D1272" s="81"/>
      <c r="E1272" s="81"/>
      <c r="F1272" s="79">
        <f t="shared" si="19"/>
        <v>0</v>
      </c>
      <c r="G1272" s="78"/>
    </row>
    <row r="1273" spans="1:7" x14ac:dyDescent="0.2">
      <c r="A1273" s="76"/>
      <c r="B1273" s="77"/>
      <c r="C1273" s="78"/>
      <c r="D1273" s="81"/>
      <c r="E1273" s="81"/>
      <c r="F1273" s="79">
        <f t="shared" si="19"/>
        <v>0</v>
      </c>
      <c r="G1273" s="78"/>
    </row>
    <row r="1274" spans="1:7" x14ac:dyDescent="0.2">
      <c r="A1274" s="76"/>
      <c r="B1274" s="77"/>
      <c r="C1274" s="78"/>
      <c r="D1274" s="81"/>
      <c r="E1274" s="81"/>
      <c r="F1274" s="79">
        <f t="shared" si="19"/>
        <v>0</v>
      </c>
      <c r="G1274" s="78"/>
    </row>
    <row r="1275" spans="1:7" x14ac:dyDescent="0.2">
      <c r="A1275" s="76"/>
      <c r="B1275" s="77"/>
      <c r="C1275" s="78"/>
      <c r="D1275" s="81"/>
      <c r="E1275" s="81"/>
      <c r="F1275" s="79">
        <f t="shared" si="19"/>
        <v>0</v>
      </c>
      <c r="G1275" s="78"/>
    </row>
    <row r="1276" spans="1:7" x14ac:dyDescent="0.2">
      <c r="A1276" s="76"/>
      <c r="B1276" s="77"/>
      <c r="C1276" s="78"/>
      <c r="D1276" s="81"/>
      <c r="E1276" s="81"/>
      <c r="F1276" s="79">
        <f t="shared" si="19"/>
        <v>0</v>
      </c>
      <c r="G1276" s="78"/>
    </row>
    <row r="1277" spans="1:7" x14ac:dyDescent="0.2">
      <c r="A1277" s="76"/>
      <c r="B1277" s="77"/>
      <c r="C1277" s="78"/>
      <c r="D1277" s="81"/>
      <c r="E1277" s="81"/>
      <c r="F1277" s="79">
        <f t="shared" si="19"/>
        <v>0</v>
      </c>
      <c r="G1277" s="78"/>
    </row>
    <row r="1278" spans="1:7" x14ac:dyDescent="0.2">
      <c r="A1278" s="76"/>
      <c r="B1278" s="77"/>
      <c r="C1278" s="78"/>
      <c r="D1278" s="81"/>
      <c r="E1278" s="81"/>
      <c r="F1278" s="79">
        <f t="shared" si="19"/>
        <v>0</v>
      </c>
      <c r="G1278" s="78"/>
    </row>
    <row r="1279" spans="1:7" x14ac:dyDescent="0.2">
      <c r="A1279" s="76"/>
      <c r="B1279" s="77"/>
      <c r="C1279" s="78"/>
      <c r="D1279" s="81"/>
      <c r="E1279" s="81"/>
      <c r="F1279" s="79">
        <f t="shared" si="19"/>
        <v>0</v>
      </c>
      <c r="G1279" s="78"/>
    </row>
    <row r="1280" spans="1:7" x14ac:dyDescent="0.2">
      <c r="A1280" s="76"/>
      <c r="B1280" s="77"/>
      <c r="C1280" s="78"/>
      <c r="D1280" s="81"/>
      <c r="E1280" s="81"/>
      <c r="F1280" s="79">
        <f t="shared" si="19"/>
        <v>0</v>
      </c>
      <c r="G1280" s="78"/>
    </row>
    <row r="1281" spans="1:7" x14ac:dyDescent="0.2">
      <c r="A1281" s="76"/>
      <c r="B1281" s="77"/>
      <c r="C1281" s="78"/>
      <c r="D1281" s="81"/>
      <c r="E1281" s="81"/>
      <c r="F1281" s="79">
        <f t="shared" si="19"/>
        <v>0</v>
      </c>
      <c r="G1281" s="78"/>
    </row>
    <row r="1282" spans="1:7" x14ac:dyDescent="0.2">
      <c r="A1282" s="76"/>
      <c r="B1282" s="77"/>
      <c r="C1282" s="78"/>
      <c r="D1282" s="81"/>
      <c r="E1282" s="81"/>
      <c r="F1282" s="79">
        <f t="shared" si="19"/>
        <v>0</v>
      </c>
      <c r="G1282" s="78"/>
    </row>
    <row r="1283" spans="1:7" x14ac:dyDescent="0.2">
      <c r="A1283" s="76"/>
      <c r="B1283" s="77"/>
      <c r="C1283" s="78"/>
      <c r="D1283" s="81"/>
      <c r="E1283" s="81"/>
      <c r="F1283" s="79">
        <f t="shared" si="19"/>
        <v>0</v>
      </c>
      <c r="G1283" s="78"/>
    </row>
    <row r="1284" spans="1:7" x14ac:dyDescent="0.2">
      <c r="A1284" s="76"/>
      <c r="B1284" s="77"/>
      <c r="C1284" s="78"/>
      <c r="D1284" s="81"/>
      <c r="E1284" s="81"/>
      <c r="F1284" s="79">
        <f t="shared" si="19"/>
        <v>0</v>
      </c>
      <c r="G1284" s="78"/>
    </row>
    <row r="1285" spans="1:7" x14ac:dyDescent="0.2">
      <c r="A1285" s="76"/>
      <c r="B1285" s="77"/>
      <c r="C1285" s="78"/>
      <c r="D1285" s="81"/>
      <c r="E1285" s="81"/>
      <c r="F1285" s="79">
        <f t="shared" si="19"/>
        <v>0</v>
      </c>
      <c r="G1285" s="78"/>
    </row>
    <row r="1286" spans="1:7" x14ac:dyDescent="0.2">
      <c r="A1286" s="76"/>
      <c r="B1286" s="77"/>
      <c r="C1286" s="78"/>
      <c r="D1286" s="81"/>
      <c r="E1286" s="81"/>
      <c r="F1286" s="79">
        <f t="shared" si="19"/>
        <v>0</v>
      </c>
      <c r="G1286" s="78"/>
    </row>
    <row r="1287" spans="1:7" x14ac:dyDescent="0.2">
      <c r="A1287" s="76"/>
      <c r="B1287" s="77"/>
      <c r="C1287" s="78"/>
      <c r="D1287" s="81"/>
      <c r="E1287" s="81"/>
      <c r="F1287" s="79">
        <f t="shared" si="19"/>
        <v>0</v>
      </c>
      <c r="G1287" s="78"/>
    </row>
    <row r="1288" spans="1:7" x14ac:dyDescent="0.2">
      <c r="A1288" s="76"/>
      <c r="B1288" s="77"/>
      <c r="C1288" s="78"/>
      <c r="D1288" s="81"/>
      <c r="E1288" s="81"/>
      <c r="F1288" s="79">
        <f t="shared" si="19"/>
        <v>0</v>
      </c>
      <c r="G1288" s="78"/>
    </row>
    <row r="1289" spans="1:7" x14ac:dyDescent="0.2">
      <c r="A1289" s="76"/>
      <c r="B1289" s="77"/>
      <c r="C1289" s="78"/>
      <c r="D1289" s="81"/>
      <c r="E1289" s="81"/>
      <c r="F1289" s="79">
        <f t="shared" si="19"/>
        <v>0</v>
      </c>
      <c r="G1289" s="78"/>
    </row>
    <row r="1290" spans="1:7" x14ac:dyDescent="0.2">
      <c r="A1290" s="76"/>
      <c r="B1290" s="77"/>
      <c r="C1290" s="78"/>
      <c r="D1290" s="81"/>
      <c r="E1290" s="81"/>
      <c r="F1290" s="79">
        <f t="shared" si="19"/>
        <v>0</v>
      </c>
      <c r="G1290" s="80"/>
    </row>
    <row r="1291" spans="1:7" x14ac:dyDescent="0.2">
      <c r="A1291" s="76"/>
      <c r="B1291" s="77"/>
      <c r="C1291" s="78"/>
      <c r="D1291" s="81"/>
      <c r="E1291" s="81"/>
      <c r="F1291" s="79">
        <f t="shared" si="19"/>
        <v>0</v>
      </c>
      <c r="G1291" s="78"/>
    </row>
    <row r="1292" spans="1:7" x14ac:dyDescent="0.2">
      <c r="A1292" s="76"/>
      <c r="B1292" s="77"/>
      <c r="C1292" s="78"/>
      <c r="D1292" s="81"/>
      <c r="E1292" s="81"/>
      <c r="F1292" s="79">
        <f t="shared" si="19"/>
        <v>0</v>
      </c>
      <c r="G1292" s="80"/>
    </row>
    <row r="1293" spans="1:7" x14ac:dyDescent="0.2">
      <c r="A1293" s="76"/>
      <c r="B1293" s="77"/>
      <c r="C1293" s="78"/>
      <c r="D1293" s="81"/>
      <c r="E1293" s="81"/>
      <c r="F1293" s="79">
        <f t="shared" si="19"/>
        <v>0</v>
      </c>
      <c r="G1293" s="80"/>
    </row>
    <row r="1294" spans="1:7" x14ac:dyDescent="0.2">
      <c r="A1294" s="76"/>
      <c r="B1294" s="77"/>
      <c r="C1294" s="78"/>
      <c r="D1294" s="81"/>
      <c r="E1294" s="81"/>
      <c r="F1294" s="79">
        <f t="shared" ref="F1294:F1357" si="20">E1294-D1294</f>
        <v>0</v>
      </c>
      <c r="G1294" s="78"/>
    </row>
    <row r="1295" spans="1:7" x14ac:dyDescent="0.2">
      <c r="A1295" s="76"/>
      <c r="B1295" s="77"/>
      <c r="C1295" s="78"/>
      <c r="D1295" s="81"/>
      <c r="E1295" s="81"/>
      <c r="F1295" s="79">
        <f t="shared" si="20"/>
        <v>0</v>
      </c>
      <c r="G1295" s="78"/>
    </row>
    <row r="1296" spans="1:7" x14ac:dyDescent="0.2">
      <c r="A1296" s="76"/>
      <c r="B1296" s="77"/>
      <c r="C1296" s="78"/>
      <c r="D1296" s="81"/>
      <c r="E1296" s="81"/>
      <c r="F1296" s="79">
        <f t="shared" si="20"/>
        <v>0</v>
      </c>
      <c r="G1296" s="78"/>
    </row>
    <row r="1297" spans="1:7" x14ac:dyDescent="0.2">
      <c r="A1297" s="76"/>
      <c r="B1297" s="77"/>
      <c r="C1297" s="78"/>
      <c r="D1297" s="81"/>
      <c r="E1297" s="81"/>
      <c r="F1297" s="79">
        <f t="shared" si="20"/>
        <v>0</v>
      </c>
      <c r="G1297" s="78"/>
    </row>
    <row r="1298" spans="1:7" x14ac:dyDescent="0.2">
      <c r="A1298" s="76"/>
      <c r="B1298" s="77"/>
      <c r="C1298" s="78"/>
      <c r="D1298" s="81"/>
      <c r="E1298" s="81"/>
      <c r="F1298" s="79">
        <f t="shared" si="20"/>
        <v>0</v>
      </c>
      <c r="G1298" s="78"/>
    </row>
    <row r="1299" spans="1:7" x14ac:dyDescent="0.2">
      <c r="A1299" s="76"/>
      <c r="B1299" s="77"/>
      <c r="C1299" s="78"/>
      <c r="D1299" s="81"/>
      <c r="E1299" s="81"/>
      <c r="F1299" s="79">
        <f t="shared" si="20"/>
        <v>0</v>
      </c>
      <c r="G1299" s="78"/>
    </row>
    <row r="1300" spans="1:7" x14ac:dyDescent="0.2">
      <c r="A1300" s="76"/>
      <c r="B1300" s="77"/>
      <c r="C1300" s="78"/>
      <c r="D1300" s="81"/>
      <c r="E1300" s="81"/>
      <c r="F1300" s="79">
        <f t="shared" si="20"/>
        <v>0</v>
      </c>
      <c r="G1300" s="78"/>
    </row>
    <row r="1301" spans="1:7" x14ac:dyDescent="0.2">
      <c r="A1301" s="76"/>
      <c r="B1301" s="77"/>
      <c r="C1301" s="78"/>
      <c r="D1301" s="81"/>
      <c r="E1301" s="81"/>
      <c r="F1301" s="79">
        <f t="shared" si="20"/>
        <v>0</v>
      </c>
      <c r="G1301" s="78"/>
    </row>
    <row r="1302" spans="1:7" x14ac:dyDescent="0.2">
      <c r="A1302" s="76"/>
      <c r="B1302" s="77"/>
      <c r="C1302" s="78"/>
      <c r="D1302" s="81"/>
      <c r="E1302" s="81"/>
      <c r="F1302" s="79">
        <f t="shared" si="20"/>
        <v>0</v>
      </c>
      <c r="G1302" s="78"/>
    </row>
    <row r="1303" spans="1:7" x14ac:dyDescent="0.2">
      <c r="A1303" s="76"/>
      <c r="B1303" s="77"/>
      <c r="C1303" s="78"/>
      <c r="D1303" s="81"/>
      <c r="E1303" s="81"/>
      <c r="F1303" s="79">
        <f t="shared" si="20"/>
        <v>0</v>
      </c>
      <c r="G1303" s="78"/>
    </row>
    <row r="1304" spans="1:7" x14ac:dyDescent="0.2">
      <c r="A1304" s="76"/>
      <c r="B1304" s="77"/>
      <c r="C1304" s="78"/>
      <c r="D1304" s="81"/>
      <c r="E1304" s="81"/>
      <c r="F1304" s="79">
        <f t="shared" si="20"/>
        <v>0</v>
      </c>
      <c r="G1304" s="78"/>
    </row>
    <row r="1305" spans="1:7" x14ac:dyDescent="0.2">
      <c r="A1305" s="76"/>
      <c r="B1305" s="77"/>
      <c r="C1305" s="78"/>
      <c r="D1305" s="81"/>
      <c r="E1305" s="81"/>
      <c r="F1305" s="79">
        <f t="shared" si="20"/>
        <v>0</v>
      </c>
      <c r="G1305" s="83"/>
    </row>
    <row r="1306" spans="1:7" x14ac:dyDescent="0.2">
      <c r="A1306" s="76"/>
      <c r="B1306" s="77"/>
      <c r="C1306" s="78"/>
      <c r="D1306" s="81"/>
      <c r="E1306" s="81"/>
      <c r="F1306" s="79">
        <f t="shared" si="20"/>
        <v>0</v>
      </c>
      <c r="G1306" s="83"/>
    </row>
    <row r="1307" spans="1:7" x14ac:dyDescent="0.2">
      <c r="A1307" s="76"/>
      <c r="B1307" s="77"/>
      <c r="C1307" s="78"/>
      <c r="D1307" s="81"/>
      <c r="E1307" s="81"/>
      <c r="F1307" s="79">
        <f t="shared" si="20"/>
        <v>0</v>
      </c>
      <c r="G1307" s="83"/>
    </row>
    <row r="1308" spans="1:7" x14ac:dyDescent="0.2">
      <c r="A1308" s="76"/>
      <c r="B1308" s="77"/>
      <c r="C1308" s="78"/>
      <c r="D1308" s="81"/>
      <c r="E1308" s="81"/>
      <c r="F1308" s="79">
        <f t="shared" si="20"/>
        <v>0</v>
      </c>
      <c r="G1308" s="78"/>
    </row>
    <row r="1309" spans="1:7" x14ac:dyDescent="0.2">
      <c r="A1309" s="76"/>
      <c r="B1309" s="77"/>
      <c r="C1309" s="78"/>
      <c r="D1309" s="81"/>
      <c r="E1309" s="81"/>
      <c r="F1309" s="79">
        <f t="shared" si="20"/>
        <v>0</v>
      </c>
      <c r="G1309" s="78"/>
    </row>
    <row r="1310" spans="1:7" x14ac:dyDescent="0.2">
      <c r="A1310" s="76"/>
      <c r="B1310" s="77"/>
      <c r="C1310" s="78"/>
      <c r="D1310" s="81"/>
      <c r="E1310" s="81"/>
      <c r="F1310" s="79">
        <f t="shared" si="20"/>
        <v>0</v>
      </c>
      <c r="G1310" s="80" t="s">
        <v>67</v>
      </c>
    </row>
    <row r="1311" spans="1:7" x14ac:dyDescent="0.2">
      <c r="A1311" s="76"/>
      <c r="B1311" s="77"/>
      <c r="C1311" s="78"/>
      <c r="D1311" s="81"/>
      <c r="E1311" s="81"/>
      <c r="F1311" s="79">
        <f t="shared" si="20"/>
        <v>0</v>
      </c>
      <c r="G1311" s="78"/>
    </row>
    <row r="1312" spans="1:7" x14ac:dyDescent="0.2">
      <c r="A1312" s="76"/>
      <c r="B1312" s="77"/>
      <c r="C1312" s="78"/>
      <c r="D1312" s="81"/>
      <c r="E1312" s="81"/>
      <c r="F1312" s="79">
        <f t="shared" si="20"/>
        <v>0</v>
      </c>
      <c r="G1312" s="78"/>
    </row>
    <row r="1313" spans="1:7" x14ac:dyDescent="0.2">
      <c r="A1313" s="76"/>
      <c r="B1313" s="77"/>
      <c r="C1313" s="78"/>
      <c r="D1313" s="81"/>
      <c r="E1313" s="81"/>
      <c r="F1313" s="79">
        <f t="shared" si="20"/>
        <v>0</v>
      </c>
      <c r="G1313" s="78"/>
    </row>
    <row r="1314" spans="1:7" x14ac:dyDescent="0.2">
      <c r="A1314" s="76"/>
      <c r="B1314" s="77"/>
      <c r="C1314" s="78"/>
      <c r="D1314" s="81"/>
      <c r="E1314" s="81"/>
      <c r="F1314" s="79">
        <f t="shared" si="20"/>
        <v>0</v>
      </c>
      <c r="G1314" s="78"/>
    </row>
    <row r="1315" spans="1:7" x14ac:dyDescent="0.2">
      <c r="A1315" s="76"/>
      <c r="B1315" s="77"/>
      <c r="C1315" s="78"/>
      <c r="D1315" s="81"/>
      <c r="E1315" s="81"/>
      <c r="F1315" s="79">
        <f t="shared" si="20"/>
        <v>0</v>
      </c>
      <c r="G1315" s="78"/>
    </row>
    <row r="1316" spans="1:7" x14ac:dyDescent="0.2">
      <c r="A1316" s="76"/>
      <c r="B1316" s="77"/>
      <c r="C1316" s="78"/>
      <c r="D1316" s="81"/>
      <c r="E1316" s="81"/>
      <c r="F1316" s="79">
        <f t="shared" si="20"/>
        <v>0</v>
      </c>
      <c r="G1316" s="78"/>
    </row>
    <row r="1317" spans="1:7" x14ac:dyDescent="0.2">
      <c r="A1317" s="76"/>
      <c r="B1317" s="77"/>
      <c r="C1317" s="78"/>
      <c r="D1317" s="81"/>
      <c r="E1317" s="81"/>
      <c r="F1317" s="79">
        <f t="shared" si="20"/>
        <v>0</v>
      </c>
      <c r="G1317" s="78"/>
    </row>
    <row r="1318" spans="1:7" x14ac:dyDescent="0.2">
      <c r="A1318" s="76"/>
      <c r="B1318" s="77"/>
      <c r="C1318" s="78"/>
      <c r="D1318" s="81"/>
      <c r="E1318" s="81"/>
      <c r="F1318" s="79">
        <f t="shared" si="20"/>
        <v>0</v>
      </c>
      <c r="G1318" s="78"/>
    </row>
    <row r="1319" spans="1:7" x14ac:dyDescent="0.2">
      <c r="A1319" s="76"/>
      <c r="B1319" s="77"/>
      <c r="C1319" s="78"/>
      <c r="D1319" s="81"/>
      <c r="E1319" s="81"/>
      <c r="F1319" s="79">
        <f t="shared" si="20"/>
        <v>0</v>
      </c>
      <c r="G1319" s="78"/>
    </row>
    <row r="1320" spans="1:7" x14ac:dyDescent="0.2">
      <c r="A1320" s="76"/>
      <c r="B1320" s="77"/>
      <c r="C1320" s="78"/>
      <c r="D1320" s="81"/>
      <c r="E1320" s="81"/>
      <c r="F1320" s="79">
        <f t="shared" si="20"/>
        <v>0</v>
      </c>
      <c r="G1320" s="78"/>
    </row>
    <row r="1321" spans="1:7" x14ac:dyDescent="0.2">
      <c r="A1321" s="76"/>
      <c r="B1321" s="77"/>
      <c r="C1321" s="78"/>
      <c r="D1321" s="81"/>
      <c r="E1321" s="81"/>
      <c r="F1321" s="79">
        <f t="shared" si="20"/>
        <v>0</v>
      </c>
      <c r="G1321" s="78"/>
    </row>
    <row r="1322" spans="1:7" x14ac:dyDescent="0.2">
      <c r="A1322" s="76"/>
      <c r="B1322" s="77"/>
      <c r="C1322" s="78"/>
      <c r="D1322" s="81"/>
      <c r="E1322" s="81"/>
      <c r="F1322" s="79">
        <f t="shared" si="20"/>
        <v>0</v>
      </c>
      <c r="G1322" s="78"/>
    </row>
    <row r="1323" spans="1:7" x14ac:dyDescent="0.2">
      <c r="A1323" s="76"/>
      <c r="B1323" s="77"/>
      <c r="C1323" s="78"/>
      <c r="D1323" s="81"/>
      <c r="E1323" s="81"/>
      <c r="F1323" s="79">
        <f t="shared" si="20"/>
        <v>0</v>
      </c>
      <c r="G1323" s="78"/>
    </row>
    <row r="1324" spans="1:7" x14ac:dyDescent="0.2">
      <c r="A1324" s="76"/>
      <c r="B1324" s="77"/>
      <c r="C1324" s="78"/>
      <c r="D1324" s="81"/>
      <c r="E1324" s="81"/>
      <c r="F1324" s="79">
        <f t="shared" si="20"/>
        <v>0</v>
      </c>
      <c r="G1324" s="78"/>
    </row>
    <row r="1325" spans="1:7" x14ac:dyDescent="0.2">
      <c r="A1325" s="76"/>
      <c r="B1325" s="77"/>
      <c r="C1325" s="78"/>
      <c r="D1325" s="81"/>
      <c r="E1325" s="81"/>
      <c r="F1325" s="79">
        <f t="shared" si="20"/>
        <v>0</v>
      </c>
      <c r="G1325" s="78"/>
    </row>
    <row r="1326" spans="1:7" x14ac:dyDescent="0.2">
      <c r="A1326" s="76"/>
      <c r="B1326" s="77"/>
      <c r="C1326" s="78"/>
      <c r="D1326" s="81"/>
      <c r="E1326" s="81"/>
      <c r="F1326" s="79">
        <f t="shared" si="20"/>
        <v>0</v>
      </c>
      <c r="G1326" s="78"/>
    </row>
    <row r="1327" spans="1:7" x14ac:dyDescent="0.2">
      <c r="A1327" s="76"/>
      <c r="B1327" s="77"/>
      <c r="C1327" s="78"/>
      <c r="D1327" s="81"/>
      <c r="E1327" s="81"/>
      <c r="F1327" s="79">
        <f t="shared" si="20"/>
        <v>0</v>
      </c>
      <c r="G1327" s="80"/>
    </row>
    <row r="1328" spans="1:7" x14ac:dyDescent="0.2">
      <c r="A1328" s="76"/>
      <c r="B1328" s="77"/>
      <c r="C1328" s="78"/>
      <c r="D1328" s="81"/>
      <c r="E1328" s="81"/>
      <c r="F1328" s="79">
        <f t="shared" si="20"/>
        <v>0</v>
      </c>
      <c r="G1328" s="78"/>
    </row>
    <row r="1329" spans="1:7" x14ac:dyDescent="0.2">
      <c r="A1329" s="76"/>
      <c r="B1329" s="77"/>
      <c r="C1329" s="78"/>
      <c r="D1329" s="81"/>
      <c r="E1329" s="81"/>
      <c r="F1329" s="79">
        <f t="shared" si="20"/>
        <v>0</v>
      </c>
      <c r="G1329" s="78"/>
    </row>
    <row r="1330" spans="1:7" x14ac:dyDescent="0.2">
      <c r="A1330" s="76"/>
      <c r="B1330" s="77"/>
      <c r="C1330" s="78"/>
      <c r="D1330" s="81"/>
      <c r="E1330" s="81"/>
      <c r="F1330" s="79">
        <f t="shared" si="20"/>
        <v>0</v>
      </c>
      <c r="G1330" s="78"/>
    </row>
    <row r="1331" spans="1:7" x14ac:dyDescent="0.2">
      <c r="A1331" s="76"/>
      <c r="B1331" s="77"/>
      <c r="C1331" s="78"/>
      <c r="D1331" s="81"/>
      <c r="E1331" s="81"/>
      <c r="F1331" s="79">
        <f t="shared" si="20"/>
        <v>0</v>
      </c>
      <c r="G1331" s="78"/>
    </row>
    <row r="1332" spans="1:7" x14ac:dyDescent="0.2">
      <c r="A1332" s="76"/>
      <c r="B1332" s="77"/>
      <c r="C1332" s="78"/>
      <c r="D1332" s="81"/>
      <c r="E1332" s="81"/>
      <c r="F1332" s="79">
        <f t="shared" si="20"/>
        <v>0</v>
      </c>
      <c r="G1332" s="78"/>
    </row>
    <row r="1333" spans="1:7" x14ac:dyDescent="0.2">
      <c r="A1333" s="76"/>
      <c r="B1333" s="77"/>
      <c r="C1333" s="78"/>
      <c r="D1333" s="81"/>
      <c r="E1333" s="81"/>
      <c r="F1333" s="79">
        <f t="shared" si="20"/>
        <v>0</v>
      </c>
      <c r="G1333" s="78"/>
    </row>
    <row r="1334" spans="1:7" x14ac:dyDescent="0.2">
      <c r="A1334" s="76"/>
      <c r="B1334" s="77"/>
      <c r="C1334" s="78"/>
      <c r="D1334" s="81"/>
      <c r="E1334" s="81"/>
      <c r="F1334" s="79">
        <f t="shared" si="20"/>
        <v>0</v>
      </c>
      <c r="G1334" s="78"/>
    </row>
    <row r="1335" spans="1:7" x14ac:dyDescent="0.2">
      <c r="A1335" s="76"/>
      <c r="B1335" s="77"/>
      <c r="C1335" s="78"/>
      <c r="D1335" s="81"/>
      <c r="E1335" s="81"/>
      <c r="F1335" s="79">
        <f t="shared" si="20"/>
        <v>0</v>
      </c>
      <c r="G1335" s="78"/>
    </row>
    <row r="1336" spans="1:7" x14ac:dyDescent="0.2">
      <c r="A1336" s="76"/>
      <c r="B1336" s="77"/>
      <c r="C1336" s="78"/>
      <c r="D1336" s="81"/>
      <c r="E1336" s="81"/>
      <c r="F1336" s="79">
        <f t="shared" si="20"/>
        <v>0</v>
      </c>
      <c r="G1336" s="80"/>
    </row>
    <row r="1337" spans="1:7" x14ac:dyDescent="0.2">
      <c r="A1337" s="76"/>
      <c r="B1337" s="77"/>
      <c r="C1337" s="78"/>
      <c r="D1337" s="81"/>
      <c r="E1337" s="81"/>
      <c r="F1337" s="79">
        <f t="shared" si="20"/>
        <v>0</v>
      </c>
      <c r="G1337" s="78"/>
    </row>
    <row r="1338" spans="1:7" x14ac:dyDescent="0.2">
      <c r="A1338" s="76"/>
      <c r="B1338" s="77"/>
      <c r="C1338" s="78"/>
      <c r="D1338" s="81"/>
      <c r="E1338" s="81"/>
      <c r="F1338" s="79">
        <f t="shared" si="20"/>
        <v>0</v>
      </c>
      <c r="G1338" s="78"/>
    </row>
    <row r="1339" spans="1:7" x14ac:dyDescent="0.2">
      <c r="A1339" s="76"/>
      <c r="B1339" s="77"/>
      <c r="C1339" s="78"/>
      <c r="D1339" s="81"/>
      <c r="E1339" s="81"/>
      <c r="F1339" s="79">
        <f t="shared" si="20"/>
        <v>0</v>
      </c>
      <c r="G1339" s="78"/>
    </row>
    <row r="1340" spans="1:7" x14ac:dyDescent="0.2">
      <c r="A1340" s="76"/>
      <c r="B1340" s="77"/>
      <c r="C1340" s="78"/>
      <c r="D1340" s="81"/>
      <c r="E1340" s="81"/>
      <c r="F1340" s="79">
        <f t="shared" si="20"/>
        <v>0</v>
      </c>
      <c r="G1340" s="78"/>
    </row>
    <row r="1341" spans="1:7" x14ac:dyDescent="0.2">
      <c r="A1341" s="76"/>
      <c r="B1341" s="77"/>
      <c r="C1341" s="78"/>
      <c r="D1341" s="81"/>
      <c r="E1341" s="81"/>
      <c r="F1341" s="79">
        <f t="shared" si="20"/>
        <v>0</v>
      </c>
      <c r="G1341" s="78"/>
    </row>
    <row r="1342" spans="1:7" x14ac:dyDescent="0.2">
      <c r="A1342" s="76"/>
      <c r="B1342" s="77"/>
      <c r="C1342" s="78"/>
      <c r="D1342" s="81"/>
      <c r="E1342" s="81"/>
      <c r="F1342" s="79">
        <f t="shared" si="20"/>
        <v>0</v>
      </c>
      <c r="G1342" s="78"/>
    </row>
    <row r="1343" spans="1:7" x14ac:dyDescent="0.2">
      <c r="A1343" s="76"/>
      <c r="B1343" s="77"/>
      <c r="C1343" s="78"/>
      <c r="D1343" s="81"/>
      <c r="E1343" s="81"/>
      <c r="F1343" s="79">
        <f t="shared" si="20"/>
        <v>0</v>
      </c>
      <c r="G1343" s="78"/>
    </row>
    <row r="1344" spans="1:7" x14ac:dyDescent="0.2">
      <c r="A1344" s="76"/>
      <c r="B1344" s="77"/>
      <c r="C1344" s="78"/>
      <c r="D1344" s="81"/>
      <c r="E1344" s="81"/>
      <c r="F1344" s="79">
        <f t="shared" si="20"/>
        <v>0</v>
      </c>
      <c r="G1344" s="78"/>
    </row>
    <row r="1345" spans="1:7" x14ac:dyDescent="0.2">
      <c r="A1345" s="76"/>
      <c r="B1345" s="77"/>
      <c r="C1345" s="78"/>
      <c r="D1345" s="81"/>
      <c r="E1345" s="81"/>
      <c r="F1345" s="79">
        <f t="shared" si="20"/>
        <v>0</v>
      </c>
      <c r="G1345" s="78"/>
    </row>
    <row r="1346" spans="1:7" x14ac:dyDescent="0.2">
      <c r="A1346" s="76"/>
      <c r="B1346" s="77"/>
      <c r="C1346" s="78"/>
      <c r="D1346" s="81"/>
      <c r="E1346" s="81"/>
      <c r="F1346" s="79">
        <f t="shared" si="20"/>
        <v>0</v>
      </c>
      <c r="G1346" s="78"/>
    </row>
    <row r="1347" spans="1:7" x14ac:dyDescent="0.2">
      <c r="A1347" s="76"/>
      <c r="B1347" s="77"/>
      <c r="C1347" s="78"/>
      <c r="D1347" s="81"/>
      <c r="E1347" s="81"/>
      <c r="F1347" s="79">
        <f t="shared" si="20"/>
        <v>0</v>
      </c>
      <c r="G1347" s="78"/>
    </row>
    <row r="1348" spans="1:7" x14ac:dyDescent="0.2">
      <c r="A1348" s="76"/>
      <c r="B1348" s="77"/>
      <c r="C1348" s="78"/>
      <c r="D1348" s="81"/>
      <c r="E1348" s="81"/>
      <c r="F1348" s="79">
        <f t="shared" si="20"/>
        <v>0</v>
      </c>
      <c r="G1348" s="78"/>
    </row>
    <row r="1349" spans="1:7" x14ac:dyDescent="0.2">
      <c r="A1349" s="76"/>
      <c r="B1349" s="77"/>
      <c r="C1349" s="78"/>
      <c r="D1349" s="81"/>
      <c r="E1349" s="81"/>
      <c r="F1349" s="79">
        <f t="shared" si="20"/>
        <v>0</v>
      </c>
      <c r="G1349" s="78"/>
    </row>
    <row r="1350" spans="1:7" x14ac:dyDescent="0.2">
      <c r="A1350" s="76"/>
      <c r="B1350" s="77"/>
      <c r="C1350" s="78"/>
      <c r="D1350" s="81"/>
      <c r="E1350" s="81"/>
      <c r="F1350" s="79">
        <f t="shared" si="20"/>
        <v>0</v>
      </c>
      <c r="G1350" s="78"/>
    </row>
    <row r="1351" spans="1:7" x14ac:dyDescent="0.2">
      <c r="A1351" s="76"/>
      <c r="B1351" s="77"/>
      <c r="C1351" s="78"/>
      <c r="D1351" s="81"/>
      <c r="E1351" s="81"/>
      <c r="F1351" s="79">
        <f t="shared" si="20"/>
        <v>0</v>
      </c>
      <c r="G1351" s="78"/>
    </row>
    <row r="1352" spans="1:7" x14ac:dyDescent="0.2">
      <c r="A1352" s="76"/>
      <c r="B1352" s="77"/>
      <c r="C1352" s="78"/>
      <c r="D1352" s="81"/>
      <c r="E1352" s="81"/>
      <c r="F1352" s="79">
        <f t="shared" si="20"/>
        <v>0</v>
      </c>
      <c r="G1352" s="78"/>
    </row>
    <row r="1353" spans="1:7" x14ac:dyDescent="0.2">
      <c r="A1353" s="76"/>
      <c r="B1353" s="77"/>
      <c r="C1353" s="78"/>
      <c r="D1353" s="81"/>
      <c r="E1353" s="81"/>
      <c r="F1353" s="79">
        <f t="shared" si="20"/>
        <v>0</v>
      </c>
      <c r="G1353" s="78"/>
    </row>
    <row r="1354" spans="1:7" x14ac:dyDescent="0.2">
      <c r="A1354" s="76"/>
      <c r="B1354" s="77"/>
      <c r="C1354" s="78"/>
      <c r="D1354" s="81"/>
      <c r="E1354" s="81"/>
      <c r="F1354" s="79">
        <f t="shared" si="20"/>
        <v>0</v>
      </c>
      <c r="G1354" s="78"/>
    </row>
    <row r="1355" spans="1:7" x14ac:dyDescent="0.2">
      <c r="A1355" s="76"/>
      <c r="B1355" s="77"/>
      <c r="C1355" s="78"/>
      <c r="D1355" s="81"/>
      <c r="E1355" s="81"/>
      <c r="F1355" s="79">
        <f t="shared" si="20"/>
        <v>0</v>
      </c>
      <c r="G1355" s="78"/>
    </row>
    <row r="1356" spans="1:7" x14ac:dyDescent="0.2">
      <c r="A1356" s="76"/>
      <c r="B1356" s="77"/>
      <c r="C1356" s="78"/>
      <c r="D1356" s="81"/>
      <c r="E1356" s="81"/>
      <c r="F1356" s="79">
        <f t="shared" si="20"/>
        <v>0</v>
      </c>
      <c r="G1356" s="78"/>
    </row>
    <row r="1357" spans="1:7" x14ac:dyDescent="0.2">
      <c r="A1357" s="76"/>
      <c r="B1357" s="77"/>
      <c r="C1357" s="78"/>
      <c r="D1357" s="81"/>
      <c r="E1357" s="81"/>
      <c r="F1357" s="79">
        <f t="shared" si="20"/>
        <v>0</v>
      </c>
      <c r="G1357" s="78"/>
    </row>
    <row r="1358" spans="1:7" x14ac:dyDescent="0.2">
      <c r="A1358" s="76"/>
      <c r="B1358" s="77"/>
      <c r="C1358" s="78"/>
      <c r="D1358" s="81"/>
      <c r="E1358" s="81"/>
      <c r="F1358" s="79">
        <f t="shared" ref="F1358:F1421" si="21">E1358-D1358</f>
        <v>0</v>
      </c>
      <c r="G1358" s="78"/>
    </row>
    <row r="1359" spans="1:7" x14ac:dyDescent="0.2">
      <c r="A1359" s="76"/>
      <c r="B1359" s="77"/>
      <c r="C1359" s="78"/>
      <c r="D1359" s="81"/>
      <c r="E1359" s="81"/>
      <c r="F1359" s="79">
        <f t="shared" si="21"/>
        <v>0</v>
      </c>
      <c r="G1359" s="78"/>
    </row>
    <row r="1360" spans="1:7" x14ac:dyDescent="0.2">
      <c r="A1360" s="76"/>
      <c r="B1360" s="77"/>
      <c r="C1360" s="78"/>
      <c r="D1360" s="81"/>
      <c r="E1360" s="81"/>
      <c r="F1360" s="79">
        <f t="shared" si="21"/>
        <v>0</v>
      </c>
      <c r="G1360" s="78"/>
    </row>
    <row r="1361" spans="1:7" x14ac:dyDescent="0.2">
      <c r="A1361" s="76"/>
      <c r="B1361" s="77"/>
      <c r="C1361" s="78"/>
      <c r="D1361" s="81"/>
      <c r="E1361" s="81"/>
      <c r="F1361" s="79">
        <f t="shared" si="21"/>
        <v>0</v>
      </c>
      <c r="G1361" s="78"/>
    </row>
    <row r="1362" spans="1:7" x14ac:dyDescent="0.2">
      <c r="A1362" s="76"/>
      <c r="B1362" s="77"/>
      <c r="C1362" s="78"/>
      <c r="D1362" s="81"/>
      <c r="E1362" s="81"/>
      <c r="F1362" s="79">
        <f t="shared" si="21"/>
        <v>0</v>
      </c>
      <c r="G1362" s="78"/>
    </row>
    <row r="1363" spans="1:7" x14ac:dyDescent="0.2">
      <c r="A1363" s="76"/>
      <c r="B1363" s="77"/>
      <c r="C1363" s="78"/>
      <c r="D1363" s="81"/>
      <c r="E1363" s="81"/>
      <c r="F1363" s="79">
        <f t="shared" si="21"/>
        <v>0</v>
      </c>
      <c r="G1363" s="78"/>
    </row>
    <row r="1364" spans="1:7" x14ac:dyDescent="0.2">
      <c r="A1364" s="76"/>
      <c r="B1364" s="77"/>
      <c r="C1364" s="78"/>
      <c r="D1364" s="81"/>
      <c r="E1364" s="81"/>
      <c r="F1364" s="79">
        <f t="shared" si="21"/>
        <v>0</v>
      </c>
      <c r="G1364" s="78"/>
    </row>
    <row r="1365" spans="1:7" x14ac:dyDescent="0.2">
      <c r="A1365" s="76"/>
      <c r="B1365" s="77"/>
      <c r="C1365" s="78"/>
      <c r="D1365" s="81"/>
      <c r="E1365" s="81"/>
      <c r="F1365" s="79">
        <f t="shared" si="21"/>
        <v>0</v>
      </c>
      <c r="G1365" s="78"/>
    </row>
    <row r="1366" spans="1:7" x14ac:dyDescent="0.2">
      <c r="A1366" s="76"/>
      <c r="B1366" s="77"/>
      <c r="C1366" s="78"/>
      <c r="D1366" s="81"/>
      <c r="E1366" s="81"/>
      <c r="F1366" s="79">
        <f t="shared" si="21"/>
        <v>0</v>
      </c>
      <c r="G1366" s="78"/>
    </row>
    <row r="1367" spans="1:7" x14ac:dyDescent="0.2">
      <c r="A1367" s="76"/>
      <c r="B1367" s="77"/>
      <c r="C1367" s="78"/>
      <c r="D1367" s="81"/>
      <c r="E1367" s="81"/>
      <c r="F1367" s="79">
        <f t="shared" si="21"/>
        <v>0</v>
      </c>
      <c r="G1367" s="78"/>
    </row>
    <row r="1368" spans="1:7" x14ac:dyDescent="0.2">
      <c r="A1368" s="76"/>
      <c r="B1368" s="77"/>
      <c r="C1368" s="78"/>
      <c r="D1368" s="81"/>
      <c r="E1368" s="81"/>
      <c r="F1368" s="79">
        <f t="shared" si="21"/>
        <v>0</v>
      </c>
      <c r="G1368" s="78"/>
    </row>
    <row r="1369" spans="1:7" x14ac:dyDescent="0.2">
      <c r="A1369" s="76"/>
      <c r="B1369" s="77"/>
      <c r="C1369" s="78"/>
      <c r="D1369" s="81"/>
      <c r="E1369" s="81"/>
      <c r="F1369" s="79">
        <f t="shared" si="21"/>
        <v>0</v>
      </c>
      <c r="G1369" s="78"/>
    </row>
    <row r="1370" spans="1:7" x14ac:dyDescent="0.2">
      <c r="A1370" s="76"/>
      <c r="B1370" s="77"/>
      <c r="C1370" s="78"/>
      <c r="D1370" s="81"/>
      <c r="E1370" s="81"/>
      <c r="F1370" s="79">
        <f t="shared" si="21"/>
        <v>0</v>
      </c>
      <c r="G1370" s="78"/>
    </row>
    <row r="1371" spans="1:7" x14ac:dyDescent="0.2">
      <c r="A1371" s="76"/>
      <c r="B1371" s="77"/>
      <c r="C1371" s="78"/>
      <c r="D1371" s="81"/>
      <c r="E1371" s="81"/>
      <c r="F1371" s="79">
        <f t="shared" si="21"/>
        <v>0</v>
      </c>
      <c r="G1371" s="78"/>
    </row>
    <row r="1372" spans="1:7" x14ac:dyDescent="0.2">
      <c r="A1372" s="76"/>
      <c r="B1372" s="77"/>
      <c r="C1372" s="78"/>
      <c r="D1372" s="81"/>
      <c r="E1372" s="81"/>
      <c r="F1372" s="79">
        <f t="shared" si="21"/>
        <v>0</v>
      </c>
      <c r="G1372" s="78"/>
    </row>
    <row r="1373" spans="1:7" x14ac:dyDescent="0.2">
      <c r="A1373" s="76"/>
      <c r="B1373" s="77"/>
      <c r="C1373" s="78"/>
      <c r="D1373" s="81"/>
      <c r="E1373" s="81"/>
      <c r="F1373" s="79">
        <f t="shared" si="21"/>
        <v>0</v>
      </c>
      <c r="G1373" s="78"/>
    </row>
    <row r="1374" spans="1:7" x14ac:dyDescent="0.2">
      <c r="A1374" s="76"/>
      <c r="B1374" s="77"/>
      <c r="C1374" s="78"/>
      <c r="D1374" s="81"/>
      <c r="E1374" s="81"/>
      <c r="F1374" s="79">
        <f t="shared" si="21"/>
        <v>0</v>
      </c>
      <c r="G1374" s="78"/>
    </row>
    <row r="1375" spans="1:7" x14ac:dyDescent="0.2">
      <c r="A1375" s="76"/>
      <c r="B1375" s="77"/>
      <c r="C1375" s="78"/>
      <c r="D1375" s="81"/>
      <c r="E1375" s="81"/>
      <c r="F1375" s="79">
        <f t="shared" si="21"/>
        <v>0</v>
      </c>
      <c r="G1375" s="80"/>
    </row>
    <row r="1376" spans="1:7" x14ac:dyDescent="0.2">
      <c r="A1376" s="76"/>
      <c r="B1376" s="77"/>
      <c r="C1376" s="78"/>
      <c r="D1376" s="81"/>
      <c r="E1376" s="81"/>
      <c r="F1376" s="79">
        <f t="shared" si="21"/>
        <v>0</v>
      </c>
      <c r="G1376" s="78"/>
    </row>
    <row r="1377" spans="1:7" x14ac:dyDescent="0.2">
      <c r="A1377" s="76"/>
      <c r="B1377" s="77"/>
      <c r="C1377" s="78"/>
      <c r="D1377" s="81"/>
      <c r="E1377" s="81"/>
      <c r="F1377" s="79">
        <f t="shared" si="21"/>
        <v>0</v>
      </c>
      <c r="G1377" s="78"/>
    </row>
    <row r="1378" spans="1:7" x14ac:dyDescent="0.2">
      <c r="A1378" s="76"/>
      <c r="B1378" s="77"/>
      <c r="C1378" s="78"/>
      <c r="D1378" s="81"/>
      <c r="E1378" s="81"/>
      <c r="F1378" s="79">
        <f t="shared" si="21"/>
        <v>0</v>
      </c>
      <c r="G1378" s="78"/>
    </row>
    <row r="1379" spans="1:7" x14ac:dyDescent="0.2">
      <c r="A1379" s="76"/>
      <c r="B1379" s="77"/>
      <c r="C1379" s="78"/>
      <c r="D1379" s="81"/>
      <c r="E1379" s="81"/>
      <c r="F1379" s="79">
        <f t="shared" si="21"/>
        <v>0</v>
      </c>
      <c r="G1379" s="78"/>
    </row>
    <row r="1380" spans="1:7" x14ac:dyDescent="0.2">
      <c r="A1380" s="76"/>
      <c r="B1380" s="77"/>
      <c r="C1380" s="78"/>
      <c r="D1380" s="81"/>
      <c r="E1380" s="81"/>
      <c r="F1380" s="79">
        <f t="shared" si="21"/>
        <v>0</v>
      </c>
      <c r="G1380" s="78"/>
    </row>
    <row r="1381" spans="1:7" x14ac:dyDescent="0.2">
      <c r="A1381" s="76"/>
      <c r="B1381" s="77"/>
      <c r="C1381" s="78"/>
      <c r="D1381" s="81"/>
      <c r="E1381" s="81"/>
      <c r="F1381" s="79">
        <f t="shared" si="21"/>
        <v>0</v>
      </c>
      <c r="G1381" s="78"/>
    </row>
    <row r="1382" spans="1:7" x14ac:dyDescent="0.2">
      <c r="A1382" s="76"/>
      <c r="B1382" s="77"/>
      <c r="C1382" s="78"/>
      <c r="D1382" s="81"/>
      <c r="E1382" s="81"/>
      <c r="F1382" s="79">
        <f t="shared" si="21"/>
        <v>0</v>
      </c>
      <c r="G1382" s="78"/>
    </row>
    <row r="1383" spans="1:7" x14ac:dyDescent="0.2">
      <c r="A1383" s="76"/>
      <c r="B1383" s="77"/>
      <c r="C1383" s="78"/>
      <c r="D1383" s="81"/>
      <c r="E1383" s="81"/>
      <c r="F1383" s="79">
        <f t="shared" si="21"/>
        <v>0</v>
      </c>
      <c r="G1383" s="78"/>
    </row>
    <row r="1384" spans="1:7" x14ac:dyDescent="0.2">
      <c r="A1384" s="76"/>
      <c r="B1384" s="77"/>
      <c r="C1384" s="78"/>
      <c r="D1384" s="81"/>
      <c r="E1384" s="81"/>
      <c r="F1384" s="79">
        <f t="shared" si="21"/>
        <v>0</v>
      </c>
      <c r="G1384" s="78"/>
    </row>
    <row r="1385" spans="1:7" x14ac:dyDescent="0.2">
      <c r="A1385" s="76"/>
      <c r="B1385" s="77"/>
      <c r="C1385" s="78"/>
      <c r="D1385" s="81"/>
      <c r="E1385" s="81"/>
      <c r="F1385" s="79">
        <f t="shared" si="21"/>
        <v>0</v>
      </c>
      <c r="G1385" s="78"/>
    </row>
    <row r="1386" spans="1:7" x14ac:dyDescent="0.2">
      <c r="A1386" s="76"/>
      <c r="B1386" s="77"/>
      <c r="C1386" s="78"/>
      <c r="D1386" s="81"/>
      <c r="E1386" s="81"/>
      <c r="F1386" s="79">
        <f t="shared" si="21"/>
        <v>0</v>
      </c>
      <c r="G1386" s="78"/>
    </row>
    <row r="1387" spans="1:7" x14ac:dyDescent="0.2">
      <c r="A1387" s="76"/>
      <c r="B1387" s="77"/>
      <c r="C1387" s="78"/>
      <c r="D1387" s="81"/>
      <c r="E1387" s="81"/>
      <c r="F1387" s="79">
        <f t="shared" si="21"/>
        <v>0</v>
      </c>
      <c r="G1387" s="78"/>
    </row>
    <row r="1388" spans="1:7" x14ac:dyDescent="0.2">
      <c r="A1388" s="76"/>
      <c r="B1388" s="77"/>
      <c r="C1388" s="78"/>
      <c r="D1388" s="81"/>
      <c r="E1388" s="81"/>
      <c r="F1388" s="79">
        <f t="shared" si="21"/>
        <v>0</v>
      </c>
      <c r="G1388" s="78"/>
    </row>
    <row r="1389" spans="1:7" x14ac:dyDescent="0.2">
      <c r="A1389" s="76"/>
      <c r="B1389" s="77"/>
      <c r="C1389" s="78"/>
      <c r="D1389" s="81"/>
      <c r="E1389" s="81"/>
      <c r="F1389" s="79">
        <f t="shared" si="21"/>
        <v>0</v>
      </c>
      <c r="G1389" s="78"/>
    </row>
    <row r="1390" spans="1:7" x14ac:dyDescent="0.2">
      <c r="A1390" s="76"/>
      <c r="B1390" s="77"/>
      <c r="C1390" s="78"/>
      <c r="D1390" s="81"/>
      <c r="E1390" s="81"/>
      <c r="F1390" s="79">
        <f t="shared" si="21"/>
        <v>0</v>
      </c>
      <c r="G1390" s="80"/>
    </row>
    <row r="1391" spans="1:7" x14ac:dyDescent="0.2">
      <c r="A1391" s="76"/>
      <c r="B1391" s="77"/>
      <c r="C1391" s="78"/>
      <c r="D1391" s="81"/>
      <c r="E1391" s="81"/>
      <c r="F1391" s="79">
        <f t="shared" si="21"/>
        <v>0</v>
      </c>
      <c r="G1391" s="80"/>
    </row>
    <row r="1392" spans="1:7" x14ac:dyDescent="0.2">
      <c r="A1392" s="76"/>
      <c r="B1392" s="77"/>
      <c r="C1392" s="78"/>
      <c r="D1392" s="81"/>
      <c r="E1392" s="81"/>
      <c r="F1392" s="79">
        <f t="shared" si="21"/>
        <v>0</v>
      </c>
      <c r="G1392" s="78"/>
    </row>
    <row r="1393" spans="1:7" x14ac:dyDescent="0.2">
      <c r="A1393" s="76"/>
      <c r="B1393" s="77"/>
      <c r="C1393" s="78"/>
      <c r="D1393" s="81"/>
      <c r="E1393" s="81"/>
      <c r="F1393" s="79">
        <f t="shared" si="21"/>
        <v>0</v>
      </c>
      <c r="G1393" s="78"/>
    </row>
    <row r="1394" spans="1:7" x14ac:dyDescent="0.2">
      <c r="A1394" s="76"/>
      <c r="B1394" s="77"/>
      <c r="C1394" s="78"/>
      <c r="D1394" s="81"/>
      <c r="E1394" s="81"/>
      <c r="F1394" s="79">
        <f t="shared" si="21"/>
        <v>0</v>
      </c>
      <c r="G1394" s="78"/>
    </row>
    <row r="1395" spans="1:7" x14ac:dyDescent="0.2">
      <c r="A1395" s="76"/>
      <c r="B1395" s="77"/>
      <c r="C1395" s="78"/>
      <c r="D1395" s="81"/>
      <c r="E1395" s="81"/>
      <c r="F1395" s="79">
        <f t="shared" si="21"/>
        <v>0</v>
      </c>
      <c r="G1395" s="78"/>
    </row>
    <row r="1396" spans="1:7" x14ac:dyDescent="0.2">
      <c r="A1396" s="76"/>
      <c r="B1396" s="77"/>
      <c r="C1396" s="78"/>
      <c r="D1396" s="81"/>
      <c r="E1396" s="81"/>
      <c r="F1396" s="79">
        <f t="shared" si="21"/>
        <v>0</v>
      </c>
      <c r="G1396" s="78"/>
    </row>
    <row r="1397" spans="1:7" x14ac:dyDescent="0.2">
      <c r="A1397" s="76"/>
      <c r="B1397" s="77"/>
      <c r="C1397" s="78"/>
      <c r="D1397" s="81"/>
      <c r="E1397" s="81"/>
      <c r="F1397" s="79">
        <f t="shared" si="21"/>
        <v>0</v>
      </c>
      <c r="G1397" s="78"/>
    </row>
    <row r="1398" spans="1:7" x14ac:dyDescent="0.2">
      <c r="A1398" s="76"/>
      <c r="B1398" s="77"/>
      <c r="C1398" s="78"/>
      <c r="D1398" s="81"/>
      <c r="E1398" s="81"/>
      <c r="F1398" s="79">
        <f t="shared" si="21"/>
        <v>0</v>
      </c>
      <c r="G1398" s="78"/>
    </row>
    <row r="1399" spans="1:7" x14ac:dyDescent="0.2">
      <c r="A1399" s="76"/>
      <c r="B1399" s="77"/>
      <c r="C1399" s="78"/>
      <c r="D1399" s="81"/>
      <c r="E1399" s="81"/>
      <c r="F1399" s="79">
        <f t="shared" si="21"/>
        <v>0</v>
      </c>
      <c r="G1399" s="80"/>
    </row>
    <row r="1400" spans="1:7" x14ac:dyDescent="0.2">
      <c r="A1400" s="76"/>
      <c r="B1400" s="77"/>
      <c r="C1400" s="78"/>
      <c r="D1400" s="81"/>
      <c r="E1400" s="81"/>
      <c r="F1400" s="79">
        <f t="shared" si="21"/>
        <v>0</v>
      </c>
      <c r="G1400" s="78"/>
    </row>
    <row r="1401" spans="1:7" x14ac:dyDescent="0.2">
      <c r="A1401" s="76"/>
      <c r="B1401" s="77"/>
      <c r="C1401" s="78"/>
      <c r="D1401" s="81"/>
      <c r="E1401" s="81"/>
      <c r="F1401" s="79">
        <f t="shared" si="21"/>
        <v>0</v>
      </c>
      <c r="G1401" s="78"/>
    </row>
    <row r="1402" spans="1:7" x14ac:dyDescent="0.2">
      <c r="A1402" s="76"/>
      <c r="B1402" s="77"/>
      <c r="C1402" s="78"/>
      <c r="D1402" s="81"/>
      <c r="E1402" s="81"/>
      <c r="F1402" s="79">
        <f t="shared" si="21"/>
        <v>0</v>
      </c>
      <c r="G1402" s="78"/>
    </row>
    <row r="1403" spans="1:7" x14ac:dyDescent="0.2">
      <c r="A1403" s="76"/>
      <c r="B1403" s="77"/>
      <c r="C1403" s="78"/>
      <c r="D1403" s="81"/>
      <c r="E1403" s="81"/>
      <c r="F1403" s="79">
        <f t="shared" si="21"/>
        <v>0</v>
      </c>
      <c r="G1403" s="78"/>
    </row>
    <row r="1404" spans="1:7" x14ac:dyDescent="0.2">
      <c r="A1404" s="76"/>
      <c r="B1404" s="77"/>
      <c r="C1404" s="78"/>
      <c r="D1404" s="81"/>
      <c r="E1404" s="81"/>
      <c r="F1404" s="79">
        <f t="shared" si="21"/>
        <v>0</v>
      </c>
      <c r="G1404" s="78"/>
    </row>
    <row r="1405" spans="1:7" x14ac:dyDescent="0.2">
      <c r="A1405" s="76"/>
      <c r="B1405" s="77"/>
      <c r="C1405" s="78"/>
      <c r="D1405" s="81"/>
      <c r="E1405" s="81"/>
      <c r="F1405" s="79">
        <f t="shared" si="21"/>
        <v>0</v>
      </c>
      <c r="G1405" s="78"/>
    </row>
    <row r="1406" spans="1:7" x14ac:dyDescent="0.2">
      <c r="A1406" s="76"/>
      <c r="B1406" s="77"/>
      <c r="C1406" s="78"/>
      <c r="D1406" s="81"/>
      <c r="E1406" s="81"/>
      <c r="F1406" s="79">
        <f t="shared" si="21"/>
        <v>0</v>
      </c>
      <c r="G1406" s="78"/>
    </row>
    <row r="1407" spans="1:7" x14ac:dyDescent="0.2">
      <c r="A1407" s="76"/>
      <c r="B1407" s="77"/>
      <c r="C1407" s="78"/>
      <c r="D1407" s="81"/>
      <c r="E1407" s="81"/>
      <c r="F1407" s="79">
        <f t="shared" si="21"/>
        <v>0</v>
      </c>
      <c r="G1407" s="78"/>
    </row>
    <row r="1408" spans="1:7" x14ac:dyDescent="0.2">
      <c r="A1408" s="76"/>
      <c r="B1408" s="77"/>
      <c r="C1408" s="78"/>
      <c r="D1408" s="81"/>
      <c r="E1408" s="81"/>
      <c r="F1408" s="79">
        <f t="shared" si="21"/>
        <v>0</v>
      </c>
      <c r="G1408" s="78"/>
    </row>
    <row r="1409" spans="1:7" x14ac:dyDescent="0.2">
      <c r="A1409" s="76"/>
      <c r="B1409" s="77"/>
      <c r="C1409" s="78"/>
      <c r="D1409" s="81"/>
      <c r="E1409" s="81"/>
      <c r="F1409" s="79">
        <f t="shared" si="21"/>
        <v>0</v>
      </c>
      <c r="G1409" s="78"/>
    </row>
    <row r="1410" spans="1:7" x14ac:dyDescent="0.2">
      <c r="A1410" s="76"/>
      <c r="B1410" s="77"/>
      <c r="C1410" s="78"/>
      <c r="D1410" s="81"/>
      <c r="E1410" s="81"/>
      <c r="F1410" s="79">
        <f t="shared" si="21"/>
        <v>0</v>
      </c>
      <c r="G1410" s="78"/>
    </row>
    <row r="1411" spans="1:7" x14ac:dyDescent="0.2">
      <c r="A1411" s="76"/>
      <c r="B1411" s="77"/>
      <c r="C1411" s="78"/>
      <c r="D1411" s="81"/>
      <c r="E1411" s="81"/>
      <c r="F1411" s="79">
        <f t="shared" si="21"/>
        <v>0</v>
      </c>
      <c r="G1411" s="78"/>
    </row>
    <row r="1412" spans="1:7" x14ac:dyDescent="0.2">
      <c r="A1412" s="76"/>
      <c r="B1412" s="77"/>
      <c r="C1412" s="78"/>
      <c r="D1412" s="81"/>
      <c r="E1412" s="81"/>
      <c r="F1412" s="79">
        <f t="shared" si="21"/>
        <v>0</v>
      </c>
      <c r="G1412" s="78"/>
    </row>
    <row r="1413" spans="1:7" x14ac:dyDescent="0.2">
      <c r="A1413" s="76"/>
      <c r="B1413" s="77"/>
      <c r="C1413" s="78"/>
      <c r="D1413" s="81"/>
      <c r="E1413" s="81"/>
      <c r="F1413" s="79">
        <f t="shared" si="21"/>
        <v>0</v>
      </c>
      <c r="G1413" s="78"/>
    </row>
    <row r="1414" spans="1:7" x14ac:dyDescent="0.2">
      <c r="A1414" s="76"/>
      <c r="B1414" s="77"/>
      <c r="C1414" s="78"/>
      <c r="D1414" s="81"/>
      <c r="E1414" s="81"/>
      <c r="F1414" s="79">
        <f t="shared" si="21"/>
        <v>0</v>
      </c>
      <c r="G1414" s="78"/>
    </row>
    <row r="1415" spans="1:7" x14ac:dyDescent="0.2">
      <c r="A1415" s="76"/>
      <c r="B1415" s="77"/>
      <c r="C1415" s="78"/>
      <c r="D1415" s="81"/>
      <c r="E1415" s="81"/>
      <c r="F1415" s="79">
        <f t="shared" si="21"/>
        <v>0</v>
      </c>
      <c r="G1415" s="78"/>
    </row>
    <row r="1416" spans="1:7" x14ac:dyDescent="0.2">
      <c r="A1416" s="76"/>
      <c r="B1416" s="77"/>
      <c r="C1416" s="78"/>
      <c r="D1416" s="81"/>
      <c r="E1416" s="81"/>
      <c r="F1416" s="79">
        <f t="shared" si="21"/>
        <v>0</v>
      </c>
      <c r="G1416" s="78"/>
    </row>
    <row r="1417" spans="1:7" x14ac:dyDescent="0.2">
      <c r="A1417" s="76"/>
      <c r="B1417" s="77"/>
      <c r="C1417" s="78"/>
      <c r="D1417" s="81"/>
      <c r="E1417" s="81"/>
      <c r="F1417" s="79">
        <f t="shared" si="21"/>
        <v>0</v>
      </c>
      <c r="G1417" s="78"/>
    </row>
    <row r="1418" spans="1:7" x14ac:dyDescent="0.2">
      <c r="A1418" s="76"/>
      <c r="B1418" s="77"/>
      <c r="C1418" s="78"/>
      <c r="D1418" s="81"/>
      <c r="E1418" s="81"/>
      <c r="F1418" s="79">
        <f t="shared" si="21"/>
        <v>0</v>
      </c>
      <c r="G1418" s="78"/>
    </row>
    <row r="1419" spans="1:7" x14ac:dyDescent="0.2">
      <c r="A1419" s="76"/>
      <c r="B1419" s="77"/>
      <c r="C1419" s="78"/>
      <c r="D1419" s="81"/>
      <c r="E1419" s="81"/>
      <c r="F1419" s="79">
        <f t="shared" si="21"/>
        <v>0</v>
      </c>
      <c r="G1419" s="78"/>
    </row>
    <row r="1420" spans="1:7" x14ac:dyDescent="0.2">
      <c r="A1420" s="76"/>
      <c r="B1420" s="77"/>
      <c r="C1420" s="78"/>
      <c r="D1420" s="81"/>
      <c r="E1420" s="81"/>
      <c r="F1420" s="79">
        <f t="shared" si="21"/>
        <v>0</v>
      </c>
      <c r="G1420" s="78"/>
    </row>
    <row r="1421" spans="1:7" x14ac:dyDescent="0.2">
      <c r="A1421" s="76"/>
      <c r="B1421" s="77"/>
      <c r="C1421" s="78"/>
      <c r="D1421" s="81"/>
      <c r="E1421" s="81"/>
      <c r="F1421" s="79">
        <f t="shared" si="21"/>
        <v>0</v>
      </c>
      <c r="G1421" s="78"/>
    </row>
    <row r="1422" spans="1:7" x14ac:dyDescent="0.2">
      <c r="A1422" s="76"/>
      <c r="B1422" s="77"/>
      <c r="C1422" s="78"/>
      <c r="D1422" s="81"/>
      <c r="E1422" s="81"/>
      <c r="F1422" s="79">
        <f t="shared" ref="F1422:F1485" si="22">E1422-D1422</f>
        <v>0</v>
      </c>
      <c r="G1422" s="78"/>
    </row>
    <row r="1423" spans="1:7" x14ac:dyDescent="0.2">
      <c r="A1423" s="76"/>
      <c r="B1423" s="77"/>
      <c r="C1423" s="78"/>
      <c r="D1423" s="81"/>
      <c r="E1423" s="81"/>
      <c r="F1423" s="79">
        <f t="shared" si="22"/>
        <v>0</v>
      </c>
      <c r="G1423" s="78"/>
    </row>
    <row r="1424" spans="1:7" x14ac:dyDescent="0.2">
      <c r="A1424" s="76"/>
      <c r="B1424" s="77"/>
      <c r="C1424" s="78"/>
      <c r="D1424" s="81"/>
      <c r="E1424" s="81"/>
      <c r="F1424" s="79">
        <f t="shared" si="22"/>
        <v>0</v>
      </c>
      <c r="G1424" s="78"/>
    </row>
    <row r="1425" spans="1:7" x14ac:dyDescent="0.2">
      <c r="A1425" s="76"/>
      <c r="B1425" s="77"/>
      <c r="C1425" s="78"/>
      <c r="D1425" s="81"/>
      <c r="E1425" s="81"/>
      <c r="F1425" s="79">
        <f t="shared" si="22"/>
        <v>0</v>
      </c>
      <c r="G1425" s="78"/>
    </row>
    <row r="1426" spans="1:7" x14ac:dyDescent="0.2">
      <c r="A1426" s="76"/>
      <c r="B1426" s="77"/>
      <c r="C1426" s="78"/>
      <c r="D1426" s="81"/>
      <c r="E1426" s="81"/>
      <c r="F1426" s="79">
        <f t="shared" si="22"/>
        <v>0</v>
      </c>
      <c r="G1426" s="78"/>
    </row>
    <row r="1427" spans="1:7" x14ac:dyDescent="0.2">
      <c r="A1427" s="76"/>
      <c r="B1427" s="77"/>
      <c r="C1427" s="78"/>
      <c r="D1427" s="81"/>
      <c r="E1427" s="81"/>
      <c r="F1427" s="79">
        <f t="shared" si="22"/>
        <v>0</v>
      </c>
      <c r="G1427" s="78"/>
    </row>
    <row r="1428" spans="1:7" x14ac:dyDescent="0.2">
      <c r="A1428" s="76"/>
      <c r="B1428" s="77"/>
      <c r="C1428" s="78"/>
      <c r="D1428" s="81"/>
      <c r="E1428" s="81"/>
      <c r="F1428" s="79">
        <f t="shared" si="22"/>
        <v>0</v>
      </c>
      <c r="G1428" s="78"/>
    </row>
    <row r="1429" spans="1:7" x14ac:dyDescent="0.2">
      <c r="A1429" s="76"/>
      <c r="B1429" s="77"/>
      <c r="C1429" s="78"/>
      <c r="D1429" s="81"/>
      <c r="E1429" s="81"/>
      <c r="F1429" s="79">
        <f t="shared" si="22"/>
        <v>0</v>
      </c>
      <c r="G1429" s="78"/>
    </row>
    <row r="1430" spans="1:7" x14ac:dyDescent="0.2">
      <c r="A1430" s="76"/>
      <c r="B1430" s="77"/>
      <c r="C1430" s="78"/>
      <c r="D1430" s="81"/>
      <c r="E1430" s="81"/>
      <c r="F1430" s="79">
        <f t="shared" si="22"/>
        <v>0</v>
      </c>
      <c r="G1430" s="78"/>
    </row>
    <row r="1431" spans="1:7" x14ac:dyDescent="0.2">
      <c r="A1431" s="76"/>
      <c r="B1431" s="77"/>
      <c r="C1431" s="78"/>
      <c r="D1431" s="81"/>
      <c r="E1431" s="81"/>
      <c r="F1431" s="79">
        <f t="shared" si="22"/>
        <v>0</v>
      </c>
      <c r="G1431" s="78"/>
    </row>
    <row r="1432" spans="1:7" x14ac:dyDescent="0.2">
      <c r="A1432" s="76"/>
      <c r="B1432" s="77"/>
      <c r="C1432" s="78"/>
      <c r="D1432" s="81"/>
      <c r="E1432" s="81"/>
      <c r="F1432" s="79">
        <f t="shared" si="22"/>
        <v>0</v>
      </c>
      <c r="G1432" s="78"/>
    </row>
    <row r="1433" spans="1:7" x14ac:dyDescent="0.2">
      <c r="A1433" s="76"/>
      <c r="B1433" s="77"/>
      <c r="C1433" s="78"/>
      <c r="D1433" s="81"/>
      <c r="E1433" s="81"/>
      <c r="F1433" s="79">
        <f t="shared" si="22"/>
        <v>0</v>
      </c>
      <c r="G1433" s="78"/>
    </row>
    <row r="1434" spans="1:7" x14ac:dyDescent="0.2">
      <c r="A1434" s="76"/>
      <c r="B1434" s="77"/>
      <c r="C1434" s="78"/>
      <c r="D1434" s="81"/>
      <c r="E1434" s="81"/>
      <c r="F1434" s="79">
        <f t="shared" si="22"/>
        <v>0</v>
      </c>
      <c r="G1434" s="78"/>
    </row>
    <row r="1435" spans="1:7" x14ac:dyDescent="0.2">
      <c r="A1435" s="76"/>
      <c r="B1435" s="77"/>
      <c r="C1435" s="78"/>
      <c r="D1435" s="81"/>
      <c r="E1435" s="81"/>
      <c r="F1435" s="79">
        <f t="shared" si="22"/>
        <v>0</v>
      </c>
      <c r="G1435" s="78"/>
    </row>
    <row r="1436" spans="1:7" x14ac:dyDescent="0.2">
      <c r="A1436" s="76"/>
      <c r="B1436" s="77"/>
      <c r="C1436" s="78"/>
      <c r="D1436" s="81"/>
      <c r="E1436" s="81"/>
      <c r="F1436" s="79">
        <f t="shared" si="22"/>
        <v>0</v>
      </c>
      <c r="G1436" s="80" t="s">
        <v>68</v>
      </c>
    </row>
    <row r="1437" spans="1:7" x14ac:dyDescent="0.2">
      <c r="A1437" s="76"/>
      <c r="B1437" s="77"/>
      <c r="C1437" s="78"/>
      <c r="D1437" s="81"/>
      <c r="E1437" s="81"/>
      <c r="F1437" s="79">
        <f t="shared" si="22"/>
        <v>0</v>
      </c>
      <c r="G1437" s="78"/>
    </row>
    <row r="1438" spans="1:7" x14ac:dyDescent="0.2">
      <c r="A1438" s="76"/>
      <c r="B1438" s="77"/>
      <c r="C1438" s="78"/>
      <c r="D1438" s="81"/>
      <c r="E1438" s="81"/>
      <c r="F1438" s="79">
        <f t="shared" si="22"/>
        <v>0</v>
      </c>
      <c r="G1438" s="78"/>
    </row>
    <row r="1439" spans="1:7" x14ac:dyDescent="0.2">
      <c r="A1439" s="76"/>
      <c r="B1439" s="77"/>
      <c r="C1439" s="78"/>
      <c r="D1439" s="81"/>
      <c r="E1439" s="81"/>
      <c r="F1439" s="79">
        <f t="shared" si="22"/>
        <v>0</v>
      </c>
      <c r="G1439" s="78"/>
    </row>
    <row r="1440" spans="1:7" x14ac:dyDescent="0.2">
      <c r="A1440" s="76"/>
      <c r="B1440" s="77"/>
      <c r="C1440" s="78"/>
      <c r="D1440" s="81"/>
      <c r="E1440" s="81"/>
      <c r="F1440" s="79">
        <f t="shared" si="22"/>
        <v>0</v>
      </c>
      <c r="G1440" s="78"/>
    </row>
    <row r="1441" spans="1:7" x14ac:dyDescent="0.2">
      <c r="A1441" s="76"/>
      <c r="B1441" s="77"/>
      <c r="C1441" s="78"/>
      <c r="D1441" s="81"/>
      <c r="E1441" s="81"/>
      <c r="F1441" s="79">
        <f t="shared" si="22"/>
        <v>0</v>
      </c>
      <c r="G1441" s="78"/>
    </row>
    <row r="1442" spans="1:7" x14ac:dyDescent="0.2">
      <c r="A1442" s="76"/>
      <c r="B1442" s="77"/>
      <c r="C1442" s="78"/>
      <c r="D1442" s="81"/>
      <c r="E1442" s="81"/>
      <c r="F1442" s="79">
        <f t="shared" si="22"/>
        <v>0</v>
      </c>
      <c r="G1442" s="78"/>
    </row>
    <row r="1443" spans="1:7" x14ac:dyDescent="0.2">
      <c r="A1443" s="76"/>
      <c r="B1443" s="77"/>
      <c r="C1443" s="78"/>
      <c r="D1443" s="81"/>
      <c r="E1443" s="81"/>
      <c r="F1443" s="79">
        <f t="shared" si="22"/>
        <v>0</v>
      </c>
      <c r="G1443" s="78"/>
    </row>
    <row r="1444" spans="1:7" x14ac:dyDescent="0.2">
      <c r="A1444" s="76"/>
      <c r="B1444" s="77"/>
      <c r="C1444" s="78"/>
      <c r="D1444" s="81"/>
      <c r="E1444" s="81"/>
      <c r="F1444" s="79">
        <f t="shared" si="22"/>
        <v>0</v>
      </c>
      <c r="G1444" s="78"/>
    </row>
    <row r="1445" spans="1:7" x14ac:dyDescent="0.2">
      <c r="A1445" s="76"/>
      <c r="B1445" s="77"/>
      <c r="C1445" s="78"/>
      <c r="D1445" s="81"/>
      <c r="E1445" s="81"/>
      <c r="F1445" s="79">
        <f t="shared" si="22"/>
        <v>0</v>
      </c>
      <c r="G1445" s="78"/>
    </row>
    <row r="1446" spans="1:7" x14ac:dyDescent="0.2">
      <c r="A1446" s="76"/>
      <c r="B1446" s="77"/>
      <c r="C1446" s="78"/>
      <c r="D1446" s="81"/>
      <c r="E1446" s="81"/>
      <c r="F1446" s="79">
        <f t="shared" si="22"/>
        <v>0</v>
      </c>
      <c r="G1446" s="78"/>
    </row>
    <row r="1447" spans="1:7" x14ac:dyDescent="0.2">
      <c r="A1447" s="76"/>
      <c r="B1447" s="77"/>
      <c r="C1447" s="78"/>
      <c r="D1447" s="81"/>
      <c r="E1447" s="81"/>
      <c r="F1447" s="79">
        <f t="shared" si="22"/>
        <v>0</v>
      </c>
      <c r="G1447" s="78"/>
    </row>
    <row r="1448" spans="1:7" x14ac:dyDescent="0.2">
      <c r="A1448" s="76"/>
      <c r="B1448" s="77"/>
      <c r="C1448" s="78"/>
      <c r="D1448" s="81"/>
      <c r="E1448" s="81"/>
      <c r="F1448" s="79">
        <f t="shared" si="22"/>
        <v>0</v>
      </c>
      <c r="G1448" s="78"/>
    </row>
    <row r="1449" spans="1:7" x14ac:dyDescent="0.2">
      <c r="A1449" s="76"/>
      <c r="B1449" s="77"/>
      <c r="C1449" s="78"/>
      <c r="D1449" s="81"/>
      <c r="E1449" s="81"/>
      <c r="F1449" s="79">
        <f t="shared" si="22"/>
        <v>0</v>
      </c>
      <c r="G1449" s="78"/>
    </row>
    <row r="1450" spans="1:7" x14ac:dyDescent="0.2">
      <c r="A1450" s="76"/>
      <c r="B1450" s="77"/>
      <c r="C1450" s="78"/>
      <c r="D1450" s="81"/>
      <c r="E1450" s="81"/>
      <c r="F1450" s="79">
        <f t="shared" si="22"/>
        <v>0</v>
      </c>
      <c r="G1450" s="80"/>
    </row>
    <row r="1451" spans="1:7" x14ac:dyDescent="0.2">
      <c r="A1451" s="76"/>
      <c r="B1451" s="77"/>
      <c r="C1451" s="78"/>
      <c r="D1451" s="81"/>
      <c r="E1451" s="81"/>
      <c r="F1451" s="79">
        <f t="shared" si="22"/>
        <v>0</v>
      </c>
      <c r="G1451" s="78"/>
    </row>
    <row r="1452" spans="1:7" x14ac:dyDescent="0.2">
      <c r="A1452" s="76"/>
      <c r="B1452" s="77"/>
      <c r="C1452" s="78"/>
      <c r="D1452" s="81"/>
      <c r="E1452" s="81"/>
      <c r="F1452" s="79">
        <f t="shared" si="22"/>
        <v>0</v>
      </c>
      <c r="G1452" s="78"/>
    </row>
    <row r="1453" spans="1:7" x14ac:dyDescent="0.2">
      <c r="A1453" s="76"/>
      <c r="B1453" s="77"/>
      <c r="C1453" s="78"/>
      <c r="D1453" s="81"/>
      <c r="E1453" s="81"/>
      <c r="F1453" s="79">
        <f t="shared" si="22"/>
        <v>0</v>
      </c>
      <c r="G1453" s="78"/>
    </row>
    <row r="1454" spans="1:7" x14ac:dyDescent="0.2">
      <c r="A1454" s="76"/>
      <c r="B1454" s="77"/>
      <c r="C1454" s="78"/>
      <c r="D1454" s="81"/>
      <c r="E1454" s="81"/>
      <c r="F1454" s="79">
        <f t="shared" si="22"/>
        <v>0</v>
      </c>
      <c r="G1454" s="78"/>
    </row>
    <row r="1455" spans="1:7" x14ac:dyDescent="0.2">
      <c r="A1455" s="76"/>
      <c r="B1455" s="77"/>
      <c r="C1455" s="78"/>
      <c r="D1455" s="81"/>
      <c r="E1455" s="81"/>
      <c r="F1455" s="79">
        <f t="shared" si="22"/>
        <v>0</v>
      </c>
      <c r="G1455" s="78"/>
    </row>
    <row r="1456" spans="1:7" x14ac:dyDescent="0.2">
      <c r="A1456" s="76"/>
      <c r="B1456" s="77"/>
      <c r="C1456" s="78"/>
      <c r="D1456" s="81"/>
      <c r="E1456" s="81"/>
      <c r="F1456" s="79">
        <f t="shared" si="22"/>
        <v>0</v>
      </c>
      <c r="G1456" s="78"/>
    </row>
    <row r="1457" spans="1:7" x14ac:dyDescent="0.2">
      <c r="A1457" s="76"/>
      <c r="B1457" s="77"/>
      <c r="C1457" s="78"/>
      <c r="D1457" s="81"/>
      <c r="E1457" s="81"/>
      <c r="F1457" s="79">
        <f t="shared" si="22"/>
        <v>0</v>
      </c>
      <c r="G1457" s="78"/>
    </row>
    <row r="1458" spans="1:7" x14ac:dyDescent="0.2">
      <c r="A1458" s="76"/>
      <c r="B1458" s="77"/>
      <c r="C1458" s="78"/>
      <c r="D1458" s="81"/>
      <c r="E1458" s="81"/>
      <c r="F1458" s="79">
        <f t="shared" si="22"/>
        <v>0</v>
      </c>
      <c r="G1458" s="78"/>
    </row>
    <row r="1459" spans="1:7" x14ac:dyDescent="0.2">
      <c r="A1459" s="76"/>
      <c r="B1459" s="77"/>
      <c r="C1459" s="78"/>
      <c r="D1459" s="81"/>
      <c r="E1459" s="81"/>
      <c r="F1459" s="79">
        <f t="shared" si="22"/>
        <v>0</v>
      </c>
      <c r="G1459" s="78"/>
    </row>
    <row r="1460" spans="1:7" x14ac:dyDescent="0.2">
      <c r="A1460" s="76"/>
      <c r="B1460" s="77"/>
      <c r="C1460" s="78"/>
      <c r="D1460" s="81"/>
      <c r="E1460" s="81"/>
      <c r="F1460" s="79">
        <f t="shared" si="22"/>
        <v>0</v>
      </c>
      <c r="G1460" s="78"/>
    </row>
    <row r="1461" spans="1:7" x14ac:dyDescent="0.2">
      <c r="A1461" s="76"/>
      <c r="B1461" s="77"/>
      <c r="C1461" s="78"/>
      <c r="D1461" s="81"/>
      <c r="E1461" s="81"/>
      <c r="F1461" s="79">
        <f t="shared" si="22"/>
        <v>0</v>
      </c>
      <c r="G1461" s="78"/>
    </row>
    <row r="1462" spans="1:7" x14ac:dyDescent="0.2">
      <c r="A1462" s="76"/>
      <c r="B1462" s="77"/>
      <c r="C1462" s="78"/>
      <c r="D1462" s="81"/>
      <c r="E1462" s="81"/>
      <c r="F1462" s="79">
        <f t="shared" si="22"/>
        <v>0</v>
      </c>
      <c r="G1462" s="80"/>
    </row>
    <row r="1463" spans="1:7" x14ac:dyDescent="0.2">
      <c r="A1463" s="76"/>
      <c r="B1463" s="77"/>
      <c r="C1463" s="78"/>
      <c r="D1463" s="81"/>
      <c r="E1463" s="81"/>
      <c r="F1463" s="79">
        <f t="shared" si="22"/>
        <v>0</v>
      </c>
      <c r="G1463" s="80"/>
    </row>
    <row r="1464" spans="1:7" x14ac:dyDescent="0.2">
      <c r="A1464" s="76"/>
      <c r="B1464" s="77"/>
      <c r="C1464" s="78"/>
      <c r="D1464" s="81"/>
      <c r="E1464" s="81"/>
      <c r="F1464" s="79">
        <f t="shared" si="22"/>
        <v>0</v>
      </c>
      <c r="G1464" s="80"/>
    </row>
    <row r="1465" spans="1:7" x14ac:dyDescent="0.2">
      <c r="A1465" s="76"/>
      <c r="B1465" s="77"/>
      <c r="C1465" s="78"/>
      <c r="D1465" s="81"/>
      <c r="E1465" s="81"/>
      <c r="F1465" s="79">
        <f t="shared" si="22"/>
        <v>0</v>
      </c>
      <c r="G1465" s="80"/>
    </row>
    <row r="1466" spans="1:7" x14ac:dyDescent="0.2">
      <c r="A1466" s="76"/>
      <c r="B1466" s="77"/>
      <c r="C1466" s="78"/>
      <c r="D1466" s="81"/>
      <c r="E1466" s="81"/>
      <c r="F1466" s="79">
        <f t="shared" si="22"/>
        <v>0</v>
      </c>
      <c r="G1466" s="80"/>
    </row>
    <row r="1467" spans="1:7" x14ac:dyDescent="0.2">
      <c r="A1467" s="76"/>
      <c r="B1467" s="77"/>
      <c r="C1467" s="78"/>
      <c r="D1467" s="81"/>
      <c r="E1467" s="81"/>
      <c r="F1467" s="79">
        <f t="shared" si="22"/>
        <v>0</v>
      </c>
      <c r="G1467" s="78"/>
    </row>
    <row r="1468" spans="1:7" x14ac:dyDescent="0.2">
      <c r="A1468" s="76"/>
      <c r="B1468" s="77"/>
      <c r="C1468" s="78"/>
      <c r="D1468" s="81"/>
      <c r="E1468" s="81"/>
      <c r="F1468" s="79">
        <f t="shared" si="22"/>
        <v>0</v>
      </c>
      <c r="G1468" s="80"/>
    </row>
    <row r="1469" spans="1:7" x14ac:dyDescent="0.2">
      <c r="A1469" s="76"/>
      <c r="B1469" s="77"/>
      <c r="C1469" s="78"/>
      <c r="D1469" s="81"/>
      <c r="E1469" s="81"/>
      <c r="F1469" s="79">
        <f t="shared" si="22"/>
        <v>0</v>
      </c>
      <c r="G1469" s="78"/>
    </row>
    <row r="1470" spans="1:7" x14ac:dyDescent="0.2">
      <c r="A1470" s="76"/>
      <c r="B1470" s="77"/>
      <c r="C1470" s="78"/>
      <c r="D1470" s="81"/>
      <c r="E1470" s="81"/>
      <c r="F1470" s="79">
        <f t="shared" si="22"/>
        <v>0</v>
      </c>
      <c r="G1470" s="78"/>
    </row>
    <row r="1471" spans="1:7" x14ac:dyDescent="0.2">
      <c r="A1471" s="76"/>
      <c r="B1471" s="77"/>
      <c r="C1471" s="78"/>
      <c r="D1471" s="81"/>
      <c r="E1471" s="81"/>
      <c r="F1471" s="79">
        <f t="shared" si="22"/>
        <v>0</v>
      </c>
      <c r="G1471" s="78"/>
    </row>
    <row r="1472" spans="1:7" x14ac:dyDescent="0.2">
      <c r="A1472" s="76"/>
      <c r="B1472" s="77"/>
      <c r="C1472" s="78"/>
      <c r="D1472" s="81"/>
      <c r="E1472" s="81"/>
      <c r="F1472" s="79">
        <f t="shared" si="22"/>
        <v>0</v>
      </c>
      <c r="G1472" s="78"/>
    </row>
    <row r="1473" spans="1:7" x14ac:dyDescent="0.2">
      <c r="A1473" s="76"/>
      <c r="B1473" s="77"/>
      <c r="C1473" s="78"/>
      <c r="D1473" s="81"/>
      <c r="E1473" s="81"/>
      <c r="F1473" s="79">
        <f t="shared" si="22"/>
        <v>0</v>
      </c>
      <c r="G1473" s="78"/>
    </row>
    <row r="1474" spans="1:7" x14ac:dyDescent="0.2">
      <c r="A1474" s="76"/>
      <c r="B1474" s="77"/>
      <c r="C1474" s="78"/>
      <c r="D1474" s="81"/>
      <c r="E1474" s="81"/>
      <c r="F1474" s="79">
        <f t="shared" si="22"/>
        <v>0</v>
      </c>
      <c r="G1474" s="78"/>
    </row>
    <row r="1475" spans="1:7" x14ac:dyDescent="0.2">
      <c r="A1475" s="76"/>
      <c r="B1475" s="77"/>
      <c r="C1475" s="78"/>
      <c r="D1475" s="81"/>
      <c r="E1475" s="81"/>
      <c r="F1475" s="79">
        <f t="shared" si="22"/>
        <v>0</v>
      </c>
      <c r="G1475" s="80"/>
    </row>
    <row r="1476" spans="1:7" x14ac:dyDescent="0.2">
      <c r="A1476" s="76"/>
      <c r="B1476" s="77"/>
      <c r="C1476" s="78"/>
      <c r="D1476" s="81"/>
      <c r="E1476" s="81"/>
      <c r="F1476" s="79">
        <f t="shared" si="22"/>
        <v>0</v>
      </c>
      <c r="G1476" s="78"/>
    </row>
    <row r="1477" spans="1:7" x14ac:dyDescent="0.2">
      <c r="A1477" s="76"/>
      <c r="B1477" s="77"/>
      <c r="C1477" s="78"/>
      <c r="D1477" s="81"/>
      <c r="E1477" s="81"/>
      <c r="F1477" s="79">
        <f t="shared" si="22"/>
        <v>0</v>
      </c>
      <c r="G1477" s="78"/>
    </row>
    <row r="1478" spans="1:7" x14ac:dyDescent="0.2">
      <c r="A1478" s="76"/>
      <c r="B1478" s="77"/>
      <c r="C1478" s="78"/>
      <c r="D1478" s="81"/>
      <c r="E1478" s="81"/>
      <c r="F1478" s="79">
        <f t="shared" si="22"/>
        <v>0</v>
      </c>
      <c r="G1478" s="78"/>
    </row>
    <row r="1479" spans="1:7" x14ac:dyDescent="0.2">
      <c r="A1479" s="76"/>
      <c r="B1479" s="77"/>
      <c r="C1479" s="78"/>
      <c r="D1479" s="81"/>
      <c r="E1479" s="81"/>
      <c r="F1479" s="79">
        <f t="shared" si="22"/>
        <v>0</v>
      </c>
      <c r="G1479" s="78"/>
    </row>
    <row r="1480" spans="1:7" x14ac:dyDescent="0.2">
      <c r="A1480" s="76"/>
      <c r="B1480" s="77"/>
      <c r="C1480" s="78"/>
      <c r="D1480" s="81"/>
      <c r="E1480" s="81"/>
      <c r="F1480" s="79">
        <f t="shared" si="22"/>
        <v>0</v>
      </c>
      <c r="G1480" s="78"/>
    </row>
    <row r="1481" spans="1:7" x14ac:dyDescent="0.2">
      <c r="A1481" s="76"/>
      <c r="B1481" s="77"/>
      <c r="C1481" s="78"/>
      <c r="D1481" s="81"/>
      <c r="E1481" s="81"/>
      <c r="F1481" s="79">
        <f t="shared" si="22"/>
        <v>0</v>
      </c>
      <c r="G1481" s="80"/>
    </row>
    <row r="1482" spans="1:7" x14ac:dyDescent="0.2">
      <c r="A1482" s="76"/>
      <c r="B1482" s="77"/>
      <c r="C1482" s="78"/>
      <c r="D1482" s="81"/>
      <c r="E1482" s="81"/>
      <c r="F1482" s="79">
        <f t="shared" si="22"/>
        <v>0</v>
      </c>
      <c r="G1482" s="80"/>
    </row>
    <row r="1483" spans="1:7" x14ac:dyDescent="0.2">
      <c r="A1483" s="76"/>
      <c r="B1483" s="77"/>
      <c r="C1483" s="78"/>
      <c r="D1483" s="81"/>
      <c r="E1483" s="81"/>
      <c r="F1483" s="79">
        <f t="shared" si="22"/>
        <v>0</v>
      </c>
      <c r="G1483" s="80"/>
    </row>
    <row r="1484" spans="1:7" x14ac:dyDescent="0.2">
      <c r="A1484" s="76"/>
      <c r="B1484" s="77"/>
      <c r="C1484" s="78"/>
      <c r="D1484" s="81"/>
      <c r="E1484" s="81"/>
      <c r="F1484" s="79">
        <f t="shared" si="22"/>
        <v>0</v>
      </c>
      <c r="G1484" s="80"/>
    </row>
    <row r="1485" spans="1:7" x14ac:dyDescent="0.2">
      <c r="A1485" s="76"/>
      <c r="B1485" s="77"/>
      <c r="C1485" s="78"/>
      <c r="D1485" s="81"/>
      <c r="E1485" s="81"/>
      <c r="F1485" s="79">
        <f t="shared" si="22"/>
        <v>0</v>
      </c>
      <c r="G1485" s="80"/>
    </row>
    <row r="1486" spans="1:7" x14ac:dyDescent="0.2">
      <c r="A1486" s="76"/>
      <c r="B1486" s="77"/>
      <c r="C1486" s="78"/>
      <c r="D1486" s="81"/>
      <c r="E1486" s="81"/>
      <c r="F1486" s="79">
        <f t="shared" ref="F1486:F1549" si="23">E1486-D1486</f>
        <v>0</v>
      </c>
      <c r="G1486" s="80"/>
    </row>
    <row r="1487" spans="1:7" x14ac:dyDescent="0.2">
      <c r="A1487" s="76"/>
      <c r="B1487" s="77"/>
      <c r="C1487" s="78"/>
      <c r="D1487" s="81"/>
      <c r="E1487" s="81"/>
      <c r="F1487" s="79">
        <f t="shared" si="23"/>
        <v>0</v>
      </c>
      <c r="G1487" s="80"/>
    </row>
    <row r="1488" spans="1:7" x14ac:dyDescent="0.2">
      <c r="A1488" s="76"/>
      <c r="B1488" s="77"/>
      <c r="C1488" s="78"/>
      <c r="D1488" s="81"/>
      <c r="E1488" s="81"/>
      <c r="F1488" s="79">
        <f t="shared" si="23"/>
        <v>0</v>
      </c>
      <c r="G1488" s="80"/>
    </row>
    <row r="1489" spans="1:7" x14ac:dyDescent="0.2">
      <c r="A1489" s="76"/>
      <c r="B1489" s="77"/>
      <c r="C1489" s="78"/>
      <c r="D1489" s="81"/>
      <c r="E1489" s="81"/>
      <c r="F1489" s="79">
        <f t="shared" si="23"/>
        <v>0</v>
      </c>
      <c r="G1489" s="80"/>
    </row>
    <row r="1490" spans="1:7" x14ac:dyDescent="0.2">
      <c r="A1490" s="76"/>
      <c r="B1490" s="77"/>
      <c r="C1490" s="78"/>
      <c r="D1490" s="81"/>
      <c r="E1490" s="81"/>
      <c r="F1490" s="79">
        <f t="shared" si="23"/>
        <v>0</v>
      </c>
      <c r="G1490" s="80"/>
    </row>
    <row r="1491" spans="1:7" x14ac:dyDescent="0.2">
      <c r="A1491" s="76"/>
      <c r="B1491" s="77"/>
      <c r="C1491" s="78"/>
      <c r="D1491" s="81"/>
      <c r="E1491" s="81"/>
      <c r="F1491" s="79">
        <f t="shared" si="23"/>
        <v>0</v>
      </c>
      <c r="G1491" s="80"/>
    </row>
    <row r="1492" spans="1:7" x14ac:dyDescent="0.2">
      <c r="A1492" s="76"/>
      <c r="B1492" s="77"/>
      <c r="C1492" s="78"/>
      <c r="D1492" s="81"/>
      <c r="E1492" s="81"/>
      <c r="F1492" s="79">
        <f t="shared" si="23"/>
        <v>0</v>
      </c>
      <c r="G1492" s="80"/>
    </row>
    <row r="1493" spans="1:7" x14ac:dyDescent="0.2">
      <c r="A1493" s="76"/>
      <c r="B1493" s="77"/>
      <c r="C1493" s="78"/>
      <c r="D1493" s="81"/>
      <c r="E1493" s="81"/>
      <c r="F1493" s="79">
        <f t="shared" si="23"/>
        <v>0</v>
      </c>
      <c r="G1493" s="80"/>
    </row>
    <row r="1494" spans="1:7" x14ac:dyDescent="0.2">
      <c r="A1494" s="76"/>
      <c r="B1494" s="77"/>
      <c r="C1494" s="78"/>
      <c r="D1494" s="81"/>
      <c r="E1494" s="81"/>
      <c r="F1494" s="79">
        <f t="shared" si="23"/>
        <v>0</v>
      </c>
      <c r="G1494" s="80"/>
    </row>
    <row r="1495" spans="1:7" x14ac:dyDescent="0.2">
      <c r="A1495" s="76"/>
      <c r="B1495" s="77"/>
      <c r="C1495" s="78"/>
      <c r="D1495" s="81"/>
      <c r="E1495" s="81"/>
      <c r="F1495" s="79">
        <f t="shared" si="23"/>
        <v>0</v>
      </c>
      <c r="G1495" s="80"/>
    </row>
    <row r="1496" spans="1:7" x14ac:dyDescent="0.2">
      <c r="A1496" s="76"/>
      <c r="B1496" s="77"/>
      <c r="C1496" s="78"/>
      <c r="D1496" s="81"/>
      <c r="E1496" s="81"/>
      <c r="F1496" s="79">
        <f t="shared" si="23"/>
        <v>0</v>
      </c>
      <c r="G1496" s="80"/>
    </row>
    <row r="1497" spans="1:7" x14ac:dyDescent="0.2">
      <c r="A1497" s="76"/>
      <c r="B1497" s="77"/>
      <c r="C1497" s="78"/>
      <c r="D1497" s="81"/>
      <c r="E1497" s="81"/>
      <c r="F1497" s="79">
        <f t="shared" si="23"/>
        <v>0</v>
      </c>
      <c r="G1497" s="80"/>
    </row>
    <row r="1498" spans="1:7" x14ac:dyDescent="0.2">
      <c r="A1498" s="76"/>
      <c r="B1498" s="77"/>
      <c r="C1498" s="78"/>
      <c r="D1498" s="81"/>
      <c r="E1498" s="81"/>
      <c r="F1498" s="79">
        <f t="shared" si="23"/>
        <v>0</v>
      </c>
      <c r="G1498" s="80"/>
    </row>
    <row r="1499" spans="1:7" x14ac:dyDescent="0.2">
      <c r="A1499" s="76"/>
      <c r="B1499" s="77"/>
      <c r="C1499" s="78"/>
      <c r="D1499" s="81"/>
      <c r="E1499" s="81"/>
      <c r="F1499" s="79">
        <f t="shared" si="23"/>
        <v>0</v>
      </c>
      <c r="G1499" s="80" t="s">
        <v>69</v>
      </c>
    </row>
    <row r="1500" spans="1:7" x14ac:dyDescent="0.2">
      <c r="A1500" s="76"/>
      <c r="B1500" s="77"/>
      <c r="C1500" s="78"/>
      <c r="D1500" s="81"/>
      <c r="E1500" s="81"/>
      <c r="F1500" s="79">
        <f t="shared" si="23"/>
        <v>0</v>
      </c>
      <c r="G1500" s="80"/>
    </row>
    <row r="1501" spans="1:7" x14ac:dyDescent="0.2">
      <c r="A1501" s="76"/>
      <c r="B1501" s="77"/>
      <c r="C1501" s="78"/>
      <c r="D1501" s="81"/>
      <c r="E1501" s="81"/>
      <c r="F1501" s="79">
        <f t="shared" si="23"/>
        <v>0</v>
      </c>
      <c r="G1501" s="80"/>
    </row>
    <row r="1502" spans="1:7" x14ac:dyDescent="0.2">
      <c r="A1502" s="76"/>
      <c r="B1502" s="77"/>
      <c r="C1502" s="78"/>
      <c r="D1502" s="81"/>
      <c r="E1502" s="81"/>
      <c r="F1502" s="79">
        <f t="shared" si="23"/>
        <v>0</v>
      </c>
      <c r="G1502" s="80"/>
    </row>
    <row r="1503" spans="1:7" x14ac:dyDescent="0.2">
      <c r="A1503" s="76"/>
      <c r="B1503" s="77"/>
      <c r="C1503" s="78"/>
      <c r="D1503" s="81"/>
      <c r="E1503" s="81"/>
      <c r="F1503" s="79">
        <f t="shared" si="23"/>
        <v>0</v>
      </c>
      <c r="G1503" s="80"/>
    </row>
    <row r="1504" spans="1:7" x14ac:dyDescent="0.2">
      <c r="A1504" s="76"/>
      <c r="B1504" s="77"/>
      <c r="C1504" s="78"/>
      <c r="D1504" s="81"/>
      <c r="E1504" s="81"/>
      <c r="F1504" s="79">
        <f t="shared" si="23"/>
        <v>0</v>
      </c>
      <c r="G1504" s="80"/>
    </row>
    <row r="1505" spans="1:7" x14ac:dyDescent="0.2">
      <c r="A1505" s="76"/>
      <c r="B1505" s="77"/>
      <c r="C1505" s="78"/>
      <c r="D1505" s="81"/>
      <c r="E1505" s="81"/>
      <c r="F1505" s="79">
        <f t="shared" si="23"/>
        <v>0</v>
      </c>
      <c r="G1505" s="80"/>
    </row>
    <row r="1506" spans="1:7" x14ac:dyDescent="0.2">
      <c r="A1506" s="76"/>
      <c r="B1506" s="77"/>
      <c r="C1506" s="78"/>
      <c r="D1506" s="81"/>
      <c r="E1506" s="81"/>
      <c r="F1506" s="79">
        <f t="shared" si="23"/>
        <v>0</v>
      </c>
      <c r="G1506" s="80"/>
    </row>
    <row r="1507" spans="1:7" x14ac:dyDescent="0.2">
      <c r="A1507" s="76"/>
      <c r="B1507" s="77"/>
      <c r="C1507" s="78"/>
      <c r="D1507" s="81"/>
      <c r="E1507" s="81"/>
      <c r="F1507" s="79">
        <f t="shared" si="23"/>
        <v>0</v>
      </c>
      <c r="G1507" s="80"/>
    </row>
    <row r="1508" spans="1:7" x14ac:dyDescent="0.2">
      <c r="A1508" s="76"/>
      <c r="B1508" s="77"/>
      <c r="C1508" s="78"/>
      <c r="D1508" s="81"/>
      <c r="E1508" s="81"/>
      <c r="F1508" s="79">
        <f t="shared" si="23"/>
        <v>0</v>
      </c>
      <c r="G1508" s="80"/>
    </row>
    <row r="1509" spans="1:7" x14ac:dyDescent="0.2">
      <c r="A1509" s="76"/>
      <c r="B1509" s="77"/>
      <c r="C1509" s="78"/>
      <c r="D1509" s="81"/>
      <c r="E1509" s="81"/>
      <c r="F1509" s="79">
        <f t="shared" si="23"/>
        <v>0</v>
      </c>
      <c r="G1509" s="80"/>
    </row>
    <row r="1510" spans="1:7" x14ac:dyDescent="0.2">
      <c r="A1510" s="76"/>
      <c r="B1510" s="77"/>
      <c r="C1510" s="78"/>
      <c r="D1510" s="81"/>
      <c r="E1510" s="81"/>
      <c r="F1510" s="79">
        <f t="shared" si="23"/>
        <v>0</v>
      </c>
      <c r="G1510" s="80"/>
    </row>
    <row r="1511" spans="1:7" x14ac:dyDescent="0.2">
      <c r="A1511" s="76"/>
      <c r="B1511" s="77"/>
      <c r="C1511" s="78"/>
      <c r="D1511" s="81"/>
      <c r="E1511" s="81"/>
      <c r="F1511" s="79">
        <f t="shared" si="23"/>
        <v>0</v>
      </c>
      <c r="G1511" s="80"/>
    </row>
    <row r="1512" spans="1:7" x14ac:dyDescent="0.2">
      <c r="A1512" s="76"/>
      <c r="B1512" s="77"/>
      <c r="C1512" s="78"/>
      <c r="D1512" s="81"/>
      <c r="E1512" s="81"/>
      <c r="F1512" s="79">
        <f t="shared" si="23"/>
        <v>0</v>
      </c>
      <c r="G1512" s="80"/>
    </row>
    <row r="1513" spans="1:7" x14ac:dyDescent="0.2">
      <c r="A1513" s="76"/>
      <c r="B1513" s="77"/>
      <c r="C1513" s="78"/>
      <c r="D1513" s="81"/>
      <c r="E1513" s="81"/>
      <c r="F1513" s="79">
        <f t="shared" si="23"/>
        <v>0</v>
      </c>
      <c r="G1513" s="80"/>
    </row>
    <row r="1514" spans="1:7" x14ac:dyDescent="0.2">
      <c r="A1514" s="76"/>
      <c r="B1514" s="77"/>
      <c r="C1514" s="78"/>
      <c r="D1514" s="81"/>
      <c r="E1514" s="81"/>
      <c r="F1514" s="79">
        <f t="shared" si="23"/>
        <v>0</v>
      </c>
      <c r="G1514" s="80"/>
    </row>
    <row r="1515" spans="1:7" x14ac:dyDescent="0.2">
      <c r="A1515" s="76"/>
      <c r="B1515" s="77"/>
      <c r="C1515" s="78"/>
      <c r="D1515" s="81"/>
      <c r="E1515" s="81"/>
      <c r="F1515" s="79">
        <f t="shared" si="23"/>
        <v>0</v>
      </c>
      <c r="G1515" s="80"/>
    </row>
    <row r="1516" spans="1:7" x14ac:dyDescent="0.2">
      <c r="A1516" s="76"/>
      <c r="B1516" s="77"/>
      <c r="C1516" s="78"/>
      <c r="D1516" s="81"/>
      <c r="E1516" s="81"/>
      <c r="F1516" s="79">
        <f t="shared" si="23"/>
        <v>0</v>
      </c>
      <c r="G1516" s="80"/>
    </row>
    <row r="1517" spans="1:7" x14ac:dyDescent="0.2">
      <c r="A1517" s="76"/>
      <c r="B1517" s="77"/>
      <c r="C1517" s="78"/>
      <c r="D1517" s="81"/>
      <c r="E1517" s="81"/>
      <c r="F1517" s="79">
        <f t="shared" si="23"/>
        <v>0</v>
      </c>
      <c r="G1517" s="80"/>
    </row>
    <row r="1518" spans="1:7" x14ac:dyDescent="0.2">
      <c r="A1518" s="76"/>
      <c r="B1518" s="77"/>
      <c r="C1518" s="78"/>
      <c r="D1518" s="81"/>
      <c r="E1518" s="81"/>
      <c r="F1518" s="79">
        <f t="shared" si="23"/>
        <v>0</v>
      </c>
      <c r="G1518" s="78"/>
    </row>
    <row r="1519" spans="1:7" x14ac:dyDescent="0.2">
      <c r="A1519" s="76"/>
      <c r="B1519" s="77"/>
      <c r="C1519" s="78"/>
      <c r="D1519" s="81"/>
      <c r="E1519" s="81"/>
      <c r="F1519" s="79">
        <f t="shared" si="23"/>
        <v>0</v>
      </c>
      <c r="G1519" s="80"/>
    </row>
    <row r="1520" spans="1:7" x14ac:dyDescent="0.2">
      <c r="A1520" s="76"/>
      <c r="B1520" s="77"/>
      <c r="C1520" s="78"/>
      <c r="D1520" s="81"/>
      <c r="E1520" s="81"/>
      <c r="F1520" s="79">
        <f t="shared" si="23"/>
        <v>0</v>
      </c>
      <c r="G1520" s="78"/>
    </row>
    <row r="1521" spans="1:7" x14ac:dyDescent="0.2">
      <c r="A1521" s="76"/>
      <c r="B1521" s="77"/>
      <c r="C1521" s="78"/>
      <c r="D1521" s="81"/>
      <c r="E1521" s="81"/>
      <c r="F1521" s="79">
        <f t="shared" si="23"/>
        <v>0</v>
      </c>
      <c r="G1521" s="78"/>
    </row>
    <row r="1522" spans="1:7" x14ac:dyDescent="0.2">
      <c r="A1522" s="76"/>
      <c r="B1522" s="77"/>
      <c r="C1522" s="78"/>
      <c r="D1522" s="81"/>
      <c r="E1522" s="81"/>
      <c r="F1522" s="79">
        <f t="shared" si="23"/>
        <v>0</v>
      </c>
      <c r="G1522" s="78"/>
    </row>
    <row r="1523" spans="1:7" x14ac:dyDescent="0.2">
      <c r="A1523" s="76"/>
      <c r="B1523" s="77"/>
      <c r="C1523" s="78"/>
      <c r="D1523" s="81"/>
      <c r="E1523" s="81"/>
      <c r="F1523" s="79">
        <f t="shared" si="23"/>
        <v>0</v>
      </c>
      <c r="G1523" s="78"/>
    </row>
    <row r="1524" spans="1:7" x14ac:dyDescent="0.2">
      <c r="A1524" s="76"/>
      <c r="B1524" s="77"/>
      <c r="C1524" s="78"/>
      <c r="D1524" s="81"/>
      <c r="E1524" s="81"/>
      <c r="F1524" s="79">
        <f t="shared" si="23"/>
        <v>0</v>
      </c>
      <c r="G1524" s="78"/>
    </row>
    <row r="1525" spans="1:7" x14ac:dyDescent="0.2">
      <c r="A1525" s="76"/>
      <c r="B1525" s="77"/>
      <c r="C1525" s="78"/>
      <c r="D1525" s="81"/>
      <c r="E1525" s="81"/>
      <c r="F1525" s="79">
        <f t="shared" si="23"/>
        <v>0</v>
      </c>
      <c r="G1525" s="80"/>
    </row>
    <row r="1526" spans="1:7" x14ac:dyDescent="0.2">
      <c r="A1526" s="76"/>
      <c r="B1526" s="77"/>
      <c r="C1526" s="78"/>
      <c r="D1526" s="81"/>
      <c r="E1526" s="81"/>
      <c r="F1526" s="79">
        <f t="shared" si="23"/>
        <v>0</v>
      </c>
      <c r="G1526" s="78"/>
    </row>
    <row r="1527" spans="1:7" x14ac:dyDescent="0.2">
      <c r="A1527" s="76"/>
      <c r="B1527" s="77"/>
      <c r="C1527" s="78"/>
      <c r="D1527" s="81"/>
      <c r="E1527" s="81"/>
      <c r="F1527" s="79">
        <f t="shared" si="23"/>
        <v>0</v>
      </c>
      <c r="G1527" s="78"/>
    </row>
    <row r="1528" spans="1:7" x14ac:dyDescent="0.2">
      <c r="A1528" s="76"/>
      <c r="B1528" s="77"/>
      <c r="C1528" s="78"/>
      <c r="D1528" s="81"/>
      <c r="E1528" s="81"/>
      <c r="F1528" s="79">
        <f t="shared" si="23"/>
        <v>0</v>
      </c>
      <c r="G1528" s="78"/>
    </row>
    <row r="1529" spans="1:7" x14ac:dyDescent="0.2">
      <c r="A1529" s="76"/>
      <c r="B1529" s="77"/>
      <c r="C1529" s="78"/>
      <c r="D1529" s="81"/>
      <c r="E1529" s="81"/>
      <c r="F1529" s="79">
        <f t="shared" si="23"/>
        <v>0</v>
      </c>
      <c r="G1529" s="78"/>
    </row>
    <row r="1530" spans="1:7" x14ac:dyDescent="0.2">
      <c r="A1530" s="76"/>
      <c r="B1530" s="77"/>
      <c r="C1530" s="78"/>
      <c r="D1530" s="81"/>
      <c r="E1530" s="81"/>
      <c r="F1530" s="79">
        <f t="shared" si="23"/>
        <v>0</v>
      </c>
      <c r="G1530" s="80"/>
    </row>
    <row r="1531" spans="1:7" x14ac:dyDescent="0.2">
      <c r="A1531" s="76"/>
      <c r="B1531" s="77"/>
      <c r="C1531" s="78"/>
      <c r="D1531" s="81"/>
      <c r="E1531" s="81"/>
      <c r="F1531" s="79">
        <f t="shared" si="23"/>
        <v>0</v>
      </c>
      <c r="G1531" s="78"/>
    </row>
    <row r="1532" spans="1:7" x14ac:dyDescent="0.2">
      <c r="A1532" s="76"/>
      <c r="B1532" s="77"/>
      <c r="C1532" s="78"/>
      <c r="D1532" s="81"/>
      <c r="E1532" s="81"/>
      <c r="F1532" s="79">
        <f t="shared" si="23"/>
        <v>0</v>
      </c>
      <c r="G1532" s="80"/>
    </row>
    <row r="1533" spans="1:7" x14ac:dyDescent="0.2">
      <c r="A1533" s="76"/>
      <c r="B1533" s="77"/>
      <c r="C1533" s="78"/>
      <c r="D1533" s="81"/>
      <c r="E1533" s="81"/>
      <c r="F1533" s="79">
        <f t="shared" si="23"/>
        <v>0</v>
      </c>
      <c r="G1533" s="78"/>
    </row>
    <row r="1534" spans="1:7" x14ac:dyDescent="0.2">
      <c r="A1534" s="76"/>
      <c r="B1534" s="77"/>
      <c r="C1534" s="78"/>
      <c r="D1534" s="81"/>
      <c r="E1534" s="81"/>
      <c r="F1534" s="79">
        <f t="shared" si="23"/>
        <v>0</v>
      </c>
      <c r="G1534" s="78"/>
    </row>
    <row r="1535" spans="1:7" x14ac:dyDescent="0.2">
      <c r="A1535" s="76"/>
      <c r="B1535" s="77"/>
      <c r="C1535" s="78"/>
      <c r="D1535" s="81"/>
      <c r="E1535" s="81"/>
      <c r="F1535" s="79">
        <f t="shared" si="23"/>
        <v>0</v>
      </c>
      <c r="G1535" s="78"/>
    </row>
    <row r="1536" spans="1:7" x14ac:dyDescent="0.2">
      <c r="A1536" s="76"/>
      <c r="B1536" s="77"/>
      <c r="C1536" s="78"/>
      <c r="D1536" s="81"/>
      <c r="E1536" s="81"/>
      <c r="F1536" s="79">
        <f t="shared" si="23"/>
        <v>0</v>
      </c>
      <c r="G1536" s="78"/>
    </row>
    <row r="1537" spans="1:7" x14ac:dyDescent="0.2">
      <c r="A1537" s="76"/>
      <c r="B1537" s="77"/>
      <c r="C1537" s="78"/>
      <c r="D1537" s="81"/>
      <c r="E1537" s="81"/>
      <c r="F1537" s="79">
        <f t="shared" si="23"/>
        <v>0</v>
      </c>
      <c r="G1537" s="78"/>
    </row>
    <row r="1538" spans="1:7" x14ac:dyDescent="0.2">
      <c r="A1538" s="76"/>
      <c r="B1538" s="77"/>
      <c r="C1538" s="78"/>
      <c r="D1538" s="81"/>
      <c r="E1538" s="81"/>
      <c r="F1538" s="79">
        <f t="shared" si="23"/>
        <v>0</v>
      </c>
      <c r="G1538" s="78"/>
    </row>
    <row r="1539" spans="1:7" x14ac:dyDescent="0.2">
      <c r="A1539" s="76"/>
      <c r="B1539" s="77"/>
      <c r="C1539" s="78"/>
      <c r="D1539" s="81"/>
      <c r="E1539" s="81"/>
      <c r="F1539" s="79">
        <f t="shared" si="23"/>
        <v>0</v>
      </c>
      <c r="G1539" s="78"/>
    </row>
    <row r="1540" spans="1:7" x14ac:dyDescent="0.2">
      <c r="A1540" s="76"/>
      <c r="B1540" s="77"/>
      <c r="C1540" s="78"/>
      <c r="D1540" s="81"/>
      <c r="E1540" s="81"/>
      <c r="F1540" s="79">
        <f t="shared" si="23"/>
        <v>0</v>
      </c>
      <c r="G1540" s="78"/>
    </row>
    <row r="1541" spans="1:7" x14ac:dyDescent="0.2">
      <c r="A1541" s="76"/>
      <c r="B1541" s="77"/>
      <c r="C1541" s="78"/>
      <c r="D1541" s="81"/>
      <c r="E1541" s="81"/>
      <c r="F1541" s="79">
        <f t="shared" si="23"/>
        <v>0</v>
      </c>
      <c r="G1541" s="78"/>
    </row>
    <row r="1542" spans="1:7" x14ac:dyDescent="0.2">
      <c r="A1542" s="76"/>
      <c r="B1542" s="77"/>
      <c r="C1542" s="78"/>
      <c r="D1542" s="81"/>
      <c r="E1542" s="81"/>
      <c r="F1542" s="79">
        <f t="shared" si="23"/>
        <v>0</v>
      </c>
      <c r="G1542" s="78"/>
    </row>
    <row r="1543" spans="1:7" x14ac:dyDescent="0.2">
      <c r="A1543" s="76"/>
      <c r="B1543" s="77"/>
      <c r="C1543" s="78"/>
      <c r="D1543" s="81"/>
      <c r="E1543" s="81"/>
      <c r="F1543" s="79">
        <f t="shared" si="23"/>
        <v>0</v>
      </c>
      <c r="G1543" s="78"/>
    </row>
    <row r="1544" spans="1:7" x14ac:dyDescent="0.2">
      <c r="A1544" s="76"/>
      <c r="B1544" s="77"/>
      <c r="C1544" s="78"/>
      <c r="D1544" s="81"/>
      <c r="E1544" s="81"/>
      <c r="F1544" s="79">
        <f t="shared" si="23"/>
        <v>0</v>
      </c>
      <c r="G1544" s="78"/>
    </row>
    <row r="1545" spans="1:7" x14ac:dyDescent="0.2">
      <c r="A1545" s="76"/>
      <c r="B1545" s="77"/>
      <c r="C1545" s="78"/>
      <c r="D1545" s="81"/>
      <c r="E1545" s="81"/>
      <c r="F1545" s="79">
        <f t="shared" si="23"/>
        <v>0</v>
      </c>
      <c r="G1545" s="78"/>
    </row>
    <row r="1546" spans="1:7" x14ac:dyDescent="0.2">
      <c r="A1546" s="76"/>
      <c r="B1546" s="77"/>
      <c r="C1546" s="78"/>
      <c r="D1546" s="81"/>
      <c r="E1546" s="81"/>
      <c r="F1546" s="79">
        <f t="shared" si="23"/>
        <v>0</v>
      </c>
      <c r="G1546" s="78"/>
    </row>
    <row r="1547" spans="1:7" x14ac:dyDescent="0.2">
      <c r="A1547" s="76"/>
      <c r="B1547" s="77"/>
      <c r="C1547" s="78"/>
      <c r="D1547" s="81"/>
      <c r="E1547" s="81"/>
      <c r="F1547" s="79">
        <f t="shared" si="23"/>
        <v>0</v>
      </c>
      <c r="G1547" s="78"/>
    </row>
    <row r="1548" spans="1:7" x14ac:dyDescent="0.2">
      <c r="A1548" s="76"/>
      <c r="B1548" s="77"/>
      <c r="C1548" s="78"/>
      <c r="D1548" s="81"/>
      <c r="E1548" s="81"/>
      <c r="F1548" s="79">
        <f t="shared" si="23"/>
        <v>0</v>
      </c>
      <c r="G1548" s="78"/>
    </row>
    <row r="1549" spans="1:7" x14ac:dyDescent="0.2">
      <c r="A1549" s="76"/>
      <c r="B1549" s="77"/>
      <c r="C1549" s="78"/>
      <c r="D1549" s="81"/>
      <c r="E1549" s="81"/>
      <c r="F1549" s="79">
        <f t="shared" si="23"/>
        <v>0</v>
      </c>
      <c r="G1549" s="78"/>
    </row>
    <row r="1550" spans="1:7" x14ac:dyDescent="0.2">
      <c r="A1550" s="76"/>
      <c r="B1550" s="77"/>
      <c r="C1550" s="78"/>
      <c r="D1550" s="81"/>
      <c r="E1550" s="81"/>
      <c r="F1550" s="79">
        <f t="shared" ref="F1550:F1612" si="24">E1550-D1550</f>
        <v>0</v>
      </c>
      <c r="G1550" s="78"/>
    </row>
    <row r="1551" spans="1:7" x14ac:dyDescent="0.2">
      <c r="A1551" s="76"/>
      <c r="B1551" s="77"/>
      <c r="C1551" s="78"/>
      <c r="D1551" s="81"/>
      <c r="E1551" s="81"/>
      <c r="F1551" s="79">
        <f t="shared" si="24"/>
        <v>0</v>
      </c>
      <c r="G1551" s="78"/>
    </row>
    <row r="1552" spans="1:7" x14ac:dyDescent="0.2">
      <c r="A1552" s="76"/>
      <c r="B1552" s="77"/>
      <c r="C1552" s="78"/>
      <c r="D1552" s="81"/>
      <c r="E1552" s="81"/>
      <c r="F1552" s="79">
        <f t="shared" si="24"/>
        <v>0</v>
      </c>
      <c r="G1552" s="78"/>
    </row>
    <row r="1553" spans="1:7" x14ac:dyDescent="0.2">
      <c r="A1553" s="76"/>
      <c r="B1553" s="77"/>
      <c r="C1553" s="78"/>
      <c r="D1553" s="81"/>
      <c r="E1553" s="81"/>
      <c r="F1553" s="79">
        <f t="shared" si="24"/>
        <v>0</v>
      </c>
      <c r="G1553" s="78"/>
    </row>
    <row r="1554" spans="1:7" x14ac:dyDescent="0.2">
      <c r="A1554" s="76"/>
      <c r="B1554" s="77"/>
      <c r="C1554" s="78"/>
      <c r="D1554" s="81"/>
      <c r="E1554" s="81"/>
      <c r="F1554" s="79">
        <f t="shared" si="24"/>
        <v>0</v>
      </c>
      <c r="G1554" s="78"/>
    </row>
    <row r="1555" spans="1:7" x14ac:dyDescent="0.2">
      <c r="A1555" s="76"/>
      <c r="B1555" s="77"/>
      <c r="C1555" s="78"/>
      <c r="D1555" s="81"/>
      <c r="E1555" s="81"/>
      <c r="F1555" s="79">
        <f t="shared" si="24"/>
        <v>0</v>
      </c>
      <c r="G1555" s="78"/>
    </row>
    <row r="1556" spans="1:7" x14ac:dyDescent="0.2">
      <c r="A1556" s="76"/>
      <c r="B1556" s="77"/>
      <c r="C1556" s="78"/>
      <c r="D1556" s="81"/>
      <c r="E1556" s="81"/>
      <c r="F1556" s="79">
        <f t="shared" si="24"/>
        <v>0</v>
      </c>
      <c r="G1556" s="78"/>
    </row>
    <row r="1557" spans="1:7" x14ac:dyDescent="0.2">
      <c r="A1557" s="76"/>
      <c r="B1557" s="77"/>
      <c r="C1557" s="78"/>
      <c r="D1557" s="81"/>
      <c r="E1557" s="81"/>
      <c r="F1557" s="79">
        <f t="shared" si="24"/>
        <v>0</v>
      </c>
      <c r="G1557" s="78"/>
    </row>
    <row r="1558" spans="1:7" x14ac:dyDescent="0.2">
      <c r="A1558" s="76"/>
      <c r="B1558" s="77"/>
      <c r="C1558" s="78"/>
      <c r="D1558" s="81"/>
      <c r="E1558" s="81"/>
      <c r="F1558" s="79">
        <f t="shared" si="24"/>
        <v>0</v>
      </c>
      <c r="G1558" s="78"/>
    </row>
    <row r="1559" spans="1:7" x14ac:dyDescent="0.2">
      <c r="A1559" s="76"/>
      <c r="B1559" s="77"/>
      <c r="C1559" s="78"/>
      <c r="D1559" s="81"/>
      <c r="E1559" s="81"/>
      <c r="F1559" s="79">
        <f t="shared" si="24"/>
        <v>0</v>
      </c>
      <c r="G1559" s="78"/>
    </row>
    <row r="1560" spans="1:7" x14ac:dyDescent="0.2">
      <c r="A1560" s="76"/>
      <c r="B1560" s="77"/>
      <c r="C1560" s="78"/>
      <c r="D1560" s="81"/>
      <c r="E1560" s="81"/>
      <c r="F1560" s="79">
        <f t="shared" si="24"/>
        <v>0</v>
      </c>
      <c r="G1560" s="78"/>
    </row>
    <row r="1561" spans="1:7" x14ac:dyDescent="0.2">
      <c r="A1561" s="76"/>
      <c r="B1561" s="77"/>
      <c r="C1561" s="78"/>
      <c r="D1561" s="81"/>
      <c r="E1561" s="81"/>
      <c r="F1561" s="79">
        <f t="shared" si="24"/>
        <v>0</v>
      </c>
      <c r="G1561" s="78"/>
    </row>
    <row r="1562" spans="1:7" x14ac:dyDescent="0.2">
      <c r="A1562" s="76"/>
      <c r="B1562" s="77"/>
      <c r="C1562" s="78"/>
      <c r="D1562" s="81"/>
      <c r="E1562" s="81"/>
      <c r="F1562" s="79">
        <f t="shared" si="24"/>
        <v>0</v>
      </c>
      <c r="G1562" s="78"/>
    </row>
    <row r="1563" spans="1:7" x14ac:dyDescent="0.2">
      <c r="A1563" s="76"/>
      <c r="B1563" s="77"/>
      <c r="C1563" s="78"/>
      <c r="D1563" s="81"/>
      <c r="E1563" s="81"/>
      <c r="F1563" s="79">
        <f t="shared" si="24"/>
        <v>0</v>
      </c>
      <c r="G1563" s="78"/>
    </row>
    <row r="1564" spans="1:7" x14ac:dyDescent="0.2">
      <c r="A1564" s="76"/>
      <c r="B1564" s="77"/>
      <c r="C1564" s="78"/>
      <c r="D1564" s="81"/>
      <c r="E1564" s="81"/>
      <c r="F1564" s="79">
        <f t="shared" si="24"/>
        <v>0</v>
      </c>
      <c r="G1564" s="78"/>
    </row>
    <row r="1565" spans="1:7" x14ac:dyDescent="0.2">
      <c r="A1565" s="76"/>
      <c r="B1565" s="77"/>
      <c r="C1565" s="78"/>
      <c r="D1565" s="81"/>
      <c r="E1565" s="81"/>
      <c r="F1565" s="79">
        <f t="shared" si="24"/>
        <v>0</v>
      </c>
      <c r="G1565" s="78"/>
    </row>
    <row r="1566" spans="1:7" x14ac:dyDescent="0.2">
      <c r="A1566" s="76"/>
      <c r="B1566" s="77"/>
      <c r="C1566" s="78"/>
      <c r="D1566" s="81"/>
      <c r="E1566" s="81"/>
      <c r="F1566" s="79">
        <f t="shared" si="24"/>
        <v>0</v>
      </c>
      <c r="G1566" s="78"/>
    </row>
    <row r="1567" spans="1:7" x14ac:dyDescent="0.2">
      <c r="A1567" s="76"/>
      <c r="B1567" s="77"/>
      <c r="C1567" s="78"/>
      <c r="D1567" s="81"/>
      <c r="E1567" s="81"/>
      <c r="F1567" s="79">
        <f t="shared" si="24"/>
        <v>0</v>
      </c>
      <c r="G1567" s="78"/>
    </row>
    <row r="1568" spans="1:7" x14ac:dyDescent="0.2">
      <c r="A1568" s="76"/>
      <c r="B1568" s="77"/>
      <c r="C1568" s="78"/>
      <c r="D1568" s="81"/>
      <c r="E1568" s="81"/>
      <c r="F1568" s="79">
        <f t="shared" si="24"/>
        <v>0</v>
      </c>
      <c r="G1568" s="78"/>
    </row>
    <row r="1569" spans="1:7" x14ac:dyDescent="0.2">
      <c r="A1569" s="76"/>
      <c r="B1569" s="77"/>
      <c r="C1569" s="78"/>
      <c r="D1569" s="81"/>
      <c r="E1569" s="81"/>
      <c r="F1569" s="79">
        <f t="shared" si="24"/>
        <v>0</v>
      </c>
      <c r="G1569" s="78"/>
    </row>
    <row r="1570" spans="1:7" x14ac:dyDescent="0.2">
      <c r="A1570" s="76"/>
      <c r="B1570" s="77"/>
      <c r="C1570" s="78"/>
      <c r="D1570" s="81"/>
      <c r="E1570" s="81"/>
      <c r="F1570" s="79">
        <f t="shared" si="24"/>
        <v>0</v>
      </c>
      <c r="G1570" s="78"/>
    </row>
    <row r="1571" spans="1:7" x14ac:dyDescent="0.2">
      <c r="A1571" s="76"/>
      <c r="B1571" s="77"/>
      <c r="C1571" s="78"/>
      <c r="D1571" s="81"/>
      <c r="E1571" s="81"/>
      <c r="F1571" s="79">
        <f t="shared" si="24"/>
        <v>0</v>
      </c>
      <c r="G1571" s="78"/>
    </row>
    <row r="1572" spans="1:7" x14ac:dyDescent="0.2">
      <c r="A1572" s="76"/>
      <c r="B1572" s="77"/>
      <c r="C1572" s="78"/>
      <c r="D1572" s="81"/>
      <c r="E1572" s="81"/>
      <c r="F1572" s="79">
        <f t="shared" si="24"/>
        <v>0</v>
      </c>
      <c r="G1572" s="80"/>
    </row>
    <row r="1573" spans="1:7" x14ac:dyDescent="0.2">
      <c r="A1573" s="76"/>
      <c r="B1573" s="77"/>
      <c r="C1573" s="78"/>
      <c r="D1573" s="81"/>
      <c r="E1573" s="81"/>
      <c r="F1573" s="79">
        <f t="shared" si="24"/>
        <v>0</v>
      </c>
      <c r="G1573" s="78"/>
    </row>
    <row r="1574" spans="1:7" x14ac:dyDescent="0.2">
      <c r="A1574" s="76"/>
      <c r="B1574" s="77"/>
      <c r="C1574" s="78"/>
      <c r="D1574" s="81"/>
      <c r="E1574" s="81"/>
      <c r="F1574" s="79">
        <f t="shared" si="24"/>
        <v>0</v>
      </c>
      <c r="G1574" s="78"/>
    </row>
    <row r="1575" spans="1:7" x14ac:dyDescent="0.2">
      <c r="A1575" s="76"/>
      <c r="B1575" s="77"/>
      <c r="C1575" s="78"/>
      <c r="D1575" s="81"/>
      <c r="E1575" s="81"/>
      <c r="F1575" s="79">
        <f t="shared" si="24"/>
        <v>0</v>
      </c>
      <c r="G1575" s="78"/>
    </row>
    <row r="1576" spans="1:7" x14ac:dyDescent="0.2">
      <c r="A1576" s="76"/>
      <c r="B1576" s="77"/>
      <c r="C1576" s="78"/>
      <c r="D1576" s="81"/>
      <c r="E1576" s="81"/>
      <c r="F1576" s="79">
        <f t="shared" si="24"/>
        <v>0</v>
      </c>
      <c r="G1576" s="78"/>
    </row>
    <row r="1577" spans="1:7" x14ac:dyDescent="0.2">
      <c r="A1577" s="76"/>
      <c r="B1577" s="77"/>
      <c r="C1577" s="78"/>
      <c r="D1577" s="81"/>
      <c r="E1577" s="81"/>
      <c r="F1577" s="79">
        <f t="shared" si="24"/>
        <v>0</v>
      </c>
      <c r="G1577" s="78"/>
    </row>
    <row r="1578" spans="1:7" x14ac:dyDescent="0.2">
      <c r="A1578" s="76"/>
      <c r="B1578" s="77"/>
      <c r="C1578" s="78"/>
      <c r="D1578" s="81"/>
      <c r="E1578" s="81"/>
      <c r="F1578" s="79">
        <f t="shared" si="24"/>
        <v>0</v>
      </c>
      <c r="G1578" s="78"/>
    </row>
    <row r="1579" spans="1:7" x14ac:dyDescent="0.2">
      <c r="A1579" s="76"/>
      <c r="B1579" s="77"/>
      <c r="C1579" s="78"/>
      <c r="D1579" s="81"/>
      <c r="E1579" s="81"/>
      <c r="F1579" s="79">
        <f t="shared" si="24"/>
        <v>0</v>
      </c>
      <c r="G1579" s="78"/>
    </row>
    <row r="1580" spans="1:7" x14ac:dyDescent="0.2">
      <c r="A1580" s="76"/>
      <c r="B1580" s="77"/>
      <c r="C1580" s="78"/>
      <c r="D1580" s="81"/>
      <c r="E1580" s="81"/>
      <c r="F1580" s="79">
        <f t="shared" si="24"/>
        <v>0</v>
      </c>
      <c r="G1580" s="78"/>
    </row>
    <row r="1581" spans="1:7" x14ac:dyDescent="0.2">
      <c r="A1581" s="76"/>
      <c r="B1581" s="77"/>
      <c r="C1581" s="78"/>
      <c r="D1581" s="81"/>
      <c r="E1581" s="81"/>
      <c r="F1581" s="79">
        <f t="shared" si="24"/>
        <v>0</v>
      </c>
      <c r="G1581" s="78"/>
    </row>
    <row r="1582" spans="1:7" x14ac:dyDescent="0.2">
      <c r="A1582" s="76"/>
      <c r="B1582" s="77"/>
      <c r="C1582" s="78"/>
      <c r="D1582" s="81"/>
      <c r="E1582" s="81"/>
      <c r="F1582" s="79">
        <f t="shared" si="24"/>
        <v>0</v>
      </c>
      <c r="G1582" s="80"/>
    </row>
    <row r="1583" spans="1:7" x14ac:dyDescent="0.2">
      <c r="A1583" s="76"/>
      <c r="B1583" s="77"/>
      <c r="C1583" s="78"/>
      <c r="D1583" s="81"/>
      <c r="E1583" s="81"/>
      <c r="F1583" s="79">
        <f t="shared" si="24"/>
        <v>0</v>
      </c>
      <c r="G1583" s="78"/>
    </row>
    <row r="1584" spans="1:7" x14ac:dyDescent="0.2">
      <c r="A1584" s="76"/>
      <c r="B1584" s="77"/>
      <c r="C1584" s="78"/>
      <c r="D1584" s="81"/>
      <c r="E1584" s="81"/>
      <c r="F1584" s="79">
        <f t="shared" si="24"/>
        <v>0</v>
      </c>
      <c r="G1584" s="78"/>
    </row>
    <row r="1585" spans="1:7" x14ac:dyDescent="0.2">
      <c r="A1585" s="76"/>
      <c r="B1585" s="77"/>
      <c r="C1585" s="78"/>
      <c r="D1585" s="81"/>
      <c r="E1585" s="81"/>
      <c r="F1585" s="79">
        <f t="shared" si="24"/>
        <v>0</v>
      </c>
      <c r="G1585" s="78"/>
    </row>
    <row r="1586" spans="1:7" x14ac:dyDescent="0.2">
      <c r="A1586" s="76"/>
      <c r="B1586" s="77"/>
      <c r="C1586" s="78"/>
      <c r="D1586" s="81"/>
      <c r="E1586" s="81"/>
      <c r="F1586" s="79">
        <f t="shared" si="24"/>
        <v>0</v>
      </c>
      <c r="G1586" s="78"/>
    </row>
    <row r="1587" spans="1:7" x14ac:dyDescent="0.2">
      <c r="A1587" s="76"/>
      <c r="B1587" s="77"/>
      <c r="C1587" s="78"/>
      <c r="D1587" s="81"/>
      <c r="E1587" s="81"/>
      <c r="F1587" s="79">
        <f t="shared" si="24"/>
        <v>0</v>
      </c>
      <c r="G1587" s="78"/>
    </row>
    <row r="1588" spans="1:7" x14ac:dyDescent="0.2">
      <c r="A1588" s="76"/>
      <c r="B1588" s="77"/>
      <c r="C1588" s="78"/>
      <c r="D1588" s="81"/>
      <c r="E1588" s="81"/>
      <c r="F1588" s="79">
        <f t="shared" si="24"/>
        <v>0</v>
      </c>
      <c r="G1588" s="78"/>
    </row>
    <row r="1589" spans="1:7" x14ac:dyDescent="0.2">
      <c r="A1589" s="76"/>
      <c r="B1589" s="77"/>
      <c r="C1589" s="78"/>
      <c r="D1589" s="81"/>
      <c r="E1589" s="81"/>
      <c r="F1589" s="79">
        <f t="shared" si="24"/>
        <v>0</v>
      </c>
      <c r="G1589" s="78"/>
    </row>
    <row r="1590" spans="1:7" x14ac:dyDescent="0.2">
      <c r="A1590" s="76"/>
      <c r="B1590" s="77"/>
      <c r="C1590" s="78"/>
      <c r="D1590" s="81"/>
      <c r="E1590" s="81"/>
      <c r="F1590" s="79">
        <f t="shared" si="24"/>
        <v>0</v>
      </c>
      <c r="G1590" s="78"/>
    </row>
    <row r="1591" spans="1:7" x14ac:dyDescent="0.2">
      <c r="A1591" s="76"/>
      <c r="B1591" s="77"/>
      <c r="C1591" s="78"/>
      <c r="D1591" s="81"/>
      <c r="E1591" s="81"/>
      <c r="F1591" s="79">
        <f t="shared" si="24"/>
        <v>0</v>
      </c>
      <c r="G1591" s="78"/>
    </row>
    <row r="1592" spans="1:7" x14ac:dyDescent="0.2">
      <c r="A1592" s="76"/>
      <c r="B1592" s="77"/>
      <c r="C1592" s="78"/>
      <c r="D1592" s="81"/>
      <c r="E1592" s="81"/>
      <c r="F1592" s="79">
        <f t="shared" si="24"/>
        <v>0</v>
      </c>
      <c r="G1592" s="78"/>
    </row>
    <row r="1593" spans="1:7" x14ac:dyDescent="0.2">
      <c r="A1593" s="76"/>
      <c r="B1593" s="77"/>
      <c r="C1593" s="78"/>
      <c r="D1593" s="81"/>
      <c r="E1593" s="81"/>
      <c r="F1593" s="79">
        <f t="shared" si="24"/>
        <v>0</v>
      </c>
      <c r="G1593" s="78"/>
    </row>
    <row r="1594" spans="1:7" x14ac:dyDescent="0.2">
      <c r="A1594" s="76"/>
      <c r="B1594" s="77"/>
      <c r="C1594" s="78"/>
      <c r="D1594" s="81"/>
      <c r="E1594" s="81"/>
      <c r="F1594" s="79">
        <f t="shared" si="24"/>
        <v>0</v>
      </c>
      <c r="G1594" s="78"/>
    </row>
    <row r="1595" spans="1:7" x14ac:dyDescent="0.2">
      <c r="A1595" s="76"/>
      <c r="B1595" s="77"/>
      <c r="C1595" s="78"/>
      <c r="D1595" s="81"/>
      <c r="E1595" s="81"/>
      <c r="F1595" s="79">
        <f t="shared" si="24"/>
        <v>0</v>
      </c>
      <c r="G1595" s="78"/>
    </row>
    <row r="1596" spans="1:7" x14ac:dyDescent="0.2">
      <c r="A1596" s="76"/>
      <c r="B1596" s="77"/>
      <c r="C1596" s="78"/>
      <c r="D1596" s="81"/>
      <c r="E1596" s="81"/>
      <c r="F1596" s="79">
        <f t="shared" si="24"/>
        <v>0</v>
      </c>
      <c r="G1596" s="78"/>
    </row>
    <row r="1597" spans="1:7" x14ac:dyDescent="0.2">
      <c r="A1597" s="76"/>
      <c r="B1597" s="77"/>
      <c r="C1597" s="78"/>
      <c r="D1597" s="81"/>
      <c r="E1597" s="81"/>
      <c r="F1597" s="79">
        <f t="shared" si="24"/>
        <v>0</v>
      </c>
      <c r="G1597" s="80"/>
    </row>
    <row r="1598" spans="1:7" x14ac:dyDescent="0.2">
      <c r="A1598" s="76"/>
      <c r="B1598" s="77"/>
      <c r="C1598" s="78"/>
      <c r="D1598" s="81"/>
      <c r="E1598" s="81"/>
      <c r="F1598" s="79">
        <f t="shared" si="24"/>
        <v>0</v>
      </c>
      <c r="G1598" s="78"/>
    </row>
    <row r="1599" spans="1:7" x14ac:dyDescent="0.2">
      <c r="A1599" s="76"/>
      <c r="B1599" s="77"/>
      <c r="C1599" s="78"/>
      <c r="D1599" s="81"/>
      <c r="E1599" s="81"/>
      <c r="F1599" s="79">
        <f t="shared" si="24"/>
        <v>0</v>
      </c>
      <c r="G1599" s="78"/>
    </row>
    <row r="1600" spans="1:7" x14ac:dyDescent="0.2">
      <c r="A1600" s="76"/>
      <c r="B1600" s="77"/>
      <c r="C1600" s="78"/>
      <c r="D1600" s="81"/>
      <c r="E1600" s="81"/>
      <c r="F1600" s="79">
        <f t="shared" si="24"/>
        <v>0</v>
      </c>
      <c r="G1600" s="78"/>
    </row>
    <row r="1601" spans="1:7" x14ac:dyDescent="0.2">
      <c r="A1601" s="76"/>
      <c r="B1601" s="77"/>
      <c r="C1601" s="78"/>
      <c r="D1601" s="81"/>
      <c r="E1601" s="81"/>
      <c r="F1601" s="79">
        <f t="shared" si="24"/>
        <v>0</v>
      </c>
      <c r="G1601" s="78"/>
    </row>
    <row r="1602" spans="1:7" x14ac:dyDescent="0.2">
      <c r="A1602" s="76"/>
      <c r="B1602" s="77"/>
      <c r="C1602" s="78"/>
      <c r="D1602" s="81"/>
      <c r="E1602" s="81"/>
      <c r="F1602" s="79">
        <f t="shared" si="24"/>
        <v>0</v>
      </c>
      <c r="G1602" s="78"/>
    </row>
    <row r="1603" spans="1:7" x14ac:dyDescent="0.2">
      <c r="A1603" s="76"/>
      <c r="B1603" s="77"/>
      <c r="C1603" s="78"/>
      <c r="D1603" s="81"/>
      <c r="E1603" s="81"/>
      <c r="F1603" s="79">
        <f t="shared" si="24"/>
        <v>0</v>
      </c>
      <c r="G1603" s="78"/>
    </row>
    <row r="1604" spans="1:7" x14ac:dyDescent="0.2">
      <c r="A1604" s="76"/>
      <c r="B1604" s="77"/>
      <c r="C1604" s="78"/>
      <c r="D1604" s="81"/>
      <c r="E1604" s="81"/>
      <c r="F1604" s="79">
        <f t="shared" si="24"/>
        <v>0</v>
      </c>
      <c r="G1604" s="78"/>
    </row>
    <row r="1605" spans="1:7" x14ac:dyDescent="0.2">
      <c r="A1605" s="76"/>
      <c r="B1605" s="77"/>
      <c r="C1605" s="78"/>
      <c r="D1605" s="81"/>
      <c r="E1605" s="81"/>
      <c r="F1605" s="79">
        <f t="shared" si="24"/>
        <v>0</v>
      </c>
      <c r="G1605" s="78"/>
    </row>
    <row r="1606" spans="1:7" x14ac:dyDescent="0.2">
      <c r="A1606" s="76"/>
      <c r="B1606" s="77"/>
      <c r="C1606" s="78"/>
      <c r="D1606" s="81"/>
      <c r="E1606" s="81"/>
      <c r="F1606" s="79">
        <f t="shared" si="24"/>
        <v>0</v>
      </c>
      <c r="G1606" s="78"/>
    </row>
    <row r="1607" spans="1:7" x14ac:dyDescent="0.2">
      <c r="A1607" s="76"/>
      <c r="B1607" s="77"/>
      <c r="C1607" s="78"/>
      <c r="D1607" s="81"/>
      <c r="E1607" s="81"/>
      <c r="F1607" s="79">
        <f t="shared" si="24"/>
        <v>0</v>
      </c>
      <c r="G1607" s="78"/>
    </row>
    <row r="1608" spans="1:7" x14ac:dyDescent="0.2">
      <c r="A1608" s="76"/>
      <c r="B1608" s="77"/>
      <c r="C1608" s="78"/>
      <c r="D1608" s="81"/>
      <c r="E1608" s="81"/>
      <c r="F1608" s="79">
        <f t="shared" si="24"/>
        <v>0</v>
      </c>
      <c r="G1608" s="78"/>
    </row>
    <row r="1609" spans="1:7" x14ac:dyDescent="0.2">
      <c r="A1609" s="76"/>
      <c r="B1609" s="77"/>
      <c r="C1609" s="78"/>
      <c r="D1609" s="81"/>
      <c r="E1609" s="81"/>
      <c r="F1609" s="79">
        <f t="shared" si="24"/>
        <v>0</v>
      </c>
      <c r="G1609" s="78"/>
    </row>
    <row r="1610" spans="1:7" x14ac:dyDescent="0.2">
      <c r="A1610" s="76"/>
      <c r="B1610" s="77"/>
      <c r="C1610" s="78"/>
      <c r="D1610" s="81"/>
      <c r="E1610" s="81"/>
      <c r="F1610" s="79">
        <f t="shared" si="24"/>
        <v>0</v>
      </c>
      <c r="G1610" s="78"/>
    </row>
    <row r="1611" spans="1:7" x14ac:dyDescent="0.2">
      <c r="A1611" s="76"/>
      <c r="B1611" s="77"/>
      <c r="C1611" s="78"/>
      <c r="D1611" s="81"/>
      <c r="E1611" s="81"/>
      <c r="F1611" s="79">
        <f t="shared" si="24"/>
        <v>0</v>
      </c>
      <c r="G1611" s="78"/>
    </row>
    <row r="1612" spans="1:7" x14ac:dyDescent="0.2">
      <c r="A1612" s="76"/>
      <c r="B1612" s="77"/>
      <c r="C1612" s="78"/>
      <c r="D1612" s="81"/>
      <c r="E1612" s="81"/>
      <c r="F1612" s="79">
        <f t="shared" si="24"/>
        <v>0</v>
      </c>
      <c r="G1612" s="78"/>
    </row>
    <row r="1613" spans="1:7" x14ac:dyDescent="0.2">
      <c r="A1613" s="76"/>
      <c r="B1613" s="77"/>
      <c r="C1613" s="78"/>
      <c r="D1613" s="81"/>
      <c r="E1613" s="81"/>
      <c r="F1613" s="79">
        <f t="shared" ref="F1613:F1676" si="25">E1613-D1613</f>
        <v>0</v>
      </c>
      <c r="G1613" s="80"/>
    </row>
    <row r="1614" spans="1:7" x14ac:dyDescent="0.2">
      <c r="A1614" s="76"/>
      <c r="B1614" s="77"/>
      <c r="C1614" s="78"/>
      <c r="D1614" s="81"/>
      <c r="E1614" s="81"/>
      <c r="F1614" s="79">
        <f t="shared" si="25"/>
        <v>0</v>
      </c>
      <c r="G1614" s="78"/>
    </row>
    <row r="1615" spans="1:7" x14ac:dyDescent="0.2">
      <c r="A1615" s="76"/>
      <c r="B1615" s="77"/>
      <c r="C1615" s="78"/>
      <c r="D1615" s="81"/>
      <c r="E1615" s="81"/>
      <c r="F1615" s="79">
        <f t="shared" si="25"/>
        <v>0</v>
      </c>
      <c r="G1615" s="78"/>
    </row>
    <row r="1616" spans="1:7" x14ac:dyDescent="0.2">
      <c r="A1616" s="76"/>
      <c r="B1616" s="77"/>
      <c r="C1616" s="78"/>
      <c r="D1616" s="81"/>
      <c r="E1616" s="81"/>
      <c r="F1616" s="79">
        <f t="shared" si="25"/>
        <v>0</v>
      </c>
      <c r="G1616" s="78"/>
    </row>
    <row r="1617" spans="1:7" x14ac:dyDescent="0.2">
      <c r="A1617" s="76"/>
      <c r="B1617" s="77"/>
      <c r="C1617" s="78"/>
      <c r="D1617" s="81"/>
      <c r="E1617" s="81"/>
      <c r="F1617" s="79">
        <f t="shared" si="25"/>
        <v>0</v>
      </c>
      <c r="G1617" s="78"/>
    </row>
    <row r="1618" spans="1:7" x14ac:dyDescent="0.2">
      <c r="A1618" s="76"/>
      <c r="B1618" s="77"/>
      <c r="C1618" s="78"/>
      <c r="D1618" s="81"/>
      <c r="E1618" s="81"/>
      <c r="F1618" s="79">
        <f t="shared" si="25"/>
        <v>0</v>
      </c>
      <c r="G1618" s="78"/>
    </row>
    <row r="1619" spans="1:7" x14ac:dyDescent="0.2">
      <c r="A1619" s="76"/>
      <c r="B1619" s="77"/>
      <c r="C1619" s="78"/>
      <c r="D1619" s="81"/>
      <c r="E1619" s="81"/>
      <c r="F1619" s="79">
        <f t="shared" si="25"/>
        <v>0</v>
      </c>
      <c r="G1619" s="78"/>
    </row>
    <row r="1620" spans="1:7" x14ac:dyDescent="0.2">
      <c r="A1620" s="76"/>
      <c r="B1620" s="77"/>
      <c r="C1620" s="78"/>
      <c r="D1620" s="81"/>
      <c r="E1620" s="81"/>
      <c r="F1620" s="79">
        <f t="shared" si="25"/>
        <v>0</v>
      </c>
      <c r="G1620" s="78"/>
    </row>
    <row r="1621" spans="1:7" x14ac:dyDescent="0.2">
      <c r="A1621" s="76"/>
      <c r="B1621" s="77"/>
      <c r="C1621" s="78"/>
      <c r="D1621" s="81"/>
      <c r="E1621" s="81"/>
      <c r="F1621" s="79">
        <f t="shared" si="25"/>
        <v>0</v>
      </c>
      <c r="G1621" s="78"/>
    </row>
    <row r="1622" spans="1:7" x14ac:dyDescent="0.2">
      <c r="A1622" s="76"/>
      <c r="B1622" s="77"/>
      <c r="C1622" s="78"/>
      <c r="D1622" s="81"/>
      <c r="E1622" s="81"/>
      <c r="F1622" s="79">
        <f t="shared" si="25"/>
        <v>0</v>
      </c>
      <c r="G1622" s="78"/>
    </row>
    <row r="1623" spans="1:7" x14ac:dyDescent="0.2">
      <c r="A1623" s="76"/>
      <c r="B1623" s="77"/>
      <c r="C1623" s="78"/>
      <c r="D1623" s="81"/>
      <c r="E1623" s="81"/>
      <c r="F1623" s="79">
        <f t="shared" si="25"/>
        <v>0</v>
      </c>
      <c r="G1623" s="78"/>
    </row>
    <row r="1624" spans="1:7" x14ac:dyDescent="0.2">
      <c r="A1624" s="76"/>
      <c r="B1624" s="77"/>
      <c r="C1624" s="78"/>
      <c r="D1624" s="81"/>
      <c r="E1624" s="81"/>
      <c r="F1624" s="79">
        <f t="shared" si="25"/>
        <v>0</v>
      </c>
      <c r="G1624" s="78"/>
    </row>
    <row r="1625" spans="1:7" x14ac:dyDescent="0.2">
      <c r="A1625" s="76"/>
      <c r="B1625" s="77"/>
      <c r="C1625" s="78"/>
      <c r="D1625" s="81"/>
      <c r="E1625" s="81"/>
      <c r="F1625" s="79">
        <f t="shared" si="25"/>
        <v>0</v>
      </c>
      <c r="G1625" s="78"/>
    </row>
    <row r="1626" spans="1:7" x14ac:dyDescent="0.2">
      <c r="A1626" s="76"/>
      <c r="B1626" s="77"/>
      <c r="C1626" s="78"/>
      <c r="D1626" s="81"/>
      <c r="E1626" s="81"/>
      <c r="F1626" s="79">
        <f t="shared" si="25"/>
        <v>0</v>
      </c>
      <c r="G1626" s="78"/>
    </row>
    <row r="1627" spans="1:7" x14ac:dyDescent="0.2">
      <c r="A1627" s="76"/>
      <c r="B1627" s="77"/>
      <c r="C1627" s="78"/>
      <c r="D1627" s="81"/>
      <c r="E1627" s="81"/>
      <c r="F1627" s="79">
        <f t="shared" si="25"/>
        <v>0</v>
      </c>
      <c r="G1627" s="78"/>
    </row>
    <row r="1628" spans="1:7" x14ac:dyDescent="0.2">
      <c r="A1628" s="76"/>
      <c r="B1628" s="77"/>
      <c r="C1628" s="78"/>
      <c r="D1628" s="81"/>
      <c r="E1628" s="81"/>
      <c r="F1628" s="79">
        <f t="shared" si="25"/>
        <v>0</v>
      </c>
      <c r="G1628" s="78"/>
    </row>
    <row r="1629" spans="1:7" x14ac:dyDescent="0.2">
      <c r="A1629" s="76"/>
      <c r="B1629" s="77"/>
      <c r="C1629" s="78"/>
      <c r="D1629" s="81"/>
      <c r="E1629" s="81"/>
      <c r="F1629" s="79">
        <f t="shared" si="25"/>
        <v>0</v>
      </c>
      <c r="G1629" s="80"/>
    </row>
    <row r="1630" spans="1:7" x14ac:dyDescent="0.2">
      <c r="A1630" s="76"/>
      <c r="B1630" s="77"/>
      <c r="C1630" s="78"/>
      <c r="D1630" s="81"/>
      <c r="E1630" s="81"/>
      <c r="F1630" s="79">
        <f t="shared" si="25"/>
        <v>0</v>
      </c>
      <c r="G1630" s="80"/>
    </row>
    <row r="1631" spans="1:7" x14ac:dyDescent="0.2">
      <c r="A1631" s="76"/>
      <c r="B1631" s="77"/>
      <c r="C1631" s="78"/>
      <c r="D1631" s="81"/>
      <c r="E1631" s="81"/>
      <c r="F1631" s="79">
        <f t="shared" si="25"/>
        <v>0</v>
      </c>
      <c r="G1631" s="80"/>
    </row>
    <row r="1632" spans="1:7" x14ac:dyDescent="0.2">
      <c r="A1632" s="76"/>
      <c r="B1632" s="77"/>
      <c r="C1632" s="78"/>
      <c r="D1632" s="81"/>
      <c r="E1632" s="81"/>
      <c r="F1632" s="79">
        <f t="shared" si="25"/>
        <v>0</v>
      </c>
      <c r="G1632" s="80"/>
    </row>
    <row r="1633" spans="1:7" x14ac:dyDescent="0.2">
      <c r="A1633" s="76"/>
      <c r="B1633" s="77"/>
      <c r="C1633" s="78"/>
      <c r="D1633" s="81"/>
      <c r="E1633" s="81"/>
      <c r="F1633" s="79">
        <f t="shared" si="25"/>
        <v>0</v>
      </c>
      <c r="G1633" s="80"/>
    </row>
    <row r="1634" spans="1:7" x14ac:dyDescent="0.2">
      <c r="A1634" s="76"/>
      <c r="B1634" s="77"/>
      <c r="C1634" s="78"/>
      <c r="D1634" s="81"/>
      <c r="E1634" s="81"/>
      <c r="F1634" s="79">
        <f t="shared" si="25"/>
        <v>0</v>
      </c>
      <c r="G1634" s="80"/>
    </row>
    <row r="1635" spans="1:7" x14ac:dyDescent="0.2">
      <c r="A1635" s="76"/>
      <c r="B1635" s="77"/>
      <c r="C1635" s="78"/>
      <c r="D1635" s="81"/>
      <c r="E1635" s="81"/>
      <c r="F1635" s="79">
        <f t="shared" si="25"/>
        <v>0</v>
      </c>
      <c r="G1635" s="80"/>
    </row>
    <row r="1636" spans="1:7" x14ac:dyDescent="0.2">
      <c r="A1636" s="76"/>
      <c r="B1636" s="77"/>
      <c r="C1636" s="78"/>
      <c r="D1636" s="81"/>
      <c r="E1636" s="81"/>
      <c r="F1636" s="79">
        <f t="shared" si="25"/>
        <v>0</v>
      </c>
      <c r="G1636" s="80"/>
    </row>
    <row r="1637" spans="1:7" x14ac:dyDescent="0.2">
      <c r="A1637" s="76"/>
      <c r="B1637" s="77"/>
      <c r="C1637" s="78"/>
      <c r="D1637" s="81"/>
      <c r="E1637" s="81"/>
      <c r="F1637" s="79">
        <f t="shared" si="25"/>
        <v>0</v>
      </c>
      <c r="G1637" s="80"/>
    </row>
    <row r="1638" spans="1:7" x14ac:dyDescent="0.2">
      <c r="A1638" s="76"/>
      <c r="B1638" s="77"/>
      <c r="C1638" s="78"/>
      <c r="D1638" s="81"/>
      <c r="E1638" s="81"/>
      <c r="F1638" s="79">
        <f t="shared" si="25"/>
        <v>0</v>
      </c>
      <c r="G1638" s="80"/>
    </row>
    <row r="1639" spans="1:7" x14ac:dyDescent="0.2">
      <c r="A1639" s="76"/>
      <c r="B1639" s="77"/>
      <c r="C1639" s="78"/>
      <c r="D1639" s="81"/>
      <c r="E1639" s="81"/>
      <c r="F1639" s="79">
        <f t="shared" si="25"/>
        <v>0</v>
      </c>
      <c r="G1639" s="80"/>
    </row>
    <row r="1640" spans="1:7" x14ac:dyDescent="0.2">
      <c r="A1640" s="76"/>
      <c r="B1640" s="77"/>
      <c r="C1640" s="78"/>
      <c r="D1640" s="81"/>
      <c r="E1640" s="81"/>
      <c r="F1640" s="79">
        <f t="shared" si="25"/>
        <v>0</v>
      </c>
      <c r="G1640" s="80"/>
    </row>
    <row r="1641" spans="1:7" x14ac:dyDescent="0.2">
      <c r="A1641" s="76"/>
      <c r="B1641" s="77"/>
      <c r="C1641" s="78"/>
      <c r="D1641" s="81"/>
      <c r="E1641" s="81"/>
      <c r="F1641" s="79">
        <f t="shared" si="25"/>
        <v>0</v>
      </c>
      <c r="G1641" s="80"/>
    </row>
    <row r="1642" spans="1:7" x14ac:dyDescent="0.2">
      <c r="A1642" s="76"/>
      <c r="B1642" s="77"/>
      <c r="C1642" s="78"/>
      <c r="D1642" s="81"/>
      <c r="E1642" s="81"/>
      <c r="F1642" s="79">
        <f t="shared" si="25"/>
        <v>0</v>
      </c>
      <c r="G1642" s="80"/>
    </row>
    <row r="1643" spans="1:7" x14ac:dyDescent="0.2">
      <c r="A1643" s="76"/>
      <c r="B1643" s="77"/>
      <c r="C1643" s="78"/>
      <c r="D1643" s="81"/>
      <c r="E1643" s="81"/>
      <c r="F1643" s="79">
        <f t="shared" si="25"/>
        <v>0</v>
      </c>
      <c r="G1643" s="80"/>
    </row>
    <row r="1644" spans="1:7" x14ac:dyDescent="0.2">
      <c r="A1644" s="76"/>
      <c r="B1644" s="77"/>
      <c r="C1644" s="78"/>
      <c r="D1644" s="81"/>
      <c r="E1644" s="81"/>
      <c r="F1644" s="79">
        <f t="shared" si="25"/>
        <v>0</v>
      </c>
      <c r="G1644" s="80"/>
    </row>
    <row r="1645" spans="1:7" x14ac:dyDescent="0.2">
      <c r="A1645" s="76"/>
      <c r="B1645" s="77"/>
      <c r="C1645" s="78"/>
      <c r="D1645" s="81"/>
      <c r="E1645" s="81"/>
      <c r="F1645" s="79">
        <f t="shared" si="25"/>
        <v>0</v>
      </c>
      <c r="G1645" s="80"/>
    </row>
    <row r="1646" spans="1:7" x14ac:dyDescent="0.2">
      <c r="A1646" s="76"/>
      <c r="B1646" s="77"/>
      <c r="C1646" s="78"/>
      <c r="D1646" s="81"/>
      <c r="E1646" s="81"/>
      <c r="F1646" s="79">
        <f t="shared" si="25"/>
        <v>0</v>
      </c>
      <c r="G1646" s="80"/>
    </row>
    <row r="1647" spans="1:7" x14ac:dyDescent="0.2">
      <c r="A1647" s="76"/>
      <c r="B1647" s="77"/>
      <c r="C1647" s="78"/>
      <c r="D1647" s="81"/>
      <c r="E1647" s="81"/>
      <c r="F1647" s="79">
        <f t="shared" si="25"/>
        <v>0</v>
      </c>
      <c r="G1647" s="80"/>
    </row>
    <row r="1648" spans="1:7" x14ac:dyDescent="0.2">
      <c r="A1648" s="76"/>
      <c r="B1648" s="77"/>
      <c r="C1648" s="78"/>
      <c r="D1648" s="81"/>
      <c r="E1648" s="81"/>
      <c r="F1648" s="79">
        <f t="shared" si="25"/>
        <v>0</v>
      </c>
      <c r="G1648" s="80"/>
    </row>
    <row r="1649" spans="1:7" x14ac:dyDescent="0.2">
      <c r="A1649" s="76"/>
      <c r="B1649" s="77"/>
      <c r="C1649" s="78"/>
      <c r="D1649" s="81"/>
      <c r="E1649" s="81"/>
      <c r="F1649" s="79">
        <f t="shared" si="25"/>
        <v>0</v>
      </c>
      <c r="G1649" s="80"/>
    </row>
    <row r="1650" spans="1:7" x14ac:dyDescent="0.2">
      <c r="A1650" s="76"/>
      <c r="B1650" s="77"/>
      <c r="C1650" s="78"/>
      <c r="D1650" s="81"/>
      <c r="E1650" s="81"/>
      <c r="F1650" s="79">
        <f t="shared" si="25"/>
        <v>0</v>
      </c>
      <c r="G1650" s="80"/>
    </row>
    <row r="1651" spans="1:7" x14ac:dyDescent="0.2">
      <c r="A1651" s="76"/>
      <c r="B1651" s="77"/>
      <c r="C1651" s="78"/>
      <c r="D1651" s="81"/>
      <c r="E1651" s="81"/>
      <c r="F1651" s="79">
        <f t="shared" si="25"/>
        <v>0</v>
      </c>
      <c r="G1651" s="80"/>
    </row>
    <row r="1652" spans="1:7" x14ac:dyDescent="0.2">
      <c r="A1652" s="76"/>
      <c r="B1652" s="77"/>
      <c r="C1652" s="78"/>
      <c r="D1652" s="81"/>
      <c r="E1652" s="81"/>
      <c r="F1652" s="79">
        <f t="shared" si="25"/>
        <v>0</v>
      </c>
      <c r="G1652" s="80"/>
    </row>
    <row r="1653" spans="1:7" x14ac:dyDescent="0.2">
      <c r="A1653" s="76"/>
      <c r="B1653" s="77"/>
      <c r="C1653" s="78"/>
      <c r="D1653" s="81"/>
      <c r="E1653" s="81"/>
      <c r="F1653" s="79">
        <f t="shared" si="25"/>
        <v>0</v>
      </c>
      <c r="G1653" s="80"/>
    </row>
    <row r="1654" spans="1:7" x14ac:dyDescent="0.2">
      <c r="A1654" s="76"/>
      <c r="B1654" s="77"/>
      <c r="C1654" s="78"/>
      <c r="D1654" s="81"/>
      <c r="E1654" s="81"/>
      <c r="F1654" s="79">
        <f t="shared" si="25"/>
        <v>0</v>
      </c>
      <c r="G1654" s="80"/>
    </row>
    <row r="1655" spans="1:7" x14ac:dyDescent="0.2">
      <c r="A1655" s="76"/>
      <c r="B1655" s="77"/>
      <c r="C1655" s="78"/>
      <c r="D1655" s="81"/>
      <c r="E1655" s="81"/>
      <c r="F1655" s="79">
        <f t="shared" si="25"/>
        <v>0</v>
      </c>
      <c r="G1655" s="80"/>
    </row>
    <row r="1656" spans="1:7" x14ac:dyDescent="0.2">
      <c r="A1656" s="76"/>
      <c r="B1656" s="77"/>
      <c r="C1656" s="78"/>
      <c r="D1656" s="81"/>
      <c r="E1656" s="81"/>
      <c r="F1656" s="79">
        <f t="shared" si="25"/>
        <v>0</v>
      </c>
      <c r="G1656" s="80"/>
    </row>
    <row r="1657" spans="1:7" x14ac:dyDescent="0.2">
      <c r="A1657" s="76"/>
      <c r="B1657" s="77"/>
      <c r="C1657" s="78"/>
      <c r="D1657" s="81"/>
      <c r="E1657" s="81"/>
      <c r="F1657" s="79">
        <f t="shared" si="25"/>
        <v>0</v>
      </c>
      <c r="G1657" s="80"/>
    </row>
    <row r="1658" spans="1:7" x14ac:dyDescent="0.2">
      <c r="A1658" s="76"/>
      <c r="B1658" s="77"/>
      <c r="C1658" s="78"/>
      <c r="D1658" s="81"/>
      <c r="E1658" s="81"/>
      <c r="F1658" s="79">
        <f t="shared" si="25"/>
        <v>0</v>
      </c>
      <c r="G1658" s="80"/>
    </row>
    <row r="1659" spans="1:7" x14ac:dyDescent="0.2">
      <c r="A1659" s="76"/>
      <c r="B1659" s="77"/>
      <c r="C1659" s="78"/>
      <c r="D1659" s="81"/>
      <c r="E1659" s="81"/>
      <c r="F1659" s="79">
        <f t="shared" si="25"/>
        <v>0</v>
      </c>
      <c r="G1659" s="80"/>
    </row>
    <row r="1660" spans="1:7" x14ac:dyDescent="0.2">
      <c r="A1660" s="76"/>
      <c r="B1660" s="77"/>
      <c r="C1660" s="78"/>
      <c r="D1660" s="81"/>
      <c r="E1660" s="81"/>
      <c r="F1660" s="79">
        <f t="shared" si="25"/>
        <v>0</v>
      </c>
      <c r="G1660" s="80"/>
    </row>
    <row r="1661" spans="1:7" x14ac:dyDescent="0.2">
      <c r="A1661" s="76"/>
      <c r="B1661" s="77"/>
      <c r="C1661" s="78"/>
      <c r="D1661" s="81"/>
      <c r="E1661" s="81"/>
      <c r="F1661" s="79">
        <f t="shared" si="25"/>
        <v>0</v>
      </c>
      <c r="G1661" s="80"/>
    </row>
    <row r="1662" spans="1:7" x14ac:dyDescent="0.2">
      <c r="A1662" s="76"/>
      <c r="B1662" s="77"/>
      <c r="C1662" s="78"/>
      <c r="D1662" s="81"/>
      <c r="E1662" s="81"/>
      <c r="F1662" s="79">
        <f t="shared" si="25"/>
        <v>0</v>
      </c>
      <c r="G1662" s="80"/>
    </row>
    <row r="1663" spans="1:7" x14ac:dyDescent="0.2">
      <c r="A1663" s="76"/>
      <c r="B1663" s="77"/>
      <c r="C1663" s="78"/>
      <c r="D1663" s="81"/>
      <c r="E1663" s="81"/>
      <c r="F1663" s="79">
        <f t="shared" si="25"/>
        <v>0</v>
      </c>
      <c r="G1663" s="80"/>
    </row>
    <row r="1664" spans="1:7" x14ac:dyDescent="0.2">
      <c r="A1664" s="76"/>
      <c r="B1664" s="77"/>
      <c r="C1664" s="78"/>
      <c r="D1664" s="81"/>
      <c r="E1664" s="81"/>
      <c r="F1664" s="79">
        <f t="shared" si="25"/>
        <v>0</v>
      </c>
      <c r="G1664" s="80"/>
    </row>
    <row r="1665" spans="1:7" x14ac:dyDescent="0.2">
      <c r="A1665" s="76"/>
      <c r="B1665" s="77"/>
      <c r="C1665" s="78"/>
      <c r="D1665" s="81"/>
      <c r="E1665" s="81"/>
      <c r="F1665" s="79">
        <f t="shared" si="25"/>
        <v>0</v>
      </c>
      <c r="G1665" s="80"/>
    </row>
    <row r="1666" spans="1:7" x14ac:dyDescent="0.2">
      <c r="A1666" s="76"/>
      <c r="B1666" s="77"/>
      <c r="C1666" s="78"/>
      <c r="D1666" s="81"/>
      <c r="E1666" s="81"/>
      <c r="F1666" s="79">
        <f t="shared" si="25"/>
        <v>0</v>
      </c>
      <c r="G1666" s="80"/>
    </row>
    <row r="1667" spans="1:7" x14ac:dyDescent="0.2">
      <c r="A1667" s="76"/>
      <c r="B1667" s="77"/>
      <c r="C1667" s="78"/>
      <c r="D1667" s="81"/>
      <c r="E1667" s="81"/>
      <c r="F1667" s="79">
        <f t="shared" si="25"/>
        <v>0</v>
      </c>
      <c r="G1667" s="80"/>
    </row>
    <row r="1668" spans="1:7" x14ac:dyDescent="0.2">
      <c r="A1668" s="76"/>
      <c r="B1668" s="77"/>
      <c r="C1668" s="78"/>
      <c r="D1668" s="81"/>
      <c r="E1668" s="81"/>
      <c r="F1668" s="79">
        <f t="shared" si="25"/>
        <v>0</v>
      </c>
      <c r="G1668" s="80"/>
    </row>
    <row r="1669" spans="1:7" x14ac:dyDescent="0.2">
      <c r="A1669" s="76"/>
      <c r="B1669" s="77"/>
      <c r="C1669" s="78"/>
      <c r="D1669" s="81"/>
      <c r="E1669" s="81"/>
      <c r="F1669" s="79">
        <f t="shared" si="25"/>
        <v>0</v>
      </c>
      <c r="G1669" s="80"/>
    </row>
    <row r="1670" spans="1:7" x14ac:dyDescent="0.2">
      <c r="A1670" s="76"/>
      <c r="B1670" s="77"/>
      <c r="C1670" s="78"/>
      <c r="D1670" s="81"/>
      <c r="E1670" s="81"/>
      <c r="F1670" s="79">
        <f t="shared" si="25"/>
        <v>0</v>
      </c>
      <c r="G1670" s="80"/>
    </row>
    <row r="1671" spans="1:7" x14ac:dyDescent="0.2">
      <c r="A1671" s="76"/>
      <c r="B1671" s="77"/>
      <c r="C1671" s="78"/>
      <c r="D1671" s="81"/>
      <c r="E1671" s="81"/>
      <c r="F1671" s="79">
        <f t="shared" si="25"/>
        <v>0</v>
      </c>
      <c r="G1671" s="80"/>
    </row>
    <row r="1672" spans="1:7" x14ac:dyDescent="0.2">
      <c r="A1672" s="76"/>
      <c r="B1672" s="77"/>
      <c r="C1672" s="78"/>
      <c r="D1672" s="81"/>
      <c r="E1672" s="81"/>
      <c r="F1672" s="79">
        <f t="shared" si="25"/>
        <v>0</v>
      </c>
      <c r="G1672" s="80"/>
    </row>
    <row r="1673" spans="1:7" x14ac:dyDescent="0.2">
      <c r="A1673" s="76"/>
      <c r="B1673" s="77"/>
      <c r="C1673" s="78"/>
      <c r="D1673" s="81"/>
      <c r="E1673" s="81"/>
      <c r="F1673" s="79">
        <f t="shared" si="25"/>
        <v>0</v>
      </c>
      <c r="G1673" s="80"/>
    </row>
    <row r="1674" spans="1:7" x14ac:dyDescent="0.2">
      <c r="A1674" s="76"/>
      <c r="B1674" s="77"/>
      <c r="C1674" s="78"/>
      <c r="D1674" s="81"/>
      <c r="E1674" s="81"/>
      <c r="F1674" s="79">
        <f t="shared" si="25"/>
        <v>0</v>
      </c>
      <c r="G1674" s="80"/>
    </row>
    <row r="1675" spans="1:7" x14ac:dyDescent="0.2">
      <c r="A1675" s="76"/>
      <c r="B1675" s="77"/>
      <c r="C1675" s="78"/>
      <c r="D1675" s="81"/>
      <c r="E1675" s="81"/>
      <c r="F1675" s="79">
        <f t="shared" si="25"/>
        <v>0</v>
      </c>
      <c r="G1675" s="80"/>
    </row>
    <row r="1676" spans="1:7" x14ac:dyDescent="0.2">
      <c r="A1676" s="76"/>
      <c r="B1676" s="77"/>
      <c r="C1676" s="78"/>
      <c r="D1676" s="81"/>
      <c r="E1676" s="81"/>
      <c r="F1676" s="79">
        <f t="shared" si="25"/>
        <v>0</v>
      </c>
      <c r="G1676" s="80"/>
    </row>
    <row r="1677" spans="1:7" x14ac:dyDescent="0.2">
      <c r="A1677" s="76"/>
      <c r="B1677" s="77"/>
      <c r="C1677" s="78"/>
      <c r="D1677" s="81"/>
      <c r="E1677" s="81"/>
      <c r="F1677" s="79">
        <f t="shared" ref="F1677:F1740" si="26">E1677-D1677</f>
        <v>0</v>
      </c>
      <c r="G1677" s="80"/>
    </row>
    <row r="1678" spans="1:7" x14ac:dyDescent="0.2">
      <c r="A1678" s="76"/>
      <c r="B1678" s="77"/>
      <c r="C1678" s="78"/>
      <c r="D1678" s="81"/>
      <c r="E1678" s="81"/>
      <c r="F1678" s="79">
        <f t="shared" si="26"/>
        <v>0</v>
      </c>
      <c r="G1678" s="80"/>
    </row>
    <row r="1679" spans="1:7" x14ac:dyDescent="0.2">
      <c r="A1679" s="76"/>
      <c r="B1679" s="77"/>
      <c r="C1679" s="78"/>
      <c r="D1679" s="81"/>
      <c r="E1679" s="81"/>
      <c r="F1679" s="79">
        <f t="shared" si="26"/>
        <v>0</v>
      </c>
      <c r="G1679" s="80"/>
    </row>
    <row r="1680" spans="1:7" x14ac:dyDescent="0.2">
      <c r="A1680" s="76"/>
      <c r="B1680" s="77"/>
      <c r="C1680" s="78"/>
      <c r="D1680" s="81"/>
      <c r="E1680" s="81"/>
      <c r="F1680" s="79">
        <f t="shared" si="26"/>
        <v>0</v>
      </c>
      <c r="G1680" s="80"/>
    </row>
    <row r="1681" spans="1:7" x14ac:dyDescent="0.2">
      <c r="A1681" s="76"/>
      <c r="B1681" s="77"/>
      <c r="C1681" s="78"/>
      <c r="D1681" s="81"/>
      <c r="E1681" s="81"/>
      <c r="F1681" s="79">
        <f t="shared" si="26"/>
        <v>0</v>
      </c>
      <c r="G1681" s="80"/>
    </row>
    <row r="1682" spans="1:7" x14ac:dyDescent="0.2">
      <c r="A1682" s="76"/>
      <c r="B1682" s="77"/>
      <c r="C1682" s="78"/>
      <c r="D1682" s="81"/>
      <c r="E1682" s="81"/>
      <c r="F1682" s="79">
        <f t="shared" si="26"/>
        <v>0</v>
      </c>
      <c r="G1682" s="80"/>
    </row>
    <row r="1683" spans="1:7" x14ac:dyDescent="0.2">
      <c r="A1683" s="76"/>
      <c r="B1683" s="77"/>
      <c r="C1683" s="78"/>
      <c r="D1683" s="81"/>
      <c r="E1683" s="81"/>
      <c r="F1683" s="79">
        <f t="shared" si="26"/>
        <v>0</v>
      </c>
      <c r="G1683" s="80"/>
    </row>
    <row r="1684" spans="1:7" x14ac:dyDescent="0.2">
      <c r="A1684" s="76"/>
      <c r="B1684" s="77"/>
      <c r="C1684" s="78"/>
      <c r="D1684" s="81"/>
      <c r="E1684" s="81"/>
      <c r="F1684" s="79">
        <f t="shared" si="26"/>
        <v>0</v>
      </c>
      <c r="G1684" s="80"/>
    </row>
    <row r="1685" spans="1:7" x14ac:dyDescent="0.2">
      <c r="A1685" s="76"/>
      <c r="B1685" s="77"/>
      <c r="C1685" s="78"/>
      <c r="D1685" s="81"/>
      <c r="E1685" s="81"/>
      <c r="F1685" s="79">
        <f t="shared" si="26"/>
        <v>0</v>
      </c>
      <c r="G1685" s="80"/>
    </row>
    <row r="1686" spans="1:7" x14ac:dyDescent="0.2">
      <c r="A1686" s="76"/>
      <c r="B1686" s="77"/>
      <c r="C1686" s="78"/>
      <c r="D1686" s="81"/>
      <c r="E1686" s="81"/>
      <c r="F1686" s="79">
        <f t="shared" si="26"/>
        <v>0</v>
      </c>
      <c r="G1686" s="80"/>
    </row>
    <row r="1687" spans="1:7" x14ac:dyDescent="0.2">
      <c r="A1687" s="76"/>
      <c r="B1687" s="77"/>
      <c r="C1687" s="78"/>
      <c r="D1687" s="81"/>
      <c r="E1687" s="81"/>
      <c r="F1687" s="79">
        <f t="shared" si="26"/>
        <v>0</v>
      </c>
      <c r="G1687" s="80"/>
    </row>
    <row r="1688" spans="1:7" x14ac:dyDescent="0.2">
      <c r="A1688" s="76"/>
      <c r="B1688" s="77"/>
      <c r="C1688" s="78"/>
      <c r="D1688" s="81"/>
      <c r="E1688" s="81"/>
      <c r="F1688" s="79">
        <f t="shared" si="26"/>
        <v>0</v>
      </c>
      <c r="G1688" s="78"/>
    </row>
    <row r="1689" spans="1:7" x14ac:dyDescent="0.2">
      <c r="A1689" s="76"/>
      <c r="B1689" s="77"/>
      <c r="C1689" s="78"/>
      <c r="D1689" s="81"/>
      <c r="E1689" s="81"/>
      <c r="F1689" s="79">
        <f t="shared" si="26"/>
        <v>0</v>
      </c>
      <c r="G1689" s="78"/>
    </row>
    <row r="1690" spans="1:7" x14ac:dyDescent="0.2">
      <c r="A1690" s="76"/>
      <c r="B1690" s="77"/>
      <c r="C1690" s="78"/>
      <c r="D1690" s="81"/>
      <c r="E1690" s="81"/>
      <c r="F1690" s="79">
        <f t="shared" si="26"/>
        <v>0</v>
      </c>
      <c r="G1690" s="78"/>
    </row>
    <row r="1691" spans="1:7" x14ac:dyDescent="0.2">
      <c r="A1691" s="76"/>
      <c r="B1691" s="77"/>
      <c r="C1691" s="78"/>
      <c r="D1691" s="81"/>
      <c r="E1691" s="81"/>
      <c r="F1691" s="79">
        <f t="shared" si="26"/>
        <v>0</v>
      </c>
      <c r="G1691" s="78"/>
    </row>
    <row r="1692" spans="1:7" x14ac:dyDescent="0.2">
      <c r="A1692" s="76"/>
      <c r="B1692" s="77"/>
      <c r="C1692" s="78"/>
      <c r="D1692" s="81"/>
      <c r="E1692" s="81"/>
      <c r="F1692" s="79">
        <f t="shared" si="26"/>
        <v>0</v>
      </c>
      <c r="G1692" s="78"/>
    </row>
    <row r="1693" spans="1:7" x14ac:dyDescent="0.2">
      <c r="A1693" s="76"/>
      <c r="B1693" s="77"/>
      <c r="C1693" s="78"/>
      <c r="D1693" s="81"/>
      <c r="E1693" s="81"/>
      <c r="F1693" s="79">
        <f t="shared" si="26"/>
        <v>0</v>
      </c>
      <c r="G1693" s="78"/>
    </row>
    <row r="1694" spans="1:7" x14ac:dyDescent="0.2">
      <c r="A1694" s="76"/>
      <c r="B1694" s="77"/>
      <c r="C1694" s="78"/>
      <c r="D1694" s="81"/>
      <c r="E1694" s="81"/>
      <c r="F1694" s="79">
        <f t="shared" si="26"/>
        <v>0</v>
      </c>
      <c r="G1694" s="78"/>
    </row>
    <row r="1695" spans="1:7" x14ac:dyDescent="0.2">
      <c r="A1695" s="76"/>
      <c r="B1695" s="77"/>
      <c r="C1695" s="78"/>
      <c r="D1695" s="81"/>
      <c r="E1695" s="81"/>
      <c r="F1695" s="79">
        <f t="shared" si="26"/>
        <v>0</v>
      </c>
      <c r="G1695" s="78"/>
    </row>
    <row r="1696" spans="1:7" x14ac:dyDescent="0.2">
      <c r="A1696" s="76"/>
      <c r="B1696" s="77"/>
      <c r="C1696" s="78"/>
      <c r="D1696" s="81"/>
      <c r="E1696" s="81"/>
      <c r="F1696" s="79">
        <f t="shared" si="26"/>
        <v>0</v>
      </c>
      <c r="G1696" s="78"/>
    </row>
    <row r="1697" spans="1:7" x14ac:dyDescent="0.2">
      <c r="A1697" s="76"/>
      <c r="B1697" s="77"/>
      <c r="C1697" s="78"/>
      <c r="D1697" s="81"/>
      <c r="E1697" s="81"/>
      <c r="F1697" s="79">
        <f t="shared" si="26"/>
        <v>0</v>
      </c>
      <c r="G1697" s="78"/>
    </row>
    <row r="1698" spans="1:7" x14ac:dyDescent="0.2">
      <c r="A1698" s="76"/>
      <c r="B1698" s="77"/>
      <c r="C1698" s="78"/>
      <c r="D1698" s="81"/>
      <c r="E1698" s="81"/>
      <c r="F1698" s="79">
        <f t="shared" si="26"/>
        <v>0</v>
      </c>
      <c r="G1698" s="78"/>
    </row>
    <row r="1699" spans="1:7" x14ac:dyDescent="0.2">
      <c r="A1699" s="76"/>
      <c r="B1699" s="77"/>
      <c r="C1699" s="78"/>
      <c r="D1699" s="81"/>
      <c r="E1699" s="81"/>
      <c r="F1699" s="79">
        <f t="shared" si="26"/>
        <v>0</v>
      </c>
      <c r="G1699" s="78"/>
    </row>
    <row r="1700" spans="1:7" x14ac:dyDescent="0.2">
      <c r="A1700" s="76"/>
      <c r="B1700" s="77"/>
      <c r="C1700" s="78"/>
      <c r="D1700" s="81"/>
      <c r="E1700" s="81"/>
      <c r="F1700" s="79">
        <f t="shared" si="26"/>
        <v>0</v>
      </c>
      <c r="G1700" s="78"/>
    </row>
    <row r="1701" spans="1:7" x14ac:dyDescent="0.2">
      <c r="A1701" s="76"/>
      <c r="B1701" s="86"/>
      <c r="C1701" s="78"/>
      <c r="D1701" s="81"/>
      <c r="E1701" s="81"/>
      <c r="F1701" s="79">
        <f t="shared" si="26"/>
        <v>0</v>
      </c>
      <c r="G1701" s="78"/>
    </row>
    <row r="1702" spans="1:7" x14ac:dyDescent="0.2">
      <c r="A1702" s="76"/>
      <c r="B1702" s="77"/>
      <c r="C1702" s="78"/>
      <c r="D1702" s="81"/>
      <c r="E1702" s="81"/>
      <c r="F1702" s="79">
        <f t="shared" si="26"/>
        <v>0</v>
      </c>
      <c r="G1702" s="78"/>
    </row>
    <row r="1703" spans="1:7" x14ac:dyDescent="0.2">
      <c r="A1703" s="76"/>
      <c r="B1703" s="77"/>
      <c r="C1703" s="78"/>
      <c r="D1703" s="81"/>
      <c r="E1703" s="81"/>
      <c r="F1703" s="79">
        <f t="shared" si="26"/>
        <v>0</v>
      </c>
      <c r="G1703" s="78"/>
    </row>
    <row r="1704" spans="1:7" x14ac:dyDescent="0.2">
      <c r="A1704" s="76"/>
      <c r="B1704" s="77"/>
      <c r="C1704" s="78"/>
      <c r="D1704" s="81"/>
      <c r="E1704" s="81"/>
      <c r="F1704" s="79">
        <f t="shared" si="26"/>
        <v>0</v>
      </c>
      <c r="G1704" s="78"/>
    </row>
    <row r="1705" spans="1:7" x14ac:dyDescent="0.2">
      <c r="A1705" s="76"/>
      <c r="B1705" s="77"/>
      <c r="C1705" s="78"/>
      <c r="D1705" s="81"/>
      <c r="E1705" s="81"/>
      <c r="F1705" s="79">
        <f t="shared" si="26"/>
        <v>0</v>
      </c>
      <c r="G1705" s="78"/>
    </row>
    <row r="1706" spans="1:7" x14ac:dyDescent="0.2">
      <c r="A1706" s="76"/>
      <c r="B1706" s="77"/>
      <c r="C1706" s="78"/>
      <c r="D1706" s="81"/>
      <c r="E1706" s="81"/>
      <c r="F1706" s="79">
        <f t="shared" si="26"/>
        <v>0</v>
      </c>
      <c r="G1706" s="78"/>
    </row>
    <row r="1707" spans="1:7" x14ac:dyDescent="0.2">
      <c r="A1707" s="76"/>
      <c r="B1707" s="77"/>
      <c r="C1707" s="78"/>
      <c r="D1707" s="81"/>
      <c r="E1707" s="81"/>
      <c r="F1707" s="79">
        <f t="shared" si="26"/>
        <v>0</v>
      </c>
      <c r="G1707" s="78"/>
    </row>
    <row r="1708" spans="1:7" x14ac:dyDescent="0.2">
      <c r="A1708" s="76"/>
      <c r="B1708" s="77"/>
      <c r="C1708" s="78"/>
      <c r="D1708" s="81"/>
      <c r="E1708" s="81"/>
      <c r="F1708" s="79">
        <f>E1708-D1708</f>
        <v>0</v>
      </c>
      <c r="G1708" s="78"/>
    </row>
    <row r="1709" spans="1:7" x14ac:dyDescent="0.2">
      <c r="A1709" s="76"/>
      <c r="B1709" s="77"/>
      <c r="C1709" s="78"/>
      <c r="D1709" s="81"/>
      <c r="E1709" s="81"/>
      <c r="F1709" s="79">
        <f t="shared" si="26"/>
        <v>0</v>
      </c>
      <c r="G1709" s="78"/>
    </row>
    <row r="1710" spans="1:7" x14ac:dyDescent="0.2">
      <c r="A1710" s="76"/>
      <c r="B1710" s="77"/>
      <c r="C1710" s="78"/>
      <c r="D1710" s="81"/>
      <c r="E1710" s="81"/>
      <c r="F1710" s="79">
        <f t="shared" si="26"/>
        <v>0</v>
      </c>
      <c r="G1710" s="78"/>
    </row>
    <row r="1711" spans="1:7" x14ac:dyDescent="0.2">
      <c r="A1711" s="76"/>
      <c r="B1711" s="77"/>
      <c r="C1711" s="78"/>
      <c r="D1711" s="81"/>
      <c r="E1711" s="81"/>
      <c r="F1711" s="79">
        <f t="shared" si="26"/>
        <v>0</v>
      </c>
      <c r="G1711" s="78"/>
    </row>
    <row r="1712" spans="1:7" x14ac:dyDescent="0.2">
      <c r="A1712" s="76"/>
      <c r="B1712" s="77"/>
      <c r="C1712" s="78"/>
      <c r="D1712" s="81"/>
      <c r="E1712" s="81"/>
      <c r="F1712" s="79">
        <f t="shared" si="26"/>
        <v>0</v>
      </c>
      <c r="G1712" s="78"/>
    </row>
    <row r="1713" spans="1:7" x14ac:dyDescent="0.2">
      <c r="A1713" s="76"/>
      <c r="B1713" s="77"/>
      <c r="C1713" s="78"/>
      <c r="D1713" s="81"/>
      <c r="E1713" s="81"/>
      <c r="F1713" s="79">
        <f t="shared" si="26"/>
        <v>0</v>
      </c>
      <c r="G1713" s="78"/>
    </row>
    <row r="1714" spans="1:7" x14ac:dyDescent="0.2">
      <c r="A1714" s="76"/>
      <c r="B1714" s="77"/>
      <c r="C1714" s="78"/>
      <c r="D1714" s="81"/>
      <c r="E1714" s="81"/>
      <c r="F1714" s="79">
        <f t="shared" si="26"/>
        <v>0</v>
      </c>
      <c r="G1714" s="78"/>
    </row>
    <row r="1715" spans="1:7" x14ac:dyDescent="0.2">
      <c r="A1715" s="76"/>
      <c r="B1715" s="77"/>
      <c r="C1715" s="78"/>
      <c r="D1715" s="81"/>
      <c r="E1715" s="81"/>
      <c r="F1715" s="79">
        <f t="shared" si="26"/>
        <v>0</v>
      </c>
      <c r="G1715" s="78"/>
    </row>
    <row r="1716" spans="1:7" x14ac:dyDescent="0.2">
      <c r="A1716" s="76"/>
      <c r="B1716" s="77"/>
      <c r="C1716" s="78"/>
      <c r="D1716" s="81"/>
      <c r="E1716" s="81"/>
      <c r="F1716" s="79">
        <f t="shared" si="26"/>
        <v>0</v>
      </c>
      <c r="G1716" s="78"/>
    </row>
    <row r="1717" spans="1:7" x14ac:dyDescent="0.2">
      <c r="A1717" s="76"/>
      <c r="B1717" s="77"/>
      <c r="C1717" s="78"/>
      <c r="D1717" s="81"/>
      <c r="E1717" s="81"/>
      <c r="F1717" s="79">
        <f t="shared" si="26"/>
        <v>0</v>
      </c>
      <c r="G1717" s="78"/>
    </row>
    <row r="1718" spans="1:7" x14ac:dyDescent="0.2">
      <c r="A1718" s="76"/>
      <c r="B1718" s="77"/>
      <c r="C1718" s="78"/>
      <c r="D1718" s="81"/>
      <c r="E1718" s="81"/>
      <c r="F1718" s="79">
        <f t="shared" si="26"/>
        <v>0</v>
      </c>
      <c r="G1718" s="78"/>
    </row>
    <row r="1719" spans="1:7" x14ac:dyDescent="0.2">
      <c r="A1719" s="76"/>
      <c r="B1719" s="77"/>
      <c r="C1719" s="78"/>
      <c r="D1719" s="81"/>
      <c r="E1719" s="81"/>
      <c r="F1719" s="79">
        <f t="shared" si="26"/>
        <v>0</v>
      </c>
      <c r="G1719" s="78"/>
    </row>
    <row r="1720" spans="1:7" x14ac:dyDescent="0.2">
      <c r="A1720" s="76"/>
      <c r="B1720" s="77"/>
      <c r="C1720" s="78"/>
      <c r="D1720" s="81"/>
      <c r="E1720" s="81"/>
      <c r="F1720" s="79">
        <f t="shared" si="26"/>
        <v>0</v>
      </c>
      <c r="G1720" s="78"/>
    </row>
    <row r="1721" spans="1:7" x14ac:dyDescent="0.2">
      <c r="A1721" s="76"/>
      <c r="B1721" s="77"/>
      <c r="C1721" s="78"/>
      <c r="D1721" s="81"/>
      <c r="E1721" s="81"/>
      <c r="F1721" s="79">
        <f t="shared" si="26"/>
        <v>0</v>
      </c>
      <c r="G1721" s="78"/>
    </row>
    <row r="1722" spans="1:7" x14ac:dyDescent="0.2">
      <c r="A1722" s="76"/>
      <c r="B1722" s="77"/>
      <c r="C1722" s="78"/>
      <c r="D1722" s="81"/>
      <c r="E1722" s="81"/>
      <c r="F1722" s="79">
        <f t="shared" si="26"/>
        <v>0</v>
      </c>
      <c r="G1722" s="78"/>
    </row>
    <row r="1723" spans="1:7" x14ac:dyDescent="0.2">
      <c r="A1723" s="76"/>
      <c r="B1723" s="77"/>
      <c r="C1723" s="78"/>
      <c r="D1723" s="81"/>
      <c r="E1723" s="81"/>
      <c r="F1723" s="79">
        <f t="shared" si="26"/>
        <v>0</v>
      </c>
      <c r="G1723" s="78"/>
    </row>
    <row r="1724" spans="1:7" x14ac:dyDescent="0.2">
      <c r="A1724" s="76"/>
      <c r="B1724" s="77"/>
      <c r="C1724" s="78"/>
      <c r="D1724" s="81"/>
      <c r="E1724" s="81"/>
      <c r="F1724" s="79">
        <f t="shared" si="26"/>
        <v>0</v>
      </c>
      <c r="G1724" s="78"/>
    </row>
    <row r="1725" spans="1:7" x14ac:dyDescent="0.2">
      <c r="A1725" s="76"/>
      <c r="B1725" s="77"/>
      <c r="C1725" s="78"/>
      <c r="D1725" s="81"/>
      <c r="E1725" s="81"/>
      <c r="F1725" s="79">
        <f t="shared" si="26"/>
        <v>0</v>
      </c>
      <c r="G1725" s="78"/>
    </row>
    <row r="1726" spans="1:7" x14ac:dyDescent="0.2">
      <c r="A1726" s="76"/>
      <c r="B1726" s="77"/>
      <c r="C1726" s="78"/>
      <c r="D1726" s="81"/>
      <c r="E1726" s="81"/>
      <c r="F1726" s="79">
        <f t="shared" si="26"/>
        <v>0</v>
      </c>
      <c r="G1726" s="78"/>
    </row>
    <row r="1727" spans="1:7" x14ac:dyDescent="0.2">
      <c r="A1727" s="76"/>
      <c r="B1727" s="77"/>
      <c r="C1727" s="78"/>
      <c r="D1727" s="81"/>
      <c r="E1727" s="81"/>
      <c r="F1727" s="79">
        <f t="shared" si="26"/>
        <v>0</v>
      </c>
      <c r="G1727" s="78"/>
    </row>
    <row r="1728" spans="1:7" x14ac:dyDescent="0.2">
      <c r="A1728" s="76"/>
      <c r="B1728" s="77"/>
      <c r="C1728" s="78"/>
      <c r="D1728" s="81"/>
      <c r="E1728" s="81"/>
      <c r="F1728" s="79">
        <f t="shared" si="26"/>
        <v>0</v>
      </c>
      <c r="G1728" s="78"/>
    </row>
    <row r="1729" spans="1:7" x14ac:dyDescent="0.2">
      <c r="A1729" s="76"/>
      <c r="B1729" s="77"/>
      <c r="C1729" s="78"/>
      <c r="D1729" s="81"/>
      <c r="E1729" s="81"/>
      <c r="F1729" s="79">
        <f t="shared" si="26"/>
        <v>0</v>
      </c>
      <c r="G1729" s="78"/>
    </row>
    <row r="1730" spans="1:7" x14ac:dyDescent="0.2">
      <c r="A1730" s="76"/>
      <c r="B1730" s="77"/>
      <c r="C1730" s="78"/>
      <c r="D1730" s="81"/>
      <c r="E1730" s="81"/>
      <c r="F1730" s="79">
        <f t="shared" si="26"/>
        <v>0</v>
      </c>
      <c r="G1730" s="78"/>
    </row>
    <row r="1731" spans="1:7" x14ac:dyDescent="0.2">
      <c r="A1731" s="76"/>
      <c r="B1731" s="77"/>
      <c r="C1731" s="78"/>
      <c r="D1731" s="81"/>
      <c r="E1731" s="81"/>
      <c r="F1731" s="79">
        <f t="shared" si="26"/>
        <v>0</v>
      </c>
      <c r="G1731" s="78"/>
    </row>
    <row r="1732" spans="1:7" x14ac:dyDescent="0.2">
      <c r="A1732" s="76"/>
      <c r="B1732" s="77"/>
      <c r="C1732" s="78"/>
      <c r="D1732" s="81"/>
      <c r="E1732" s="81"/>
      <c r="F1732" s="79">
        <f t="shared" si="26"/>
        <v>0</v>
      </c>
      <c r="G1732" s="78"/>
    </row>
    <row r="1733" spans="1:7" x14ac:dyDescent="0.2">
      <c r="A1733" s="76"/>
      <c r="B1733" s="77"/>
      <c r="C1733" s="78"/>
      <c r="D1733" s="81"/>
      <c r="E1733" s="81"/>
      <c r="F1733" s="79">
        <f t="shared" si="26"/>
        <v>0</v>
      </c>
      <c r="G1733" s="78"/>
    </row>
    <row r="1734" spans="1:7" x14ac:dyDescent="0.2">
      <c r="A1734" s="76"/>
      <c r="B1734" s="77"/>
      <c r="C1734" s="78"/>
      <c r="D1734" s="81"/>
      <c r="E1734" s="81"/>
      <c r="F1734" s="79">
        <f t="shared" si="26"/>
        <v>0</v>
      </c>
      <c r="G1734" s="78"/>
    </row>
    <row r="1735" spans="1:7" x14ac:dyDescent="0.2">
      <c r="A1735" s="76"/>
      <c r="B1735" s="77"/>
      <c r="C1735" s="78"/>
      <c r="D1735" s="81"/>
      <c r="E1735" s="81"/>
      <c r="F1735" s="79">
        <f t="shared" si="26"/>
        <v>0</v>
      </c>
      <c r="G1735" s="78"/>
    </row>
    <row r="1736" spans="1:7" x14ac:dyDescent="0.2">
      <c r="A1736" s="76"/>
      <c r="B1736" s="77"/>
      <c r="C1736" s="78"/>
      <c r="D1736" s="81"/>
      <c r="E1736" s="81"/>
      <c r="F1736" s="79">
        <f t="shared" si="26"/>
        <v>0</v>
      </c>
      <c r="G1736" s="78"/>
    </row>
    <row r="1737" spans="1:7" x14ac:dyDescent="0.2">
      <c r="A1737" s="76"/>
      <c r="B1737" s="77"/>
      <c r="C1737" s="78"/>
      <c r="D1737" s="81"/>
      <c r="E1737" s="81"/>
      <c r="F1737" s="79">
        <f t="shared" si="26"/>
        <v>0</v>
      </c>
      <c r="G1737" s="78"/>
    </row>
    <row r="1738" spans="1:7" x14ac:dyDescent="0.2">
      <c r="A1738" s="76"/>
      <c r="B1738" s="77"/>
      <c r="C1738" s="78"/>
      <c r="D1738" s="81"/>
      <c r="E1738" s="81"/>
      <c r="F1738" s="79">
        <f t="shared" si="26"/>
        <v>0</v>
      </c>
      <c r="G1738" s="78"/>
    </row>
    <row r="1739" spans="1:7" x14ac:dyDescent="0.2">
      <c r="A1739" s="76"/>
      <c r="B1739" s="77"/>
      <c r="C1739" s="78"/>
      <c r="D1739" s="81"/>
      <c r="E1739" s="81"/>
      <c r="F1739" s="79">
        <f t="shared" si="26"/>
        <v>0</v>
      </c>
      <c r="G1739" s="78"/>
    </row>
    <row r="1740" spans="1:7" x14ac:dyDescent="0.2">
      <c r="A1740" s="76"/>
      <c r="B1740" s="77"/>
      <c r="C1740" s="78"/>
      <c r="D1740" s="81"/>
      <c r="E1740" s="81"/>
      <c r="F1740" s="79">
        <f t="shared" si="26"/>
        <v>0</v>
      </c>
      <c r="G1740" s="80"/>
    </row>
    <row r="1741" spans="1:7" x14ac:dyDescent="0.2">
      <c r="A1741" s="76"/>
      <c r="B1741" s="77"/>
      <c r="C1741" s="78"/>
      <c r="D1741" s="81"/>
      <c r="E1741" s="81"/>
      <c r="F1741" s="79">
        <f t="shared" ref="F1741:F1750" si="27">E1741-D1741</f>
        <v>0</v>
      </c>
      <c r="G1741" s="78"/>
    </row>
    <row r="1742" spans="1:7" x14ac:dyDescent="0.2">
      <c r="A1742" s="76"/>
      <c r="B1742" s="77"/>
      <c r="C1742" s="78"/>
      <c r="D1742" s="81"/>
      <c r="E1742" s="81"/>
      <c r="F1742" s="79">
        <f t="shared" si="27"/>
        <v>0</v>
      </c>
      <c r="G1742" s="78"/>
    </row>
    <row r="1743" spans="1:7" x14ac:dyDescent="0.2">
      <c r="A1743" s="76"/>
      <c r="B1743" s="77"/>
      <c r="C1743" s="78"/>
      <c r="D1743" s="81"/>
      <c r="E1743" s="81"/>
      <c r="F1743" s="79">
        <f t="shared" si="27"/>
        <v>0</v>
      </c>
      <c r="G1743" s="78"/>
    </row>
    <row r="1744" spans="1:7" x14ac:dyDescent="0.2">
      <c r="A1744" s="76"/>
      <c r="B1744" s="77"/>
      <c r="C1744" s="78"/>
      <c r="D1744" s="81"/>
      <c r="E1744" s="81"/>
      <c r="F1744" s="79">
        <f t="shared" si="27"/>
        <v>0</v>
      </c>
      <c r="G1744" s="78"/>
    </row>
    <row r="1745" spans="1:7" x14ac:dyDescent="0.2">
      <c r="A1745" s="76"/>
      <c r="B1745" s="77"/>
      <c r="C1745" s="78"/>
      <c r="D1745" s="81"/>
      <c r="E1745" s="81"/>
      <c r="F1745" s="79">
        <f t="shared" si="27"/>
        <v>0</v>
      </c>
      <c r="G1745" s="80"/>
    </row>
    <row r="1746" spans="1:7" x14ac:dyDescent="0.2">
      <c r="A1746" s="76"/>
      <c r="B1746" s="77"/>
      <c r="C1746" s="78"/>
      <c r="D1746" s="81"/>
      <c r="E1746" s="81"/>
      <c r="F1746" s="79">
        <f t="shared" si="27"/>
        <v>0</v>
      </c>
      <c r="G1746" s="78"/>
    </row>
    <row r="1747" spans="1:7" x14ac:dyDescent="0.2">
      <c r="A1747" s="76"/>
      <c r="B1747" s="77"/>
      <c r="C1747" s="78"/>
      <c r="D1747" s="81"/>
      <c r="E1747" s="81"/>
      <c r="F1747" s="79">
        <f t="shared" si="27"/>
        <v>0</v>
      </c>
      <c r="G1747" s="78"/>
    </row>
    <row r="1748" spans="1:7" x14ac:dyDescent="0.2">
      <c r="A1748" s="76"/>
      <c r="B1748" s="77"/>
      <c r="C1748" s="78"/>
      <c r="D1748" s="81"/>
      <c r="E1748" s="81"/>
      <c r="F1748" s="79">
        <f t="shared" si="27"/>
        <v>0</v>
      </c>
      <c r="G1748" s="78"/>
    </row>
    <row r="1749" spans="1:7" x14ac:dyDescent="0.2">
      <c r="A1749" s="76"/>
      <c r="B1749" s="77"/>
      <c r="C1749" s="78"/>
      <c r="D1749" s="81"/>
      <c r="E1749" s="81"/>
      <c r="F1749" s="79">
        <f t="shared" si="27"/>
        <v>0</v>
      </c>
      <c r="G1749" s="78"/>
    </row>
    <row r="1750" spans="1:7" x14ac:dyDescent="0.2">
      <c r="A1750" s="76"/>
      <c r="B1750" s="77"/>
      <c r="C1750" s="78"/>
      <c r="D1750" s="81"/>
      <c r="E1750" s="81"/>
      <c r="F1750" s="79">
        <f t="shared" si="27"/>
        <v>0</v>
      </c>
      <c r="G1750" s="78"/>
    </row>
    <row r="1751" spans="1:7" x14ac:dyDescent="0.2">
      <c r="A1751" s="76"/>
      <c r="B1751" s="77"/>
      <c r="C1751" s="78"/>
      <c r="D1751" s="81"/>
      <c r="E1751" s="81"/>
      <c r="F1751" s="79">
        <f t="shared" ref="F1751:F1782" si="28">E1751-D1751</f>
        <v>0</v>
      </c>
      <c r="G1751" s="78"/>
    </row>
    <row r="1752" spans="1:7" x14ac:dyDescent="0.2">
      <c r="A1752" s="76"/>
      <c r="B1752" s="77"/>
      <c r="C1752" s="78"/>
      <c r="D1752" s="81"/>
      <c r="E1752" s="81"/>
      <c r="F1752" s="79">
        <f t="shared" si="28"/>
        <v>0</v>
      </c>
      <c r="G1752" s="78"/>
    </row>
    <row r="1753" spans="1:7" x14ac:dyDescent="0.2">
      <c r="A1753" s="76"/>
      <c r="B1753" s="77"/>
      <c r="C1753" s="78"/>
      <c r="D1753" s="81"/>
      <c r="E1753" s="81"/>
      <c r="F1753" s="79">
        <f t="shared" si="28"/>
        <v>0</v>
      </c>
      <c r="G1753" s="78"/>
    </row>
    <row r="1754" spans="1:7" x14ac:dyDescent="0.2">
      <c r="A1754" s="76"/>
      <c r="B1754" s="77"/>
      <c r="C1754" s="78"/>
      <c r="D1754" s="81"/>
      <c r="E1754" s="81"/>
      <c r="F1754" s="79">
        <f t="shared" si="28"/>
        <v>0</v>
      </c>
      <c r="G1754" s="78"/>
    </row>
    <row r="1755" spans="1:7" x14ac:dyDescent="0.2">
      <c r="A1755" s="76"/>
      <c r="B1755" s="77"/>
      <c r="C1755" s="78"/>
      <c r="D1755" s="81"/>
      <c r="E1755" s="81"/>
      <c r="F1755" s="79">
        <f t="shared" si="28"/>
        <v>0</v>
      </c>
      <c r="G1755" s="78"/>
    </row>
    <row r="1756" spans="1:7" x14ac:dyDescent="0.2">
      <c r="A1756" s="76"/>
      <c r="B1756" s="77"/>
      <c r="C1756" s="78"/>
      <c r="D1756" s="81"/>
      <c r="E1756" s="81"/>
      <c r="F1756" s="79">
        <f t="shared" si="28"/>
        <v>0</v>
      </c>
      <c r="G1756" s="78"/>
    </row>
    <row r="1757" spans="1:7" x14ac:dyDescent="0.2">
      <c r="A1757" s="76"/>
      <c r="B1757" s="77"/>
      <c r="C1757" s="78"/>
      <c r="D1757" s="81"/>
      <c r="E1757" s="81"/>
      <c r="F1757" s="79">
        <f t="shared" si="28"/>
        <v>0</v>
      </c>
      <c r="G1757" s="78"/>
    </row>
    <row r="1758" spans="1:7" x14ac:dyDescent="0.2">
      <c r="A1758" s="76"/>
      <c r="B1758" s="77"/>
      <c r="C1758" s="78"/>
      <c r="D1758" s="81"/>
      <c r="E1758" s="81"/>
      <c r="F1758" s="79">
        <f t="shared" si="28"/>
        <v>0</v>
      </c>
      <c r="G1758" s="78"/>
    </row>
    <row r="1759" spans="1:7" x14ac:dyDescent="0.2">
      <c r="A1759" s="76"/>
      <c r="B1759" s="77"/>
      <c r="C1759" s="78"/>
      <c r="D1759" s="81"/>
      <c r="E1759" s="81"/>
      <c r="F1759" s="79">
        <f t="shared" si="28"/>
        <v>0</v>
      </c>
      <c r="G1759" s="78"/>
    </row>
    <row r="1760" spans="1:7" x14ac:dyDescent="0.2">
      <c r="A1760" s="76"/>
      <c r="B1760" s="77"/>
      <c r="C1760" s="78"/>
      <c r="D1760" s="81"/>
      <c r="E1760" s="81"/>
      <c r="F1760" s="79">
        <f t="shared" si="28"/>
        <v>0</v>
      </c>
      <c r="G1760" s="78"/>
    </row>
    <row r="1761" spans="1:7" x14ac:dyDescent="0.2">
      <c r="A1761" s="76"/>
      <c r="B1761" s="77"/>
      <c r="C1761" s="78"/>
      <c r="D1761" s="81"/>
      <c r="E1761" s="81"/>
      <c r="F1761" s="79">
        <f t="shared" si="28"/>
        <v>0</v>
      </c>
      <c r="G1761" s="78"/>
    </row>
    <row r="1762" spans="1:7" x14ac:dyDescent="0.2">
      <c r="A1762" s="76"/>
      <c r="B1762" s="77"/>
      <c r="C1762" s="78"/>
      <c r="D1762" s="81"/>
      <c r="E1762" s="81"/>
      <c r="F1762" s="79">
        <f t="shared" si="28"/>
        <v>0</v>
      </c>
      <c r="G1762" s="78"/>
    </row>
    <row r="1763" spans="1:7" x14ac:dyDescent="0.2">
      <c r="A1763" s="76"/>
      <c r="B1763" s="77"/>
      <c r="C1763" s="78"/>
      <c r="D1763" s="81"/>
      <c r="E1763" s="81"/>
      <c r="F1763" s="79">
        <f t="shared" si="28"/>
        <v>0</v>
      </c>
      <c r="G1763" s="78"/>
    </row>
    <row r="1764" spans="1:7" x14ac:dyDescent="0.2">
      <c r="A1764" s="76"/>
      <c r="B1764" s="77"/>
      <c r="C1764" s="78"/>
      <c r="D1764" s="81"/>
      <c r="E1764" s="81"/>
      <c r="F1764" s="79">
        <f t="shared" si="28"/>
        <v>0</v>
      </c>
      <c r="G1764" s="78"/>
    </row>
    <row r="1765" spans="1:7" x14ac:dyDescent="0.2">
      <c r="A1765" s="76"/>
      <c r="B1765" s="77"/>
      <c r="C1765" s="78"/>
      <c r="D1765" s="81"/>
      <c r="E1765" s="81"/>
      <c r="F1765" s="79">
        <f t="shared" si="28"/>
        <v>0</v>
      </c>
      <c r="G1765" s="78"/>
    </row>
    <row r="1766" spans="1:7" x14ac:dyDescent="0.2">
      <c r="A1766" s="76"/>
      <c r="B1766" s="77"/>
      <c r="C1766" s="78"/>
      <c r="D1766" s="81"/>
      <c r="E1766" s="81"/>
      <c r="F1766" s="79">
        <f t="shared" si="28"/>
        <v>0</v>
      </c>
      <c r="G1766" s="78"/>
    </row>
    <row r="1767" spans="1:7" x14ac:dyDescent="0.2">
      <c r="A1767" s="76"/>
      <c r="B1767" s="77"/>
      <c r="C1767" s="78"/>
      <c r="D1767" s="81"/>
      <c r="E1767" s="81"/>
      <c r="F1767" s="79">
        <f t="shared" si="28"/>
        <v>0</v>
      </c>
      <c r="G1767" s="78"/>
    </row>
    <row r="1768" spans="1:7" x14ac:dyDescent="0.2">
      <c r="A1768" s="76"/>
      <c r="B1768" s="77"/>
      <c r="C1768" s="78"/>
      <c r="D1768" s="81"/>
      <c r="E1768" s="81"/>
      <c r="F1768" s="79">
        <f t="shared" si="28"/>
        <v>0</v>
      </c>
      <c r="G1768" s="78"/>
    </row>
    <row r="1769" spans="1:7" x14ac:dyDescent="0.2">
      <c r="A1769" s="76"/>
      <c r="B1769" s="77"/>
      <c r="C1769" s="78"/>
      <c r="D1769" s="81"/>
      <c r="E1769" s="81"/>
      <c r="F1769" s="79">
        <f t="shared" si="28"/>
        <v>0</v>
      </c>
      <c r="G1769" s="78"/>
    </row>
    <row r="1770" spans="1:7" x14ac:dyDescent="0.2">
      <c r="A1770" s="76"/>
      <c r="B1770" s="77"/>
      <c r="C1770" s="78"/>
      <c r="D1770" s="81"/>
      <c r="E1770" s="81"/>
      <c r="F1770" s="79">
        <f t="shared" si="28"/>
        <v>0</v>
      </c>
      <c r="G1770" s="78"/>
    </row>
    <row r="1771" spans="1:7" x14ac:dyDescent="0.2">
      <c r="A1771" s="76"/>
      <c r="B1771" s="77"/>
      <c r="C1771" s="78"/>
      <c r="D1771" s="81"/>
      <c r="E1771" s="81"/>
      <c r="F1771" s="79">
        <f t="shared" si="28"/>
        <v>0</v>
      </c>
      <c r="G1771" s="78"/>
    </row>
    <row r="1772" spans="1:7" x14ac:dyDescent="0.2">
      <c r="A1772" s="76"/>
      <c r="B1772" s="77"/>
      <c r="C1772" s="78"/>
      <c r="D1772" s="81"/>
      <c r="E1772" s="81"/>
      <c r="F1772" s="79">
        <f t="shared" si="28"/>
        <v>0</v>
      </c>
      <c r="G1772" s="78"/>
    </row>
    <row r="1773" spans="1:7" x14ac:dyDescent="0.2">
      <c r="A1773" s="76"/>
      <c r="B1773" s="77"/>
      <c r="C1773" s="78"/>
      <c r="D1773" s="81"/>
      <c r="E1773" s="81"/>
      <c r="F1773" s="79">
        <f t="shared" si="28"/>
        <v>0</v>
      </c>
      <c r="G1773" s="78"/>
    </row>
    <row r="1774" spans="1:7" x14ac:dyDescent="0.2">
      <c r="A1774" s="76"/>
      <c r="B1774" s="77"/>
      <c r="C1774" s="78"/>
      <c r="D1774" s="81"/>
      <c r="E1774" s="81"/>
      <c r="F1774" s="79">
        <f t="shared" si="28"/>
        <v>0</v>
      </c>
      <c r="G1774" s="78"/>
    </row>
    <row r="1775" spans="1:7" x14ac:dyDescent="0.2">
      <c r="A1775" s="76"/>
      <c r="B1775" s="77"/>
      <c r="C1775" s="78"/>
      <c r="D1775" s="81"/>
      <c r="E1775" s="81"/>
      <c r="F1775" s="79">
        <f t="shared" si="28"/>
        <v>0</v>
      </c>
      <c r="G1775" s="78"/>
    </row>
    <row r="1776" spans="1:7" x14ac:dyDescent="0.2">
      <c r="A1776" s="76"/>
      <c r="B1776" s="77"/>
      <c r="C1776" s="78"/>
      <c r="D1776" s="81"/>
      <c r="E1776" s="81"/>
      <c r="F1776" s="79">
        <f t="shared" si="28"/>
        <v>0</v>
      </c>
      <c r="G1776" s="78"/>
    </row>
    <row r="1777" spans="1:7" x14ac:dyDescent="0.2">
      <c r="A1777" s="76"/>
      <c r="B1777" s="77"/>
      <c r="C1777" s="78"/>
      <c r="D1777" s="81"/>
      <c r="E1777" s="81"/>
      <c r="F1777" s="79">
        <f t="shared" si="28"/>
        <v>0</v>
      </c>
      <c r="G1777" s="78"/>
    </row>
    <row r="1778" spans="1:7" x14ac:dyDescent="0.2">
      <c r="A1778" s="76"/>
      <c r="B1778" s="77"/>
      <c r="C1778" s="78"/>
      <c r="D1778" s="81"/>
      <c r="E1778" s="81"/>
      <c r="F1778" s="79">
        <f t="shared" si="28"/>
        <v>0</v>
      </c>
      <c r="G1778" s="78"/>
    </row>
    <row r="1779" spans="1:7" x14ac:dyDescent="0.2">
      <c r="A1779" s="76"/>
      <c r="B1779" s="77"/>
      <c r="C1779" s="78"/>
      <c r="D1779" s="81"/>
      <c r="E1779" s="81"/>
      <c r="F1779" s="79">
        <f t="shared" si="28"/>
        <v>0</v>
      </c>
      <c r="G1779" s="78"/>
    </row>
    <row r="1780" spans="1:7" x14ac:dyDescent="0.2">
      <c r="A1780" s="76"/>
      <c r="B1780" s="77"/>
      <c r="C1780" s="78"/>
      <c r="D1780" s="81"/>
      <c r="E1780" s="81"/>
      <c r="F1780" s="79">
        <f t="shared" si="28"/>
        <v>0</v>
      </c>
      <c r="G1780" s="78"/>
    </row>
    <row r="1781" spans="1:7" x14ac:dyDescent="0.2">
      <c r="A1781" s="76"/>
      <c r="B1781" s="77"/>
      <c r="C1781" s="78"/>
      <c r="D1781" s="81"/>
      <c r="E1781" s="81"/>
      <c r="F1781" s="79">
        <f t="shared" si="28"/>
        <v>0</v>
      </c>
      <c r="G1781" s="78"/>
    </row>
    <row r="1782" spans="1:7" x14ac:dyDescent="0.2">
      <c r="A1782" s="76"/>
      <c r="B1782" s="77"/>
      <c r="C1782" s="78"/>
      <c r="D1782" s="81"/>
      <c r="E1782" s="81"/>
      <c r="F1782" s="79">
        <f t="shared" si="28"/>
        <v>0</v>
      </c>
      <c r="G1782" s="78"/>
    </row>
    <row r="1783" spans="1:7" x14ac:dyDescent="0.2">
      <c r="A1783" s="76"/>
      <c r="B1783" s="77"/>
      <c r="C1783" s="78"/>
      <c r="D1783" s="81"/>
      <c r="E1783" s="81"/>
      <c r="F1783" s="79">
        <f>E1783-D1783</f>
        <v>0</v>
      </c>
      <c r="G1783" s="78"/>
    </row>
    <row r="1784" spans="1:7" x14ac:dyDescent="0.2">
      <c r="A1784" s="76"/>
      <c r="B1784" s="77"/>
      <c r="C1784" s="78"/>
      <c r="D1784" s="81"/>
      <c r="E1784" s="81"/>
      <c r="F1784" s="79">
        <f>E1784-D1784</f>
        <v>0</v>
      </c>
      <c r="G1784" s="78"/>
    </row>
    <row r="1785" spans="1:7" x14ac:dyDescent="0.2">
      <c r="A1785" s="76"/>
      <c r="B1785" s="77"/>
      <c r="C1785" s="78"/>
      <c r="D1785" s="81"/>
      <c r="E1785" s="81"/>
      <c r="F1785" s="79">
        <f>E1785-D1785</f>
        <v>0</v>
      </c>
      <c r="G1785" s="78"/>
    </row>
    <row r="1786" spans="1:7" x14ac:dyDescent="0.2">
      <c r="A1786" s="76"/>
      <c r="B1786" s="77"/>
      <c r="C1786" s="78"/>
      <c r="D1786" s="81"/>
      <c r="E1786" s="81"/>
      <c r="F1786" s="79">
        <f>E1786-D1786</f>
        <v>0</v>
      </c>
      <c r="G1786" s="78"/>
    </row>
    <row r="1787" spans="1:7" x14ac:dyDescent="0.2">
      <c r="A1787" s="76"/>
      <c r="B1787" s="77"/>
      <c r="C1787" s="78"/>
      <c r="D1787" s="81"/>
      <c r="E1787" s="81"/>
      <c r="F1787" s="79">
        <f t="shared" ref="F1787:F1826" si="29">E1787-D1787</f>
        <v>0</v>
      </c>
      <c r="G1787" s="78"/>
    </row>
    <row r="1788" spans="1:7" x14ac:dyDescent="0.2">
      <c r="A1788" s="76"/>
      <c r="B1788" s="77"/>
      <c r="C1788" s="78"/>
      <c r="D1788" s="81"/>
      <c r="E1788" s="81"/>
      <c r="F1788" s="79">
        <f t="shared" si="29"/>
        <v>0</v>
      </c>
      <c r="G1788" s="78"/>
    </row>
    <row r="1789" spans="1:7" x14ac:dyDescent="0.2">
      <c r="A1789" s="76"/>
      <c r="B1789" s="77"/>
      <c r="C1789" s="78"/>
      <c r="D1789" s="81"/>
      <c r="E1789" s="81"/>
      <c r="F1789" s="79">
        <f t="shared" si="29"/>
        <v>0</v>
      </c>
      <c r="G1789" s="78"/>
    </row>
    <row r="1790" spans="1:7" x14ac:dyDescent="0.2">
      <c r="A1790" s="76"/>
      <c r="B1790" s="77"/>
      <c r="C1790" s="78"/>
      <c r="D1790" s="81"/>
      <c r="E1790" s="81"/>
      <c r="F1790" s="79">
        <f t="shared" si="29"/>
        <v>0</v>
      </c>
      <c r="G1790" s="78"/>
    </row>
    <row r="1791" spans="1:7" x14ac:dyDescent="0.2">
      <c r="A1791" s="76"/>
      <c r="B1791" s="77"/>
      <c r="C1791" s="78"/>
      <c r="D1791" s="81"/>
      <c r="E1791" s="81"/>
      <c r="F1791" s="79">
        <f t="shared" si="29"/>
        <v>0</v>
      </c>
      <c r="G1791" s="78"/>
    </row>
    <row r="1792" spans="1:7" x14ac:dyDescent="0.2">
      <c r="A1792" s="76"/>
      <c r="B1792" s="77"/>
      <c r="C1792" s="78"/>
      <c r="D1792" s="81"/>
      <c r="E1792" s="81"/>
      <c r="F1792" s="79">
        <f t="shared" si="29"/>
        <v>0</v>
      </c>
      <c r="G1792" s="78"/>
    </row>
    <row r="1793" spans="1:7" x14ac:dyDescent="0.2">
      <c r="A1793" s="76"/>
      <c r="B1793" s="77"/>
      <c r="C1793" s="78"/>
      <c r="D1793" s="81"/>
      <c r="E1793" s="81"/>
      <c r="F1793" s="79">
        <f t="shared" si="29"/>
        <v>0</v>
      </c>
      <c r="G1793" s="78"/>
    </row>
    <row r="1794" spans="1:7" x14ac:dyDescent="0.2">
      <c r="A1794" s="76"/>
      <c r="B1794" s="77"/>
      <c r="C1794" s="78"/>
      <c r="D1794" s="81"/>
      <c r="E1794" s="81"/>
      <c r="F1794" s="79">
        <f t="shared" si="29"/>
        <v>0</v>
      </c>
      <c r="G1794" s="78"/>
    </row>
    <row r="1795" spans="1:7" x14ac:dyDescent="0.2">
      <c r="A1795" s="76"/>
      <c r="B1795" s="77"/>
      <c r="C1795" s="78"/>
      <c r="D1795" s="81"/>
      <c r="E1795" s="81"/>
      <c r="F1795" s="79">
        <f t="shared" si="29"/>
        <v>0</v>
      </c>
      <c r="G1795" s="78"/>
    </row>
    <row r="1796" spans="1:7" x14ac:dyDescent="0.2">
      <c r="A1796" s="76"/>
      <c r="B1796" s="77"/>
      <c r="C1796" s="78"/>
      <c r="D1796" s="81"/>
      <c r="E1796" s="81"/>
      <c r="F1796" s="79">
        <f t="shared" si="29"/>
        <v>0</v>
      </c>
      <c r="G1796" s="78"/>
    </row>
    <row r="1797" spans="1:7" x14ac:dyDescent="0.2">
      <c r="A1797" s="76"/>
      <c r="B1797" s="77"/>
      <c r="C1797" s="78"/>
      <c r="D1797" s="81"/>
      <c r="E1797" s="81"/>
      <c r="F1797" s="79">
        <f t="shared" si="29"/>
        <v>0</v>
      </c>
      <c r="G1797" s="78"/>
    </row>
    <row r="1798" spans="1:7" x14ac:dyDescent="0.2">
      <c r="A1798" s="76"/>
      <c r="B1798" s="77"/>
      <c r="C1798" s="78"/>
      <c r="D1798" s="81"/>
      <c r="E1798" s="81"/>
      <c r="F1798" s="79">
        <f t="shared" si="29"/>
        <v>0</v>
      </c>
      <c r="G1798" s="78"/>
    </row>
    <row r="1799" spans="1:7" x14ac:dyDescent="0.2">
      <c r="A1799" s="76"/>
      <c r="B1799" s="77"/>
      <c r="C1799" s="78"/>
      <c r="D1799" s="81"/>
      <c r="E1799" s="81"/>
      <c r="F1799" s="79">
        <f t="shared" si="29"/>
        <v>0</v>
      </c>
      <c r="G1799" s="78"/>
    </row>
    <row r="1800" spans="1:7" x14ac:dyDescent="0.2">
      <c r="A1800" s="76"/>
      <c r="B1800" s="77"/>
      <c r="C1800" s="78"/>
      <c r="D1800" s="81"/>
      <c r="E1800" s="81"/>
      <c r="F1800" s="79">
        <f t="shared" si="29"/>
        <v>0</v>
      </c>
      <c r="G1800" s="78"/>
    </row>
    <row r="1801" spans="1:7" x14ac:dyDescent="0.2">
      <c r="A1801" s="76"/>
      <c r="B1801" s="77"/>
      <c r="C1801" s="78"/>
      <c r="D1801" s="81"/>
      <c r="E1801" s="81"/>
      <c r="F1801" s="79">
        <f t="shared" si="29"/>
        <v>0</v>
      </c>
      <c r="G1801" s="78"/>
    </row>
    <row r="1802" spans="1:7" x14ac:dyDescent="0.2">
      <c r="A1802" s="76"/>
      <c r="B1802" s="77"/>
      <c r="C1802" s="78"/>
      <c r="D1802" s="81"/>
      <c r="E1802" s="81"/>
      <c r="F1802" s="79">
        <f t="shared" si="29"/>
        <v>0</v>
      </c>
      <c r="G1802" s="78"/>
    </row>
    <row r="1803" spans="1:7" x14ac:dyDescent="0.2">
      <c r="A1803" s="76"/>
      <c r="B1803" s="77"/>
      <c r="C1803" s="78"/>
      <c r="D1803" s="81"/>
      <c r="E1803" s="81"/>
      <c r="F1803" s="79">
        <f t="shared" si="29"/>
        <v>0</v>
      </c>
      <c r="G1803" s="78"/>
    </row>
    <row r="1804" spans="1:7" x14ac:dyDescent="0.2">
      <c r="A1804" s="76"/>
      <c r="B1804" s="77"/>
      <c r="C1804" s="78"/>
      <c r="D1804" s="81"/>
      <c r="E1804" s="81"/>
      <c r="F1804" s="79">
        <f t="shared" si="29"/>
        <v>0</v>
      </c>
      <c r="G1804" s="78"/>
    </row>
    <row r="1805" spans="1:7" x14ac:dyDescent="0.2">
      <c r="A1805" s="76"/>
      <c r="B1805" s="77"/>
      <c r="C1805" s="78"/>
      <c r="D1805" s="81"/>
      <c r="E1805" s="81"/>
      <c r="F1805" s="79">
        <f t="shared" si="29"/>
        <v>0</v>
      </c>
      <c r="G1805" s="78"/>
    </row>
    <row r="1806" spans="1:7" x14ac:dyDescent="0.2">
      <c r="A1806" s="76"/>
      <c r="B1806" s="77"/>
      <c r="C1806" s="78"/>
      <c r="D1806" s="81"/>
      <c r="E1806" s="81"/>
      <c r="F1806" s="79">
        <f t="shared" si="29"/>
        <v>0</v>
      </c>
      <c r="G1806" s="78"/>
    </row>
    <row r="1807" spans="1:7" x14ac:dyDescent="0.2">
      <c r="A1807" s="76"/>
      <c r="B1807" s="77"/>
      <c r="C1807" s="78"/>
      <c r="D1807" s="81"/>
      <c r="E1807" s="81"/>
      <c r="F1807" s="79">
        <f t="shared" si="29"/>
        <v>0</v>
      </c>
      <c r="G1807" s="78"/>
    </row>
    <row r="1808" spans="1:7" x14ac:dyDescent="0.2">
      <c r="A1808" s="76"/>
      <c r="B1808" s="77"/>
      <c r="C1808" s="78"/>
      <c r="D1808" s="81"/>
      <c r="E1808" s="81"/>
      <c r="F1808" s="79">
        <f t="shared" si="29"/>
        <v>0</v>
      </c>
      <c r="G1808" s="78"/>
    </row>
    <row r="1809" spans="1:7" x14ac:dyDescent="0.2">
      <c r="A1809" s="76"/>
      <c r="B1809" s="77"/>
      <c r="C1809" s="78"/>
      <c r="D1809" s="81"/>
      <c r="E1809" s="81"/>
      <c r="F1809" s="79">
        <f t="shared" si="29"/>
        <v>0</v>
      </c>
      <c r="G1809" s="78"/>
    </row>
    <row r="1810" spans="1:7" x14ac:dyDescent="0.2">
      <c r="A1810" s="76"/>
      <c r="B1810" s="77"/>
      <c r="C1810" s="78"/>
      <c r="D1810" s="81"/>
      <c r="E1810" s="81"/>
      <c r="F1810" s="79">
        <f t="shared" si="29"/>
        <v>0</v>
      </c>
      <c r="G1810" s="78"/>
    </row>
    <row r="1811" spans="1:7" x14ac:dyDescent="0.2">
      <c r="A1811" s="76"/>
      <c r="B1811" s="77"/>
      <c r="C1811" s="78"/>
      <c r="D1811" s="81"/>
      <c r="E1811" s="81"/>
      <c r="F1811" s="79">
        <f t="shared" si="29"/>
        <v>0</v>
      </c>
      <c r="G1811" s="78"/>
    </row>
    <row r="1812" spans="1:7" x14ac:dyDescent="0.2">
      <c r="A1812" s="76"/>
      <c r="B1812" s="77"/>
      <c r="C1812" s="78"/>
      <c r="D1812" s="81"/>
      <c r="E1812" s="81"/>
      <c r="F1812" s="79">
        <f t="shared" si="29"/>
        <v>0</v>
      </c>
      <c r="G1812" s="78"/>
    </row>
    <row r="1813" spans="1:7" x14ac:dyDescent="0.2">
      <c r="A1813" s="76"/>
      <c r="B1813" s="77"/>
      <c r="C1813" s="78"/>
      <c r="D1813" s="81"/>
      <c r="E1813" s="81"/>
      <c r="F1813" s="79">
        <f t="shared" si="29"/>
        <v>0</v>
      </c>
      <c r="G1813" s="78"/>
    </row>
    <row r="1814" spans="1:7" x14ac:dyDescent="0.2">
      <c r="A1814" s="76"/>
      <c r="B1814" s="77"/>
      <c r="C1814" s="78"/>
      <c r="D1814" s="81"/>
      <c r="E1814" s="81"/>
      <c r="F1814" s="79">
        <f t="shared" si="29"/>
        <v>0</v>
      </c>
      <c r="G1814" s="78"/>
    </row>
    <row r="1815" spans="1:7" x14ac:dyDescent="0.2">
      <c r="A1815" s="76"/>
      <c r="B1815" s="77"/>
      <c r="C1815" s="78"/>
      <c r="D1815" s="81"/>
      <c r="E1815" s="81"/>
      <c r="F1815" s="79">
        <f t="shared" si="29"/>
        <v>0</v>
      </c>
      <c r="G1815" s="78"/>
    </row>
    <row r="1816" spans="1:7" x14ac:dyDescent="0.2">
      <c r="A1816" s="76"/>
      <c r="B1816" s="77"/>
      <c r="C1816" s="78"/>
      <c r="D1816" s="81"/>
      <c r="E1816" s="81"/>
      <c r="F1816" s="79">
        <f t="shared" si="29"/>
        <v>0</v>
      </c>
      <c r="G1816" s="78"/>
    </row>
    <row r="1817" spans="1:7" x14ac:dyDescent="0.2">
      <c r="A1817" s="76"/>
      <c r="B1817" s="77"/>
      <c r="C1817" s="78"/>
      <c r="D1817" s="81"/>
      <c r="E1817" s="81"/>
      <c r="F1817" s="79">
        <f t="shared" si="29"/>
        <v>0</v>
      </c>
      <c r="G1817" s="78"/>
    </row>
    <row r="1818" spans="1:7" x14ac:dyDescent="0.2">
      <c r="A1818" s="76"/>
      <c r="B1818" s="77"/>
      <c r="C1818" s="78"/>
      <c r="D1818" s="81"/>
      <c r="E1818" s="81"/>
      <c r="F1818" s="79">
        <f t="shared" si="29"/>
        <v>0</v>
      </c>
      <c r="G1818" s="78"/>
    </row>
    <row r="1819" spans="1:7" x14ac:dyDescent="0.2">
      <c r="A1819" s="76"/>
      <c r="B1819" s="77"/>
      <c r="C1819" s="78"/>
      <c r="D1819" s="81"/>
      <c r="E1819" s="81"/>
      <c r="F1819" s="79">
        <f t="shared" si="29"/>
        <v>0</v>
      </c>
      <c r="G1819" s="78"/>
    </row>
    <row r="1820" spans="1:7" x14ac:dyDescent="0.2">
      <c r="A1820" s="76"/>
      <c r="B1820" s="77"/>
      <c r="C1820" s="78"/>
      <c r="D1820" s="81"/>
      <c r="E1820" s="81"/>
      <c r="F1820" s="79">
        <f t="shared" si="29"/>
        <v>0</v>
      </c>
      <c r="G1820" s="78"/>
    </row>
    <row r="1821" spans="1:7" x14ac:dyDescent="0.2">
      <c r="A1821" s="76"/>
      <c r="B1821" s="87"/>
      <c r="C1821" s="78"/>
      <c r="D1821" s="81"/>
      <c r="E1821" s="81"/>
      <c r="F1821" s="79">
        <f t="shared" si="29"/>
        <v>0</v>
      </c>
      <c r="G1821" s="78"/>
    </row>
    <row r="1822" spans="1:7" x14ac:dyDescent="0.2">
      <c r="A1822" s="76"/>
      <c r="B1822" s="77"/>
      <c r="C1822" s="78"/>
      <c r="D1822" s="81"/>
      <c r="E1822" s="81"/>
      <c r="F1822" s="79">
        <f t="shared" si="29"/>
        <v>0</v>
      </c>
      <c r="G1822" s="78"/>
    </row>
    <row r="1823" spans="1:7" x14ac:dyDescent="0.2">
      <c r="A1823" s="76"/>
      <c r="B1823" s="77"/>
      <c r="C1823" s="78"/>
      <c r="D1823" s="81"/>
      <c r="E1823" s="81"/>
      <c r="F1823" s="79">
        <f t="shared" si="29"/>
        <v>0</v>
      </c>
      <c r="G1823" s="78"/>
    </row>
    <row r="1824" spans="1:7" x14ac:dyDescent="0.2">
      <c r="A1824" s="76"/>
      <c r="B1824" s="77"/>
      <c r="C1824" s="78"/>
      <c r="D1824" s="81"/>
      <c r="E1824" s="81"/>
      <c r="F1824" s="79">
        <f t="shared" si="29"/>
        <v>0</v>
      </c>
      <c r="G1824" s="78"/>
    </row>
    <row r="1825" spans="1:7" x14ac:dyDescent="0.2">
      <c r="A1825" s="76"/>
      <c r="B1825" s="77"/>
      <c r="C1825" s="78"/>
      <c r="D1825" s="81"/>
      <c r="E1825" s="81"/>
      <c r="F1825" s="79">
        <f t="shared" si="29"/>
        <v>0</v>
      </c>
      <c r="G1825" s="78"/>
    </row>
    <row r="1826" spans="1:7" x14ac:dyDescent="0.2">
      <c r="A1826" s="76"/>
      <c r="B1826" s="77"/>
      <c r="C1826" s="78"/>
      <c r="D1826" s="81"/>
      <c r="E1826" s="81"/>
      <c r="F1826" s="79">
        <f t="shared" si="29"/>
        <v>0</v>
      </c>
      <c r="G1826" s="78"/>
    </row>
    <row r="1827" spans="1:7" x14ac:dyDescent="0.2">
      <c r="A1827" s="76"/>
      <c r="B1827" s="77"/>
      <c r="C1827" s="78"/>
      <c r="D1827" s="81"/>
      <c r="E1827" s="81"/>
      <c r="F1827" s="79">
        <f>E1827-D1827</f>
        <v>0</v>
      </c>
      <c r="G1827" s="78"/>
    </row>
    <row r="1828" spans="1:7" x14ac:dyDescent="0.2">
      <c r="A1828" s="76"/>
      <c r="B1828" s="77"/>
      <c r="C1828" s="78"/>
      <c r="D1828" s="81"/>
      <c r="E1828" s="81"/>
      <c r="F1828" s="79">
        <f t="shared" ref="F1828:F1864" si="30">E1828-D1828</f>
        <v>0</v>
      </c>
      <c r="G1828" s="78"/>
    </row>
    <row r="1829" spans="1:7" x14ac:dyDescent="0.2">
      <c r="A1829" s="76"/>
      <c r="B1829" s="77"/>
      <c r="C1829" s="78"/>
      <c r="D1829" s="81"/>
      <c r="E1829" s="81"/>
      <c r="F1829" s="79">
        <f t="shared" si="30"/>
        <v>0</v>
      </c>
      <c r="G1829" s="78"/>
    </row>
    <row r="1830" spans="1:7" x14ac:dyDescent="0.2">
      <c r="A1830" s="76"/>
      <c r="B1830" s="77"/>
      <c r="C1830" s="78"/>
      <c r="D1830" s="81"/>
      <c r="E1830" s="81"/>
      <c r="F1830" s="79">
        <f t="shared" si="30"/>
        <v>0</v>
      </c>
      <c r="G1830" s="78"/>
    </row>
    <row r="1831" spans="1:7" x14ac:dyDescent="0.2">
      <c r="A1831" s="76"/>
      <c r="B1831" s="77"/>
      <c r="C1831" s="78"/>
      <c r="D1831" s="81"/>
      <c r="E1831" s="81"/>
      <c r="F1831" s="79">
        <f t="shared" si="30"/>
        <v>0</v>
      </c>
      <c r="G1831" s="78"/>
    </row>
    <row r="1832" spans="1:7" x14ac:dyDescent="0.2">
      <c r="A1832" s="76"/>
      <c r="B1832" s="77"/>
      <c r="C1832" s="78"/>
      <c r="D1832" s="81"/>
      <c r="E1832" s="81"/>
      <c r="F1832" s="79">
        <f t="shared" si="30"/>
        <v>0</v>
      </c>
      <c r="G1832" s="78"/>
    </row>
    <row r="1833" spans="1:7" x14ac:dyDescent="0.2">
      <c r="A1833" s="76"/>
      <c r="B1833" s="77"/>
      <c r="C1833" s="78"/>
      <c r="D1833" s="81"/>
      <c r="E1833" s="81"/>
      <c r="F1833" s="79">
        <f t="shared" si="30"/>
        <v>0</v>
      </c>
      <c r="G1833" s="78"/>
    </row>
    <row r="1834" spans="1:7" x14ac:dyDescent="0.2">
      <c r="A1834" s="76"/>
      <c r="B1834" s="77"/>
      <c r="C1834" s="78"/>
      <c r="D1834" s="81"/>
      <c r="E1834" s="81"/>
      <c r="F1834" s="79">
        <f t="shared" si="30"/>
        <v>0</v>
      </c>
      <c r="G1834" s="78"/>
    </row>
    <row r="1835" spans="1:7" x14ac:dyDescent="0.2">
      <c r="A1835" s="76"/>
      <c r="B1835" s="77"/>
      <c r="C1835" s="78"/>
      <c r="D1835" s="81"/>
      <c r="E1835" s="81"/>
      <c r="F1835" s="79">
        <f t="shared" si="30"/>
        <v>0</v>
      </c>
      <c r="G1835" s="78"/>
    </row>
    <row r="1836" spans="1:7" x14ac:dyDescent="0.2">
      <c r="A1836" s="76"/>
      <c r="B1836" s="77"/>
      <c r="C1836" s="78"/>
      <c r="D1836" s="81"/>
      <c r="E1836" s="81"/>
      <c r="F1836" s="79">
        <f t="shared" si="30"/>
        <v>0</v>
      </c>
      <c r="G1836" s="78"/>
    </row>
    <row r="1837" spans="1:7" x14ac:dyDescent="0.2">
      <c r="A1837" s="76"/>
      <c r="B1837" s="77"/>
      <c r="C1837" s="78"/>
      <c r="D1837" s="81"/>
      <c r="E1837" s="81"/>
      <c r="F1837" s="79">
        <f t="shared" si="30"/>
        <v>0</v>
      </c>
      <c r="G1837" s="78"/>
    </row>
    <row r="1838" spans="1:7" x14ac:dyDescent="0.2">
      <c r="A1838" s="76"/>
      <c r="B1838" s="77"/>
      <c r="C1838" s="78"/>
      <c r="D1838" s="81"/>
      <c r="E1838" s="81"/>
      <c r="F1838" s="79">
        <f t="shared" si="30"/>
        <v>0</v>
      </c>
      <c r="G1838" s="78"/>
    </row>
    <row r="1839" spans="1:7" x14ac:dyDescent="0.2">
      <c r="A1839" s="76"/>
      <c r="B1839" s="77"/>
      <c r="C1839" s="78"/>
      <c r="D1839" s="81"/>
      <c r="E1839" s="81"/>
      <c r="F1839" s="79">
        <f t="shared" si="30"/>
        <v>0</v>
      </c>
      <c r="G1839" s="78"/>
    </row>
    <row r="1840" spans="1:7" x14ac:dyDescent="0.2">
      <c r="A1840" s="76"/>
      <c r="B1840" s="77"/>
      <c r="C1840" s="78"/>
      <c r="D1840" s="81"/>
      <c r="E1840" s="81"/>
      <c r="F1840" s="79">
        <f t="shared" si="30"/>
        <v>0</v>
      </c>
      <c r="G1840" s="78"/>
    </row>
    <row r="1841" spans="1:7" x14ac:dyDescent="0.2">
      <c r="A1841" s="76"/>
      <c r="B1841" s="77"/>
      <c r="C1841" s="78"/>
      <c r="D1841" s="81"/>
      <c r="E1841" s="81"/>
      <c r="F1841" s="79">
        <f t="shared" si="30"/>
        <v>0</v>
      </c>
      <c r="G1841" s="78"/>
    </row>
    <row r="1842" spans="1:7" x14ac:dyDescent="0.2">
      <c r="A1842" s="76"/>
      <c r="B1842" s="77"/>
      <c r="C1842" s="78"/>
      <c r="D1842" s="81"/>
      <c r="E1842" s="81"/>
      <c r="F1842" s="79">
        <f t="shared" si="30"/>
        <v>0</v>
      </c>
      <c r="G1842" s="78"/>
    </row>
    <row r="1843" spans="1:7" x14ac:dyDescent="0.2">
      <c r="A1843" s="76"/>
      <c r="B1843" s="77"/>
      <c r="C1843" s="78"/>
      <c r="D1843" s="81"/>
      <c r="E1843" s="81"/>
      <c r="F1843" s="79">
        <f t="shared" si="30"/>
        <v>0</v>
      </c>
      <c r="G1843" s="78"/>
    </row>
    <row r="1844" spans="1:7" x14ac:dyDescent="0.2">
      <c r="A1844" s="76"/>
      <c r="B1844" s="77"/>
      <c r="C1844" s="78"/>
      <c r="D1844" s="81"/>
      <c r="E1844" s="81"/>
      <c r="F1844" s="79">
        <f t="shared" si="30"/>
        <v>0</v>
      </c>
      <c r="G1844" s="78"/>
    </row>
    <row r="1845" spans="1:7" x14ac:dyDescent="0.2">
      <c r="A1845" s="76"/>
      <c r="B1845" s="77"/>
      <c r="C1845" s="78"/>
      <c r="D1845" s="81"/>
      <c r="E1845" s="81"/>
      <c r="F1845" s="79">
        <f t="shared" si="30"/>
        <v>0</v>
      </c>
      <c r="G1845" s="78"/>
    </row>
    <row r="1846" spans="1:7" x14ac:dyDescent="0.2">
      <c r="A1846" s="76"/>
      <c r="B1846" s="77"/>
      <c r="C1846" s="78"/>
      <c r="D1846" s="81"/>
      <c r="E1846" s="81"/>
      <c r="F1846" s="79">
        <f t="shared" si="30"/>
        <v>0</v>
      </c>
      <c r="G1846" s="78"/>
    </row>
    <row r="1847" spans="1:7" x14ac:dyDescent="0.2">
      <c r="A1847" s="76"/>
      <c r="B1847" s="77"/>
      <c r="C1847" s="78"/>
      <c r="D1847" s="81"/>
      <c r="E1847" s="81"/>
      <c r="F1847" s="79">
        <f t="shared" si="30"/>
        <v>0</v>
      </c>
      <c r="G1847" s="78"/>
    </row>
    <row r="1848" spans="1:7" x14ac:dyDescent="0.2">
      <c r="A1848" s="76"/>
      <c r="B1848" s="77"/>
      <c r="C1848" s="78"/>
      <c r="D1848" s="81"/>
      <c r="E1848" s="81"/>
      <c r="F1848" s="79">
        <f t="shared" si="30"/>
        <v>0</v>
      </c>
      <c r="G1848" s="78"/>
    </row>
    <row r="1849" spans="1:7" x14ac:dyDescent="0.2">
      <c r="A1849" s="76"/>
      <c r="B1849" s="77"/>
      <c r="C1849" s="78"/>
      <c r="D1849" s="81"/>
      <c r="E1849" s="81"/>
      <c r="F1849" s="79">
        <f t="shared" si="30"/>
        <v>0</v>
      </c>
      <c r="G1849" s="78"/>
    </row>
    <row r="1850" spans="1:7" x14ac:dyDescent="0.2">
      <c r="A1850" s="76"/>
      <c r="B1850" s="77"/>
      <c r="C1850" s="78"/>
      <c r="D1850" s="81"/>
      <c r="E1850" s="81"/>
      <c r="F1850" s="79">
        <f t="shared" si="30"/>
        <v>0</v>
      </c>
      <c r="G1850" s="78"/>
    </row>
    <row r="1851" spans="1:7" x14ac:dyDescent="0.2">
      <c r="A1851" s="76"/>
      <c r="B1851" s="77"/>
      <c r="C1851" s="78"/>
      <c r="D1851" s="81"/>
      <c r="E1851" s="81"/>
      <c r="F1851" s="79">
        <f t="shared" si="30"/>
        <v>0</v>
      </c>
      <c r="G1851" s="78"/>
    </row>
    <row r="1852" spans="1:7" x14ac:dyDescent="0.2">
      <c r="A1852" s="76"/>
      <c r="B1852" s="77"/>
      <c r="C1852" s="78"/>
      <c r="D1852" s="81"/>
      <c r="E1852" s="81"/>
      <c r="F1852" s="79">
        <f t="shared" si="30"/>
        <v>0</v>
      </c>
      <c r="G1852" s="78"/>
    </row>
    <row r="1853" spans="1:7" x14ac:dyDescent="0.2">
      <c r="A1853" s="76"/>
      <c r="B1853" s="77"/>
      <c r="C1853" s="78"/>
      <c r="D1853" s="81"/>
      <c r="E1853" s="81"/>
      <c r="F1853" s="79">
        <f t="shared" si="30"/>
        <v>0</v>
      </c>
      <c r="G1853" s="78"/>
    </row>
    <row r="1854" spans="1:7" x14ac:dyDescent="0.2">
      <c r="A1854" s="76"/>
      <c r="B1854" s="77"/>
      <c r="C1854" s="78"/>
      <c r="D1854" s="81"/>
      <c r="E1854" s="81"/>
      <c r="F1854" s="79">
        <f t="shared" si="30"/>
        <v>0</v>
      </c>
      <c r="G1854" s="78"/>
    </row>
    <row r="1855" spans="1:7" x14ac:dyDescent="0.2">
      <c r="A1855" s="76"/>
      <c r="B1855" s="77"/>
      <c r="C1855" s="78"/>
      <c r="D1855" s="81"/>
      <c r="E1855" s="81"/>
      <c r="F1855" s="79">
        <f t="shared" si="30"/>
        <v>0</v>
      </c>
      <c r="G1855" s="78"/>
    </row>
    <row r="1856" spans="1:7" x14ac:dyDescent="0.2">
      <c r="A1856" s="76"/>
      <c r="B1856" s="77"/>
      <c r="C1856" s="78"/>
      <c r="D1856" s="81"/>
      <c r="E1856" s="81"/>
      <c r="F1856" s="79">
        <f t="shared" si="30"/>
        <v>0</v>
      </c>
      <c r="G1856" s="78"/>
    </row>
    <row r="1857" spans="1:7" x14ac:dyDescent="0.2">
      <c r="A1857" s="76"/>
      <c r="B1857" s="77"/>
      <c r="C1857" s="78"/>
      <c r="D1857" s="81"/>
      <c r="E1857" s="81"/>
      <c r="F1857" s="79">
        <f t="shared" si="30"/>
        <v>0</v>
      </c>
      <c r="G1857" s="78"/>
    </row>
    <row r="1858" spans="1:7" x14ac:dyDescent="0.2">
      <c r="A1858" s="76"/>
      <c r="B1858" s="77"/>
      <c r="C1858" s="78"/>
      <c r="D1858" s="81"/>
      <c r="E1858" s="81"/>
      <c r="F1858" s="79">
        <f t="shared" si="30"/>
        <v>0</v>
      </c>
      <c r="G1858" s="78"/>
    </row>
    <row r="1859" spans="1:7" x14ac:dyDescent="0.2">
      <c r="A1859" s="76"/>
      <c r="B1859" s="77"/>
      <c r="C1859" s="78"/>
      <c r="D1859" s="81"/>
      <c r="E1859" s="81"/>
      <c r="F1859" s="79">
        <f t="shared" si="30"/>
        <v>0</v>
      </c>
      <c r="G1859" s="78"/>
    </row>
    <row r="1860" spans="1:7" x14ac:dyDescent="0.2">
      <c r="A1860" s="76"/>
      <c r="B1860" s="77"/>
      <c r="C1860" s="78"/>
      <c r="D1860" s="81"/>
      <c r="E1860" s="81"/>
      <c r="F1860" s="79">
        <f t="shared" si="30"/>
        <v>0</v>
      </c>
      <c r="G1860" s="78"/>
    </row>
    <row r="1861" spans="1:7" x14ac:dyDescent="0.2">
      <c r="A1861" s="76"/>
      <c r="B1861" s="77"/>
      <c r="C1861" s="78"/>
      <c r="D1861" s="81"/>
      <c r="E1861" s="81"/>
      <c r="F1861" s="79">
        <f t="shared" si="30"/>
        <v>0</v>
      </c>
      <c r="G1861" s="78"/>
    </row>
    <row r="1862" spans="1:7" x14ac:dyDescent="0.2">
      <c r="A1862" s="76"/>
      <c r="B1862" s="77"/>
      <c r="C1862" s="78"/>
      <c r="D1862" s="81"/>
      <c r="E1862" s="81"/>
      <c r="F1862" s="79">
        <f t="shared" si="30"/>
        <v>0</v>
      </c>
      <c r="G1862" s="78"/>
    </row>
    <row r="1863" spans="1:7" x14ac:dyDescent="0.2">
      <c r="A1863" s="76"/>
      <c r="B1863" s="77"/>
      <c r="C1863" s="78"/>
      <c r="D1863" s="81"/>
      <c r="E1863" s="81"/>
      <c r="F1863" s="79">
        <f t="shared" si="30"/>
        <v>0</v>
      </c>
      <c r="G1863" s="78"/>
    </row>
    <row r="1864" spans="1:7" x14ac:dyDescent="0.2">
      <c r="A1864" s="76"/>
      <c r="B1864" s="77"/>
      <c r="C1864" s="78"/>
      <c r="D1864" s="81"/>
      <c r="E1864" s="81"/>
      <c r="F1864" s="79">
        <f t="shared" si="30"/>
        <v>0</v>
      </c>
      <c r="G1864" s="78"/>
    </row>
    <row r="1865" spans="1:7" x14ac:dyDescent="0.2">
      <c r="A1865" s="76"/>
      <c r="B1865" s="77"/>
      <c r="C1865" s="78"/>
      <c r="D1865" s="81"/>
      <c r="E1865" s="81"/>
      <c r="F1865" s="79">
        <f>E1865-D1865</f>
        <v>0</v>
      </c>
      <c r="G1865" s="78"/>
    </row>
    <row r="1866" spans="1:7" x14ac:dyDescent="0.2">
      <c r="A1866" s="76"/>
      <c r="B1866" s="77"/>
      <c r="C1866" s="78"/>
      <c r="D1866" s="81"/>
      <c r="E1866" s="81"/>
      <c r="F1866" s="79">
        <f t="shared" ref="F1866:F1929" si="31">E1866-D1866</f>
        <v>0</v>
      </c>
      <c r="G1866" s="78"/>
    </row>
    <row r="1867" spans="1:7" x14ac:dyDescent="0.2">
      <c r="A1867" s="76"/>
      <c r="B1867" s="77"/>
      <c r="C1867" s="78"/>
      <c r="D1867" s="81"/>
      <c r="E1867" s="81"/>
      <c r="F1867" s="79">
        <f t="shared" si="31"/>
        <v>0</v>
      </c>
      <c r="G1867" s="78"/>
    </row>
    <row r="1868" spans="1:7" x14ac:dyDescent="0.2">
      <c r="A1868" s="76"/>
      <c r="B1868" s="77"/>
      <c r="C1868" s="78"/>
      <c r="D1868" s="81"/>
      <c r="E1868" s="81"/>
      <c r="F1868" s="79">
        <f t="shared" si="31"/>
        <v>0</v>
      </c>
      <c r="G1868" s="78"/>
    </row>
    <row r="1869" spans="1:7" x14ac:dyDescent="0.2">
      <c r="A1869" s="76"/>
      <c r="B1869" s="77"/>
      <c r="C1869" s="78"/>
      <c r="D1869" s="81"/>
      <c r="E1869" s="81"/>
      <c r="F1869" s="79">
        <f t="shared" si="31"/>
        <v>0</v>
      </c>
      <c r="G1869" s="78"/>
    </row>
    <row r="1870" spans="1:7" x14ac:dyDescent="0.2">
      <c r="A1870" s="76"/>
      <c r="B1870" s="77"/>
      <c r="C1870" s="78"/>
      <c r="D1870" s="81"/>
      <c r="E1870" s="81"/>
      <c r="F1870" s="79">
        <f t="shared" si="31"/>
        <v>0</v>
      </c>
      <c r="G1870" s="78"/>
    </row>
    <row r="1871" spans="1:7" x14ac:dyDescent="0.2">
      <c r="A1871" s="76"/>
      <c r="B1871" s="77"/>
      <c r="C1871" s="78"/>
      <c r="D1871" s="81"/>
      <c r="E1871" s="81"/>
      <c r="F1871" s="79">
        <f t="shared" si="31"/>
        <v>0</v>
      </c>
      <c r="G1871" s="78"/>
    </row>
    <row r="1872" spans="1:7" x14ac:dyDescent="0.2">
      <c r="A1872" s="76"/>
      <c r="B1872" s="77"/>
      <c r="C1872" s="78"/>
      <c r="D1872" s="81"/>
      <c r="E1872" s="81"/>
      <c r="F1872" s="79">
        <f t="shared" si="31"/>
        <v>0</v>
      </c>
      <c r="G1872" s="78"/>
    </row>
    <row r="1873" spans="1:7" x14ac:dyDescent="0.2">
      <c r="A1873" s="76"/>
      <c r="B1873" s="77"/>
      <c r="C1873" s="78"/>
      <c r="D1873" s="81"/>
      <c r="E1873" s="81"/>
      <c r="F1873" s="79">
        <f t="shared" si="31"/>
        <v>0</v>
      </c>
      <c r="G1873" s="78"/>
    </row>
    <row r="1874" spans="1:7" x14ac:dyDescent="0.2">
      <c r="A1874" s="76"/>
      <c r="B1874" s="77"/>
      <c r="C1874" s="78"/>
      <c r="D1874" s="81"/>
      <c r="E1874" s="81"/>
      <c r="F1874" s="79">
        <f t="shared" si="31"/>
        <v>0</v>
      </c>
      <c r="G1874" s="78"/>
    </row>
    <row r="1875" spans="1:7" x14ac:dyDescent="0.2">
      <c r="A1875" s="76"/>
      <c r="B1875" s="77"/>
      <c r="C1875" s="78"/>
      <c r="D1875" s="81"/>
      <c r="E1875" s="81"/>
      <c r="F1875" s="79">
        <f t="shared" si="31"/>
        <v>0</v>
      </c>
      <c r="G1875" s="78"/>
    </row>
    <row r="1876" spans="1:7" x14ac:dyDescent="0.2">
      <c r="A1876" s="76"/>
      <c r="B1876" s="77"/>
      <c r="C1876" s="78"/>
      <c r="D1876" s="81"/>
      <c r="E1876" s="81"/>
      <c r="F1876" s="79">
        <f t="shared" si="31"/>
        <v>0</v>
      </c>
      <c r="G1876" s="78"/>
    </row>
    <row r="1877" spans="1:7" x14ac:dyDescent="0.2">
      <c r="A1877" s="76"/>
      <c r="B1877" s="77"/>
      <c r="C1877" s="78"/>
      <c r="D1877" s="81"/>
      <c r="E1877" s="81"/>
      <c r="F1877" s="79">
        <f t="shared" si="31"/>
        <v>0</v>
      </c>
      <c r="G1877" s="78"/>
    </row>
    <row r="1878" spans="1:7" x14ac:dyDescent="0.2">
      <c r="A1878" s="76"/>
      <c r="B1878" s="77"/>
      <c r="C1878" s="78"/>
      <c r="D1878" s="81"/>
      <c r="E1878" s="81"/>
      <c r="F1878" s="79">
        <f t="shared" si="31"/>
        <v>0</v>
      </c>
      <c r="G1878" s="78"/>
    </row>
    <row r="1879" spans="1:7" x14ac:dyDescent="0.2">
      <c r="A1879" s="76"/>
      <c r="B1879" s="77"/>
      <c r="C1879" s="78"/>
      <c r="D1879" s="81"/>
      <c r="E1879" s="81"/>
      <c r="F1879" s="79">
        <f t="shared" si="31"/>
        <v>0</v>
      </c>
      <c r="G1879" s="78"/>
    </row>
    <row r="1880" spans="1:7" x14ac:dyDescent="0.2">
      <c r="A1880" s="76"/>
      <c r="B1880" s="77"/>
      <c r="C1880" s="78"/>
      <c r="D1880" s="81"/>
      <c r="E1880" s="81"/>
      <c r="F1880" s="79">
        <f t="shared" si="31"/>
        <v>0</v>
      </c>
      <c r="G1880" s="78"/>
    </row>
    <row r="1881" spans="1:7" x14ac:dyDescent="0.2">
      <c r="A1881" s="76"/>
      <c r="B1881" s="77"/>
      <c r="C1881" s="78"/>
      <c r="D1881" s="81"/>
      <c r="E1881" s="81"/>
      <c r="F1881" s="79">
        <f t="shared" si="31"/>
        <v>0</v>
      </c>
      <c r="G1881" s="78"/>
    </row>
    <row r="1882" spans="1:7" x14ac:dyDescent="0.2">
      <c r="A1882" s="76"/>
      <c r="B1882" s="77"/>
      <c r="C1882" s="78"/>
      <c r="D1882" s="81"/>
      <c r="E1882" s="81"/>
      <c r="F1882" s="79">
        <f t="shared" si="31"/>
        <v>0</v>
      </c>
      <c r="G1882" s="78"/>
    </row>
    <row r="1883" spans="1:7" x14ac:dyDescent="0.2">
      <c r="A1883" s="76"/>
      <c r="B1883" s="77"/>
      <c r="C1883" s="78"/>
      <c r="D1883" s="81"/>
      <c r="E1883" s="81"/>
      <c r="F1883" s="79">
        <f t="shared" si="31"/>
        <v>0</v>
      </c>
      <c r="G1883" s="78"/>
    </row>
    <row r="1884" spans="1:7" x14ac:dyDescent="0.2">
      <c r="A1884" s="76"/>
      <c r="B1884" s="77"/>
      <c r="C1884" s="78"/>
      <c r="D1884" s="81"/>
      <c r="E1884" s="81"/>
      <c r="F1884" s="79">
        <f t="shared" si="31"/>
        <v>0</v>
      </c>
      <c r="G1884" s="78"/>
    </row>
    <row r="1885" spans="1:7" x14ac:dyDescent="0.2">
      <c r="A1885" s="76"/>
      <c r="B1885" s="77"/>
      <c r="C1885" s="78"/>
      <c r="D1885" s="81"/>
      <c r="E1885" s="81"/>
      <c r="F1885" s="79">
        <f t="shared" si="31"/>
        <v>0</v>
      </c>
      <c r="G1885" s="78"/>
    </row>
    <row r="1886" spans="1:7" x14ac:dyDescent="0.2">
      <c r="A1886" s="76"/>
      <c r="B1886" s="77"/>
      <c r="C1886" s="78"/>
      <c r="D1886" s="81"/>
      <c r="E1886" s="81"/>
      <c r="F1886" s="79">
        <f t="shared" si="31"/>
        <v>0</v>
      </c>
      <c r="G1886" s="78"/>
    </row>
    <row r="1887" spans="1:7" x14ac:dyDescent="0.2">
      <c r="A1887" s="76"/>
      <c r="B1887" s="77"/>
      <c r="C1887" s="78"/>
      <c r="D1887" s="81"/>
      <c r="E1887" s="81"/>
      <c r="F1887" s="79">
        <f t="shared" si="31"/>
        <v>0</v>
      </c>
      <c r="G1887" s="78"/>
    </row>
    <row r="1888" spans="1:7" x14ac:dyDescent="0.2">
      <c r="A1888" s="76"/>
      <c r="B1888" s="77"/>
      <c r="C1888" s="78"/>
      <c r="D1888" s="81"/>
      <c r="E1888" s="81"/>
      <c r="F1888" s="79">
        <f t="shared" si="31"/>
        <v>0</v>
      </c>
      <c r="G1888" s="78"/>
    </row>
    <row r="1889" spans="1:7" x14ac:dyDescent="0.2">
      <c r="A1889" s="76"/>
      <c r="B1889" s="77"/>
      <c r="C1889" s="78"/>
      <c r="D1889" s="81"/>
      <c r="E1889" s="81"/>
      <c r="F1889" s="79">
        <f t="shared" si="31"/>
        <v>0</v>
      </c>
      <c r="G1889" s="78"/>
    </row>
    <row r="1890" spans="1:7" x14ac:dyDescent="0.2">
      <c r="A1890" s="76"/>
      <c r="B1890" s="77"/>
      <c r="C1890" s="78"/>
      <c r="D1890" s="81"/>
      <c r="E1890" s="81"/>
      <c r="F1890" s="79">
        <f t="shared" si="31"/>
        <v>0</v>
      </c>
      <c r="G1890" s="78"/>
    </row>
    <row r="1891" spans="1:7" x14ac:dyDescent="0.2">
      <c r="A1891" s="76"/>
      <c r="B1891" s="77"/>
      <c r="C1891" s="78"/>
      <c r="D1891" s="81"/>
      <c r="E1891" s="81"/>
      <c r="F1891" s="79">
        <f t="shared" si="31"/>
        <v>0</v>
      </c>
      <c r="G1891" s="78"/>
    </row>
    <row r="1892" spans="1:7" x14ac:dyDescent="0.2">
      <c r="A1892" s="76"/>
      <c r="B1892" s="77"/>
      <c r="C1892" s="78"/>
      <c r="D1892" s="81"/>
      <c r="E1892" s="81"/>
      <c r="F1892" s="79">
        <f t="shared" si="31"/>
        <v>0</v>
      </c>
      <c r="G1892" s="78"/>
    </row>
    <row r="1893" spans="1:7" x14ac:dyDescent="0.2">
      <c r="A1893" s="76"/>
      <c r="B1893" s="77"/>
      <c r="C1893" s="78"/>
      <c r="D1893" s="81"/>
      <c r="E1893" s="81"/>
      <c r="F1893" s="79">
        <f t="shared" si="31"/>
        <v>0</v>
      </c>
      <c r="G1893" s="78"/>
    </row>
    <row r="1894" spans="1:7" x14ac:dyDescent="0.2">
      <c r="A1894" s="76"/>
      <c r="B1894" s="77"/>
      <c r="C1894" s="78"/>
      <c r="D1894" s="81"/>
      <c r="E1894" s="81"/>
      <c r="F1894" s="79">
        <f t="shared" si="31"/>
        <v>0</v>
      </c>
      <c r="G1894" s="78"/>
    </row>
    <row r="1895" spans="1:7" x14ac:dyDescent="0.2">
      <c r="A1895" s="76"/>
      <c r="B1895" s="77"/>
      <c r="C1895" s="78"/>
      <c r="D1895" s="81"/>
      <c r="E1895" s="81"/>
      <c r="F1895" s="79">
        <f t="shared" si="31"/>
        <v>0</v>
      </c>
      <c r="G1895" s="78"/>
    </row>
    <row r="1896" spans="1:7" x14ac:dyDescent="0.2">
      <c r="A1896" s="76"/>
      <c r="B1896" s="77"/>
      <c r="C1896" s="78"/>
      <c r="D1896" s="81"/>
      <c r="E1896" s="81"/>
      <c r="F1896" s="79">
        <f t="shared" si="31"/>
        <v>0</v>
      </c>
      <c r="G1896" s="78"/>
    </row>
    <row r="1897" spans="1:7" x14ac:dyDescent="0.2">
      <c r="A1897" s="76"/>
      <c r="B1897" s="77"/>
      <c r="C1897" s="78"/>
      <c r="D1897" s="81"/>
      <c r="E1897" s="81"/>
      <c r="F1897" s="79">
        <f t="shared" si="31"/>
        <v>0</v>
      </c>
      <c r="G1897" s="78"/>
    </row>
    <row r="1898" spans="1:7" x14ac:dyDescent="0.2">
      <c r="A1898" s="76"/>
      <c r="B1898" s="77"/>
      <c r="C1898" s="78"/>
      <c r="D1898" s="81"/>
      <c r="E1898" s="81"/>
      <c r="F1898" s="79">
        <f t="shared" si="31"/>
        <v>0</v>
      </c>
      <c r="G1898" s="78"/>
    </row>
    <row r="1899" spans="1:7" x14ac:dyDescent="0.2">
      <c r="A1899" s="76"/>
      <c r="B1899" s="77"/>
      <c r="C1899" s="78"/>
      <c r="D1899" s="81"/>
      <c r="E1899" s="81"/>
      <c r="F1899" s="79">
        <f t="shared" si="31"/>
        <v>0</v>
      </c>
      <c r="G1899" s="78"/>
    </row>
    <row r="1900" spans="1:7" x14ac:dyDescent="0.2">
      <c r="A1900" s="76"/>
      <c r="B1900" s="77"/>
      <c r="C1900" s="78"/>
      <c r="D1900" s="81"/>
      <c r="E1900" s="81"/>
      <c r="F1900" s="79">
        <f t="shared" si="31"/>
        <v>0</v>
      </c>
      <c r="G1900" s="78"/>
    </row>
    <row r="1901" spans="1:7" x14ac:dyDescent="0.2">
      <c r="A1901" s="76"/>
      <c r="B1901" s="77"/>
      <c r="C1901" s="78"/>
      <c r="D1901" s="81"/>
      <c r="E1901" s="81"/>
      <c r="F1901" s="79">
        <f t="shared" si="31"/>
        <v>0</v>
      </c>
      <c r="G1901" s="78"/>
    </row>
    <row r="1902" spans="1:7" x14ac:dyDescent="0.2">
      <c r="A1902" s="76"/>
      <c r="B1902" s="77"/>
      <c r="C1902" s="78"/>
      <c r="D1902" s="81"/>
      <c r="E1902" s="81"/>
      <c r="F1902" s="79">
        <f t="shared" si="31"/>
        <v>0</v>
      </c>
      <c r="G1902" s="78"/>
    </row>
    <row r="1903" spans="1:7" x14ac:dyDescent="0.2">
      <c r="A1903" s="76"/>
      <c r="B1903" s="77"/>
      <c r="C1903" s="78"/>
      <c r="D1903" s="81"/>
      <c r="E1903" s="81"/>
      <c r="F1903" s="79">
        <f t="shared" si="31"/>
        <v>0</v>
      </c>
      <c r="G1903" s="78"/>
    </row>
    <row r="1904" spans="1:7" x14ac:dyDescent="0.2">
      <c r="A1904" s="76"/>
      <c r="B1904" s="77"/>
      <c r="C1904" s="78"/>
      <c r="D1904" s="81"/>
      <c r="E1904" s="81"/>
      <c r="F1904" s="79">
        <f t="shared" si="31"/>
        <v>0</v>
      </c>
      <c r="G1904" s="78"/>
    </row>
    <row r="1905" spans="1:7" x14ac:dyDescent="0.2">
      <c r="A1905" s="76"/>
      <c r="B1905" s="77"/>
      <c r="C1905" s="78"/>
      <c r="D1905" s="81"/>
      <c r="E1905" s="81"/>
      <c r="F1905" s="79">
        <f t="shared" si="31"/>
        <v>0</v>
      </c>
      <c r="G1905" s="78"/>
    </row>
    <row r="1906" spans="1:7" x14ac:dyDescent="0.2">
      <c r="A1906" s="76"/>
      <c r="B1906" s="77"/>
      <c r="C1906" s="78"/>
      <c r="D1906" s="81"/>
      <c r="E1906" s="81"/>
      <c r="F1906" s="79">
        <f t="shared" si="31"/>
        <v>0</v>
      </c>
      <c r="G1906" s="78"/>
    </row>
    <row r="1907" spans="1:7" x14ac:dyDescent="0.2">
      <c r="A1907" s="76"/>
      <c r="B1907" s="77"/>
      <c r="C1907" s="78"/>
      <c r="D1907" s="81"/>
      <c r="E1907" s="81"/>
      <c r="F1907" s="79">
        <f t="shared" si="31"/>
        <v>0</v>
      </c>
      <c r="G1907" s="78"/>
    </row>
    <row r="1908" spans="1:7" x14ac:dyDescent="0.2">
      <c r="A1908" s="76"/>
      <c r="B1908" s="77"/>
      <c r="C1908" s="78"/>
      <c r="D1908" s="81"/>
      <c r="E1908" s="81"/>
      <c r="F1908" s="79">
        <f t="shared" si="31"/>
        <v>0</v>
      </c>
      <c r="G1908" s="78"/>
    </row>
    <row r="1909" spans="1:7" x14ac:dyDescent="0.2">
      <c r="A1909" s="76"/>
      <c r="B1909" s="77"/>
      <c r="C1909" s="78"/>
      <c r="D1909" s="81"/>
      <c r="E1909" s="81"/>
      <c r="F1909" s="79">
        <f t="shared" si="31"/>
        <v>0</v>
      </c>
      <c r="G1909" s="78"/>
    </row>
    <row r="1910" spans="1:7" x14ac:dyDescent="0.2">
      <c r="A1910" s="76"/>
      <c r="B1910" s="77"/>
      <c r="C1910" s="78"/>
      <c r="D1910" s="81"/>
      <c r="E1910" s="81"/>
      <c r="F1910" s="79">
        <f t="shared" si="31"/>
        <v>0</v>
      </c>
      <c r="G1910" s="78"/>
    </row>
    <row r="1911" spans="1:7" x14ac:dyDescent="0.2">
      <c r="A1911" s="76"/>
      <c r="B1911" s="77"/>
      <c r="C1911" s="78"/>
      <c r="D1911" s="81"/>
      <c r="E1911" s="81"/>
      <c r="F1911" s="79">
        <f t="shared" si="31"/>
        <v>0</v>
      </c>
      <c r="G1911" s="78"/>
    </row>
    <row r="1912" spans="1:7" x14ac:dyDescent="0.2">
      <c r="A1912" s="76"/>
      <c r="B1912" s="77"/>
      <c r="C1912" s="78"/>
      <c r="D1912" s="81"/>
      <c r="E1912" s="81"/>
      <c r="F1912" s="79">
        <f t="shared" si="31"/>
        <v>0</v>
      </c>
      <c r="G1912" s="78"/>
    </row>
    <row r="1913" spans="1:7" x14ac:dyDescent="0.2">
      <c r="A1913" s="76"/>
      <c r="B1913" s="77"/>
      <c r="C1913" s="78"/>
      <c r="D1913" s="81"/>
      <c r="E1913" s="81"/>
      <c r="F1913" s="79">
        <f t="shared" si="31"/>
        <v>0</v>
      </c>
      <c r="G1913" s="78"/>
    </row>
    <row r="1914" spans="1:7" x14ac:dyDescent="0.2">
      <c r="A1914" s="76"/>
      <c r="B1914" s="77"/>
      <c r="C1914" s="78"/>
      <c r="D1914" s="81"/>
      <c r="E1914" s="81"/>
      <c r="F1914" s="79">
        <f t="shared" si="31"/>
        <v>0</v>
      </c>
      <c r="G1914" s="78"/>
    </row>
    <row r="1915" spans="1:7" x14ac:dyDescent="0.2">
      <c r="A1915" s="76"/>
      <c r="B1915" s="77"/>
      <c r="C1915" s="78"/>
      <c r="D1915" s="81"/>
      <c r="E1915" s="81"/>
      <c r="F1915" s="79">
        <f t="shared" si="31"/>
        <v>0</v>
      </c>
      <c r="G1915" s="78"/>
    </row>
    <row r="1916" spans="1:7" x14ac:dyDescent="0.2">
      <c r="A1916" s="76"/>
      <c r="B1916" s="77"/>
      <c r="C1916" s="78"/>
      <c r="D1916" s="81"/>
      <c r="E1916" s="81"/>
      <c r="F1916" s="79">
        <f t="shared" si="31"/>
        <v>0</v>
      </c>
      <c r="G1916" s="78"/>
    </row>
    <row r="1917" spans="1:7" x14ac:dyDescent="0.2">
      <c r="A1917" s="76"/>
      <c r="B1917" s="77"/>
      <c r="C1917" s="78"/>
      <c r="D1917" s="81"/>
      <c r="E1917" s="81"/>
      <c r="F1917" s="79">
        <f t="shared" si="31"/>
        <v>0</v>
      </c>
      <c r="G1917" s="78"/>
    </row>
    <row r="1918" spans="1:7" x14ac:dyDescent="0.2">
      <c r="A1918" s="76"/>
      <c r="B1918" s="77"/>
      <c r="C1918" s="78"/>
      <c r="D1918" s="81"/>
      <c r="E1918" s="81"/>
      <c r="F1918" s="79">
        <f t="shared" si="31"/>
        <v>0</v>
      </c>
      <c r="G1918" s="78"/>
    </row>
    <row r="1919" spans="1:7" x14ac:dyDescent="0.2">
      <c r="A1919" s="76"/>
      <c r="B1919" s="77"/>
      <c r="C1919" s="78"/>
      <c r="D1919" s="81"/>
      <c r="E1919" s="81"/>
      <c r="F1919" s="79">
        <f t="shared" si="31"/>
        <v>0</v>
      </c>
      <c r="G1919" s="78"/>
    </row>
    <row r="1920" spans="1:7" x14ac:dyDescent="0.2">
      <c r="A1920" s="76"/>
      <c r="B1920" s="77"/>
      <c r="C1920" s="78"/>
      <c r="D1920" s="81"/>
      <c r="E1920" s="81"/>
      <c r="F1920" s="79">
        <f t="shared" si="31"/>
        <v>0</v>
      </c>
      <c r="G1920" s="78"/>
    </row>
    <row r="1921" spans="1:7" x14ac:dyDescent="0.2">
      <c r="A1921" s="76"/>
      <c r="B1921" s="77"/>
      <c r="C1921" s="78"/>
      <c r="D1921" s="81"/>
      <c r="E1921" s="81"/>
      <c r="F1921" s="79">
        <f t="shared" si="31"/>
        <v>0</v>
      </c>
      <c r="G1921" s="78"/>
    </row>
    <row r="1922" spans="1:7" x14ac:dyDescent="0.2">
      <c r="A1922" s="76"/>
      <c r="B1922" s="77"/>
      <c r="C1922" s="78"/>
      <c r="D1922" s="81"/>
      <c r="E1922" s="81"/>
      <c r="F1922" s="79">
        <f t="shared" si="31"/>
        <v>0</v>
      </c>
      <c r="G1922" s="78"/>
    </row>
    <row r="1923" spans="1:7" x14ac:dyDescent="0.2">
      <c r="A1923" s="76"/>
      <c r="B1923" s="77"/>
      <c r="C1923" s="78"/>
      <c r="D1923" s="81"/>
      <c r="E1923" s="81"/>
      <c r="F1923" s="79">
        <f t="shared" si="31"/>
        <v>0</v>
      </c>
      <c r="G1923" s="78"/>
    </row>
    <row r="1924" spans="1:7" x14ac:dyDescent="0.2">
      <c r="A1924" s="76"/>
      <c r="B1924" s="77"/>
      <c r="C1924" s="78"/>
      <c r="D1924" s="81"/>
      <c r="E1924" s="81"/>
      <c r="F1924" s="79">
        <f t="shared" si="31"/>
        <v>0</v>
      </c>
      <c r="G1924" s="78"/>
    </row>
    <row r="1925" spans="1:7" x14ac:dyDescent="0.2">
      <c r="A1925" s="76"/>
      <c r="B1925" s="77"/>
      <c r="C1925" s="78"/>
      <c r="D1925" s="81"/>
      <c r="E1925" s="81"/>
      <c r="F1925" s="79">
        <f t="shared" si="31"/>
        <v>0</v>
      </c>
      <c r="G1925" s="78"/>
    </row>
    <row r="1926" spans="1:7" x14ac:dyDescent="0.2">
      <c r="A1926" s="76"/>
      <c r="B1926" s="77"/>
      <c r="C1926" s="78"/>
      <c r="D1926" s="81"/>
      <c r="E1926" s="81"/>
      <c r="F1926" s="79">
        <f t="shared" si="31"/>
        <v>0</v>
      </c>
      <c r="G1926" s="78"/>
    </row>
    <row r="1927" spans="1:7" x14ac:dyDescent="0.2">
      <c r="A1927" s="76"/>
      <c r="B1927" s="77"/>
      <c r="C1927" s="78"/>
      <c r="D1927" s="81"/>
      <c r="E1927" s="81"/>
      <c r="F1927" s="79">
        <f t="shared" si="31"/>
        <v>0</v>
      </c>
      <c r="G1927" s="78"/>
    </row>
    <row r="1928" spans="1:7" x14ac:dyDescent="0.2">
      <c r="A1928" s="76"/>
      <c r="B1928" s="77"/>
      <c r="C1928" s="78"/>
      <c r="D1928" s="81"/>
      <c r="E1928" s="81"/>
      <c r="F1928" s="79">
        <f t="shared" si="31"/>
        <v>0</v>
      </c>
      <c r="G1928" s="78"/>
    </row>
    <row r="1929" spans="1:7" x14ac:dyDescent="0.2">
      <c r="A1929" s="76"/>
      <c r="B1929" s="77"/>
      <c r="C1929" s="78"/>
      <c r="D1929" s="81"/>
      <c r="E1929" s="81"/>
      <c r="F1929" s="79">
        <f t="shared" si="31"/>
        <v>0</v>
      </c>
      <c r="G1929" s="78"/>
    </row>
    <row r="1930" spans="1:7" x14ac:dyDescent="0.2">
      <c r="A1930" s="76"/>
      <c r="B1930" s="77"/>
      <c r="C1930" s="78"/>
      <c r="D1930" s="81"/>
      <c r="E1930" s="81"/>
      <c r="F1930" s="79">
        <f t="shared" ref="F1930:F1952" si="32">E1930-D1930</f>
        <v>0</v>
      </c>
      <c r="G1930" s="78"/>
    </row>
    <row r="1931" spans="1:7" x14ac:dyDescent="0.2">
      <c r="A1931" s="76"/>
      <c r="B1931" s="77"/>
      <c r="C1931" s="78"/>
      <c r="D1931" s="81"/>
      <c r="E1931" s="81"/>
      <c r="F1931" s="79">
        <f t="shared" si="32"/>
        <v>0</v>
      </c>
      <c r="G1931" s="78"/>
    </row>
    <row r="1932" spans="1:7" x14ac:dyDescent="0.2">
      <c r="A1932" s="76"/>
      <c r="B1932" s="77"/>
      <c r="C1932" s="78"/>
      <c r="D1932" s="81"/>
      <c r="E1932" s="81"/>
      <c r="F1932" s="79">
        <f t="shared" si="32"/>
        <v>0</v>
      </c>
      <c r="G1932" s="78"/>
    </row>
    <row r="1933" spans="1:7" x14ac:dyDescent="0.2">
      <c r="A1933" s="76"/>
      <c r="B1933" s="77"/>
      <c r="C1933" s="78"/>
      <c r="D1933" s="81"/>
      <c r="E1933" s="81"/>
      <c r="F1933" s="79">
        <f t="shared" si="32"/>
        <v>0</v>
      </c>
      <c r="G1933" s="78"/>
    </row>
    <row r="1934" spans="1:7" x14ac:dyDescent="0.2">
      <c r="A1934" s="76"/>
      <c r="B1934" s="77"/>
      <c r="C1934" s="78"/>
      <c r="D1934" s="81"/>
      <c r="E1934" s="81"/>
      <c r="F1934" s="79">
        <f t="shared" si="32"/>
        <v>0</v>
      </c>
      <c r="G1934" s="78"/>
    </row>
    <row r="1935" spans="1:7" x14ac:dyDescent="0.2">
      <c r="A1935" s="76"/>
      <c r="B1935" s="77"/>
      <c r="C1935" s="78"/>
      <c r="D1935" s="81"/>
      <c r="E1935" s="81"/>
      <c r="F1935" s="79">
        <f t="shared" si="32"/>
        <v>0</v>
      </c>
      <c r="G1935" s="78"/>
    </row>
    <row r="1936" spans="1:7" x14ac:dyDescent="0.2">
      <c r="A1936" s="76"/>
      <c r="B1936" s="77"/>
      <c r="C1936" s="78"/>
      <c r="D1936" s="81"/>
      <c r="E1936" s="81"/>
      <c r="F1936" s="79">
        <f t="shared" si="32"/>
        <v>0</v>
      </c>
      <c r="G1936" s="78"/>
    </row>
    <row r="1937" spans="1:7" x14ac:dyDescent="0.2">
      <c r="A1937" s="76"/>
      <c r="B1937" s="77"/>
      <c r="C1937" s="78"/>
      <c r="D1937" s="81"/>
      <c r="E1937" s="81"/>
      <c r="F1937" s="79">
        <f t="shared" si="32"/>
        <v>0</v>
      </c>
      <c r="G1937" s="78"/>
    </row>
    <row r="1938" spans="1:7" x14ac:dyDescent="0.2">
      <c r="A1938" s="76"/>
      <c r="B1938" s="77"/>
      <c r="C1938" s="78"/>
      <c r="D1938" s="81"/>
      <c r="E1938" s="81"/>
      <c r="F1938" s="79">
        <f t="shared" si="32"/>
        <v>0</v>
      </c>
      <c r="G1938" s="78"/>
    </row>
    <row r="1939" spans="1:7" x14ac:dyDescent="0.2">
      <c r="A1939" s="76"/>
      <c r="B1939" s="77"/>
      <c r="C1939" s="78"/>
      <c r="D1939" s="81"/>
      <c r="E1939" s="81"/>
      <c r="F1939" s="79">
        <f t="shared" si="32"/>
        <v>0</v>
      </c>
      <c r="G1939" s="78"/>
    </row>
    <row r="1940" spans="1:7" x14ac:dyDescent="0.2">
      <c r="A1940" s="76"/>
      <c r="B1940" s="77"/>
      <c r="C1940" s="78"/>
      <c r="D1940" s="81"/>
      <c r="E1940" s="81"/>
      <c r="F1940" s="79">
        <f t="shared" si="32"/>
        <v>0</v>
      </c>
      <c r="G1940" s="78"/>
    </row>
    <row r="1941" spans="1:7" x14ac:dyDescent="0.2">
      <c r="A1941" s="76"/>
      <c r="B1941" s="77"/>
      <c r="C1941" s="78"/>
      <c r="D1941" s="81"/>
      <c r="E1941" s="81"/>
      <c r="F1941" s="79">
        <f t="shared" si="32"/>
        <v>0</v>
      </c>
      <c r="G1941" s="78"/>
    </row>
    <row r="1942" spans="1:7" x14ac:dyDescent="0.2">
      <c r="A1942" s="76"/>
      <c r="B1942" s="77"/>
      <c r="C1942" s="78"/>
      <c r="D1942" s="81"/>
      <c r="E1942" s="81"/>
      <c r="F1942" s="79">
        <f t="shared" si="32"/>
        <v>0</v>
      </c>
      <c r="G1942" s="78"/>
    </row>
    <row r="1943" spans="1:7" x14ac:dyDescent="0.2">
      <c r="A1943" s="76"/>
      <c r="B1943" s="77"/>
      <c r="C1943" s="78"/>
      <c r="D1943" s="81"/>
      <c r="E1943" s="81"/>
      <c r="F1943" s="79">
        <f t="shared" si="32"/>
        <v>0</v>
      </c>
      <c r="G1943" s="78"/>
    </row>
    <row r="1944" spans="1:7" x14ac:dyDescent="0.2">
      <c r="A1944" s="76"/>
      <c r="B1944" s="77"/>
      <c r="C1944" s="78"/>
      <c r="D1944" s="81"/>
      <c r="E1944" s="81"/>
      <c r="F1944" s="79">
        <f t="shared" si="32"/>
        <v>0</v>
      </c>
      <c r="G1944" s="78"/>
    </row>
    <row r="1945" spans="1:7" x14ac:dyDescent="0.2">
      <c r="A1945" s="76"/>
      <c r="B1945" s="77"/>
      <c r="C1945" s="78"/>
      <c r="D1945" s="81"/>
      <c r="E1945" s="81"/>
      <c r="F1945" s="79">
        <f t="shared" si="32"/>
        <v>0</v>
      </c>
      <c r="G1945" s="78"/>
    </row>
    <row r="1946" spans="1:7" x14ac:dyDescent="0.2">
      <c r="A1946" s="76"/>
      <c r="B1946" s="77"/>
      <c r="C1946" s="78"/>
      <c r="D1946" s="81"/>
      <c r="E1946" s="81"/>
      <c r="F1946" s="79">
        <f t="shared" si="32"/>
        <v>0</v>
      </c>
      <c r="G1946" s="78"/>
    </row>
    <row r="1947" spans="1:7" x14ac:dyDescent="0.2">
      <c r="A1947" s="76"/>
      <c r="B1947" s="77"/>
      <c r="C1947" s="78"/>
      <c r="D1947" s="81"/>
      <c r="E1947" s="81"/>
      <c r="F1947" s="79">
        <f t="shared" si="32"/>
        <v>0</v>
      </c>
      <c r="G1947" s="78"/>
    </row>
    <row r="1948" spans="1:7" x14ac:dyDescent="0.2">
      <c r="A1948" s="76"/>
      <c r="B1948" s="77"/>
      <c r="C1948" s="78"/>
      <c r="D1948" s="81"/>
      <c r="E1948" s="81"/>
      <c r="F1948" s="79">
        <f t="shared" si="32"/>
        <v>0</v>
      </c>
      <c r="G1948" s="78"/>
    </row>
    <row r="1949" spans="1:7" x14ac:dyDescent="0.2">
      <c r="A1949" s="76"/>
      <c r="B1949" s="77"/>
      <c r="C1949" s="78"/>
      <c r="D1949" s="81"/>
      <c r="E1949" s="81"/>
      <c r="F1949" s="79">
        <f t="shared" si="32"/>
        <v>0</v>
      </c>
      <c r="G1949" s="78"/>
    </row>
    <row r="1950" spans="1:7" x14ac:dyDescent="0.2">
      <c r="A1950" s="76"/>
      <c r="B1950" s="77"/>
      <c r="C1950" s="78"/>
      <c r="D1950" s="81"/>
      <c r="E1950" s="81"/>
      <c r="F1950" s="79">
        <f t="shared" si="32"/>
        <v>0</v>
      </c>
      <c r="G1950" s="78"/>
    </row>
    <row r="1951" spans="1:7" x14ac:dyDescent="0.2">
      <c r="A1951" s="76"/>
      <c r="B1951" s="77"/>
      <c r="C1951" s="78"/>
      <c r="D1951" s="81"/>
      <c r="E1951" s="81"/>
      <c r="F1951" s="79">
        <f t="shared" si="32"/>
        <v>0</v>
      </c>
      <c r="G1951" s="78"/>
    </row>
    <row r="1952" spans="1:7" x14ac:dyDescent="0.2">
      <c r="A1952" s="76"/>
      <c r="B1952" s="77"/>
      <c r="C1952" s="78"/>
      <c r="D1952" s="81"/>
      <c r="E1952" s="81"/>
      <c r="F1952" s="79">
        <f t="shared" si="32"/>
        <v>0</v>
      </c>
      <c r="G1952" s="78"/>
    </row>
    <row r="1953" spans="1:7" x14ac:dyDescent="0.2">
      <c r="A1953" s="76"/>
      <c r="B1953" s="77"/>
      <c r="C1953" s="78"/>
      <c r="D1953" s="81"/>
      <c r="E1953" s="81"/>
      <c r="F1953" s="79">
        <f t="shared" ref="F1953:F2004" si="33">E1953-D1953</f>
        <v>0</v>
      </c>
      <c r="G1953" s="78"/>
    </row>
    <row r="1954" spans="1:7" x14ac:dyDescent="0.2">
      <c r="A1954" s="76"/>
      <c r="B1954" s="77"/>
      <c r="C1954" s="78"/>
      <c r="D1954" s="81"/>
      <c r="E1954" s="81"/>
      <c r="F1954" s="79">
        <f t="shared" si="33"/>
        <v>0</v>
      </c>
      <c r="G1954" s="78"/>
    </row>
    <row r="1955" spans="1:7" x14ac:dyDescent="0.2">
      <c r="A1955" s="76"/>
      <c r="B1955" s="77"/>
      <c r="C1955" s="78"/>
      <c r="D1955" s="81"/>
      <c r="E1955" s="81"/>
      <c r="F1955" s="79">
        <f t="shared" si="33"/>
        <v>0</v>
      </c>
      <c r="G1955" s="78"/>
    </row>
    <row r="1956" spans="1:7" x14ac:dyDescent="0.2">
      <c r="A1956" s="76"/>
      <c r="B1956" s="77"/>
      <c r="C1956" s="78"/>
      <c r="D1956" s="81"/>
      <c r="E1956" s="81"/>
      <c r="F1956" s="79">
        <f t="shared" si="33"/>
        <v>0</v>
      </c>
      <c r="G1956" s="78"/>
    </row>
    <row r="1957" spans="1:7" x14ac:dyDescent="0.2">
      <c r="A1957" s="76"/>
      <c r="B1957" s="77"/>
      <c r="C1957" s="78"/>
      <c r="D1957" s="81"/>
      <c r="E1957" s="81"/>
      <c r="F1957" s="79">
        <f t="shared" si="33"/>
        <v>0</v>
      </c>
      <c r="G1957" s="78"/>
    </row>
    <row r="1958" spans="1:7" x14ac:dyDescent="0.2">
      <c r="A1958" s="76"/>
      <c r="B1958" s="77"/>
      <c r="C1958" s="78"/>
      <c r="D1958" s="81"/>
      <c r="E1958" s="81"/>
      <c r="F1958" s="79">
        <f t="shared" si="33"/>
        <v>0</v>
      </c>
      <c r="G1958" s="78"/>
    </row>
    <row r="1959" spans="1:7" x14ac:dyDescent="0.2">
      <c r="A1959" s="76"/>
      <c r="B1959" s="77"/>
      <c r="C1959" s="78"/>
      <c r="D1959" s="81"/>
      <c r="E1959" s="81"/>
      <c r="F1959" s="79">
        <f t="shared" si="33"/>
        <v>0</v>
      </c>
      <c r="G1959" s="78"/>
    </row>
    <row r="1960" spans="1:7" x14ac:dyDescent="0.2">
      <c r="A1960" s="76"/>
      <c r="B1960" s="77"/>
      <c r="C1960" s="78"/>
      <c r="D1960" s="81"/>
      <c r="E1960" s="81"/>
      <c r="F1960" s="79">
        <f t="shared" si="33"/>
        <v>0</v>
      </c>
      <c r="G1960" s="78"/>
    </row>
    <row r="1961" spans="1:7" x14ac:dyDescent="0.2">
      <c r="A1961" s="76"/>
      <c r="B1961" s="77"/>
      <c r="C1961" s="78"/>
      <c r="D1961" s="81"/>
      <c r="E1961" s="81"/>
      <c r="F1961" s="79">
        <f t="shared" si="33"/>
        <v>0</v>
      </c>
      <c r="G1961" s="78"/>
    </row>
    <row r="1962" spans="1:7" x14ac:dyDescent="0.2">
      <c r="A1962" s="76"/>
      <c r="B1962" s="77"/>
      <c r="C1962" s="78"/>
      <c r="D1962" s="81"/>
      <c r="E1962" s="81"/>
      <c r="F1962" s="79">
        <f t="shared" si="33"/>
        <v>0</v>
      </c>
      <c r="G1962" s="78"/>
    </row>
    <row r="1963" spans="1:7" x14ac:dyDescent="0.2">
      <c r="A1963" s="76"/>
      <c r="B1963" s="77"/>
      <c r="C1963" s="78"/>
      <c r="D1963" s="81"/>
      <c r="E1963" s="81"/>
      <c r="F1963" s="79">
        <f t="shared" si="33"/>
        <v>0</v>
      </c>
      <c r="G1963" s="78"/>
    </row>
    <row r="1964" spans="1:7" x14ac:dyDescent="0.2">
      <c r="A1964" s="76"/>
      <c r="B1964" s="77"/>
      <c r="C1964" s="78"/>
      <c r="D1964" s="81"/>
      <c r="E1964" s="81"/>
      <c r="F1964" s="79">
        <f t="shared" si="33"/>
        <v>0</v>
      </c>
      <c r="G1964" s="78"/>
    </row>
    <row r="1965" spans="1:7" x14ac:dyDescent="0.2">
      <c r="A1965" s="76"/>
      <c r="B1965" s="77"/>
      <c r="C1965" s="78"/>
      <c r="D1965" s="81"/>
      <c r="E1965" s="81"/>
      <c r="F1965" s="79">
        <f t="shared" si="33"/>
        <v>0</v>
      </c>
      <c r="G1965" s="78"/>
    </row>
    <row r="1966" spans="1:7" x14ac:dyDescent="0.2">
      <c r="A1966" s="76"/>
      <c r="B1966" s="77"/>
      <c r="C1966" s="78"/>
      <c r="D1966" s="81"/>
      <c r="E1966" s="81"/>
      <c r="F1966" s="79">
        <f t="shared" si="33"/>
        <v>0</v>
      </c>
      <c r="G1966" s="78"/>
    </row>
    <row r="1967" spans="1:7" x14ac:dyDescent="0.2">
      <c r="A1967" s="76"/>
      <c r="B1967" s="77"/>
      <c r="C1967" s="78"/>
      <c r="D1967" s="81"/>
      <c r="E1967" s="81"/>
      <c r="F1967" s="79">
        <f t="shared" si="33"/>
        <v>0</v>
      </c>
      <c r="G1967" s="78"/>
    </row>
    <row r="1968" spans="1:7" x14ac:dyDescent="0.2">
      <c r="A1968" s="76"/>
      <c r="B1968" s="77"/>
      <c r="C1968" s="78"/>
      <c r="D1968" s="81"/>
      <c r="E1968" s="81"/>
      <c r="F1968" s="79">
        <f t="shared" si="33"/>
        <v>0</v>
      </c>
      <c r="G1968" s="78"/>
    </row>
    <row r="1969" spans="1:7" x14ac:dyDescent="0.2">
      <c r="A1969" s="76"/>
      <c r="B1969" s="77"/>
      <c r="C1969" s="78"/>
      <c r="D1969" s="81"/>
      <c r="E1969" s="81"/>
      <c r="F1969" s="79">
        <f t="shared" si="33"/>
        <v>0</v>
      </c>
      <c r="G1969" s="78"/>
    </row>
    <row r="1970" spans="1:7" x14ac:dyDescent="0.2">
      <c r="A1970" s="76"/>
      <c r="B1970" s="77"/>
      <c r="C1970" s="78"/>
      <c r="D1970" s="81"/>
      <c r="E1970" s="81"/>
      <c r="F1970" s="79">
        <f t="shared" si="33"/>
        <v>0</v>
      </c>
      <c r="G1970" s="78"/>
    </row>
    <row r="1971" spans="1:7" x14ac:dyDescent="0.2">
      <c r="A1971" s="76"/>
      <c r="B1971" s="77"/>
      <c r="C1971" s="78"/>
      <c r="D1971" s="81"/>
      <c r="E1971" s="81"/>
      <c r="F1971" s="79">
        <f t="shared" si="33"/>
        <v>0</v>
      </c>
      <c r="G1971" s="78"/>
    </row>
    <row r="1972" spans="1:7" x14ac:dyDescent="0.2">
      <c r="A1972" s="76"/>
      <c r="B1972" s="77"/>
      <c r="C1972" s="78"/>
      <c r="D1972" s="81"/>
      <c r="E1972" s="81"/>
      <c r="F1972" s="79">
        <f t="shared" si="33"/>
        <v>0</v>
      </c>
      <c r="G1972" s="78"/>
    </row>
    <row r="1973" spans="1:7" x14ac:dyDescent="0.2">
      <c r="A1973" s="76"/>
      <c r="B1973" s="77"/>
      <c r="C1973" s="78"/>
      <c r="D1973" s="81"/>
      <c r="E1973" s="81"/>
      <c r="F1973" s="79">
        <f t="shared" si="33"/>
        <v>0</v>
      </c>
      <c r="G1973" s="78"/>
    </row>
    <row r="1974" spans="1:7" x14ac:dyDescent="0.2">
      <c r="A1974" s="76"/>
      <c r="B1974" s="77"/>
      <c r="C1974" s="78"/>
      <c r="D1974" s="81"/>
      <c r="E1974" s="81"/>
      <c r="F1974" s="79">
        <f t="shared" si="33"/>
        <v>0</v>
      </c>
      <c r="G1974" s="78"/>
    </row>
    <row r="1975" spans="1:7" x14ac:dyDescent="0.2">
      <c r="A1975" s="76"/>
      <c r="B1975" s="77"/>
      <c r="C1975" s="78"/>
      <c r="D1975" s="81"/>
      <c r="E1975" s="81"/>
      <c r="F1975" s="79">
        <f t="shared" si="33"/>
        <v>0</v>
      </c>
      <c r="G1975" s="78"/>
    </row>
    <row r="1976" spans="1:7" x14ac:dyDescent="0.2">
      <c r="A1976" s="76"/>
      <c r="B1976" s="77"/>
      <c r="C1976" s="78"/>
      <c r="D1976" s="81"/>
      <c r="E1976" s="81"/>
      <c r="F1976" s="79">
        <f t="shared" si="33"/>
        <v>0</v>
      </c>
      <c r="G1976" s="78"/>
    </row>
    <row r="1977" spans="1:7" x14ac:dyDescent="0.2">
      <c r="A1977" s="76"/>
      <c r="B1977" s="77"/>
      <c r="C1977" s="78"/>
      <c r="D1977" s="81"/>
      <c r="E1977" s="81"/>
      <c r="F1977" s="79">
        <f t="shared" si="33"/>
        <v>0</v>
      </c>
      <c r="G1977" s="78"/>
    </row>
    <row r="1978" spans="1:7" x14ac:dyDescent="0.2">
      <c r="A1978" s="76"/>
      <c r="B1978" s="77"/>
      <c r="C1978" s="78"/>
      <c r="D1978" s="81"/>
      <c r="E1978" s="81"/>
      <c r="F1978" s="79">
        <f t="shared" si="33"/>
        <v>0</v>
      </c>
      <c r="G1978" s="78"/>
    </row>
    <row r="1979" spans="1:7" x14ac:dyDescent="0.2">
      <c r="A1979" s="76"/>
      <c r="B1979" s="77"/>
      <c r="C1979" s="78"/>
      <c r="D1979" s="81"/>
      <c r="E1979" s="81"/>
      <c r="F1979" s="79">
        <f t="shared" si="33"/>
        <v>0</v>
      </c>
      <c r="G1979" s="78"/>
    </row>
    <row r="1980" spans="1:7" x14ac:dyDescent="0.2">
      <c r="A1980" s="76"/>
      <c r="B1980" s="77"/>
      <c r="C1980" s="78"/>
      <c r="D1980" s="81"/>
      <c r="E1980" s="81"/>
      <c r="F1980" s="79">
        <f t="shared" si="33"/>
        <v>0</v>
      </c>
      <c r="G1980" s="78"/>
    </row>
    <row r="1981" spans="1:7" x14ac:dyDescent="0.2">
      <c r="A1981" s="76"/>
      <c r="B1981" s="77"/>
      <c r="C1981" s="78"/>
      <c r="D1981" s="81"/>
      <c r="E1981" s="81"/>
      <c r="F1981" s="79">
        <f t="shared" si="33"/>
        <v>0</v>
      </c>
      <c r="G1981" s="78"/>
    </row>
    <row r="1982" spans="1:7" x14ac:dyDescent="0.2">
      <c r="A1982" s="76"/>
      <c r="B1982" s="77"/>
      <c r="C1982" s="78"/>
      <c r="D1982" s="81"/>
      <c r="E1982" s="81"/>
      <c r="F1982" s="79">
        <f t="shared" si="33"/>
        <v>0</v>
      </c>
      <c r="G1982" s="78"/>
    </row>
    <row r="1983" spans="1:7" x14ac:dyDescent="0.2">
      <c r="A1983" s="76"/>
      <c r="B1983" s="77"/>
      <c r="C1983" s="78"/>
      <c r="D1983" s="81"/>
      <c r="E1983" s="81"/>
      <c r="F1983" s="79">
        <f t="shared" si="33"/>
        <v>0</v>
      </c>
      <c r="G1983" s="78"/>
    </row>
    <row r="1984" spans="1:7" x14ac:dyDescent="0.2">
      <c r="A1984" s="76"/>
      <c r="B1984" s="77"/>
      <c r="C1984" s="78"/>
      <c r="D1984" s="81"/>
      <c r="E1984" s="81"/>
      <c r="F1984" s="79">
        <f t="shared" si="33"/>
        <v>0</v>
      </c>
      <c r="G1984" s="78"/>
    </row>
    <row r="1985" spans="1:7" x14ac:dyDescent="0.2">
      <c r="A1985" s="76"/>
      <c r="B1985" s="77"/>
      <c r="C1985" s="78"/>
      <c r="D1985" s="81"/>
      <c r="E1985" s="81"/>
      <c r="F1985" s="79">
        <f t="shared" si="33"/>
        <v>0</v>
      </c>
      <c r="G1985" s="80" t="s">
        <v>70</v>
      </c>
    </row>
    <row r="1986" spans="1:7" x14ac:dyDescent="0.2">
      <c r="A1986" s="76"/>
      <c r="B1986" s="77"/>
      <c r="C1986" s="78"/>
      <c r="D1986" s="81"/>
      <c r="E1986" s="81"/>
      <c r="F1986" s="79">
        <f t="shared" si="33"/>
        <v>0</v>
      </c>
      <c r="G1986" s="78"/>
    </row>
    <row r="1987" spans="1:7" x14ac:dyDescent="0.2">
      <c r="A1987" s="76"/>
      <c r="B1987" s="77"/>
      <c r="C1987" s="78"/>
      <c r="D1987" s="81"/>
      <c r="E1987" s="81"/>
      <c r="F1987" s="79">
        <f t="shared" si="33"/>
        <v>0</v>
      </c>
      <c r="G1987" s="78"/>
    </row>
    <row r="1988" spans="1:7" x14ac:dyDescent="0.2">
      <c r="A1988" s="76"/>
      <c r="B1988" s="77"/>
      <c r="C1988" s="78"/>
      <c r="D1988" s="81"/>
      <c r="E1988" s="81"/>
      <c r="F1988" s="79">
        <f t="shared" si="33"/>
        <v>0</v>
      </c>
      <c r="G1988" s="78"/>
    </row>
    <row r="1989" spans="1:7" x14ac:dyDescent="0.2">
      <c r="A1989" s="76"/>
      <c r="B1989" s="77"/>
      <c r="C1989" s="78"/>
      <c r="D1989" s="81"/>
      <c r="E1989" s="81"/>
      <c r="F1989" s="79">
        <f t="shared" si="33"/>
        <v>0</v>
      </c>
      <c r="G1989" s="78"/>
    </row>
    <row r="1990" spans="1:7" x14ac:dyDescent="0.2">
      <c r="A1990" s="76"/>
      <c r="B1990" s="77"/>
      <c r="C1990" s="78"/>
      <c r="D1990" s="81"/>
      <c r="E1990" s="81"/>
      <c r="F1990" s="79">
        <f t="shared" si="33"/>
        <v>0</v>
      </c>
      <c r="G1990" s="78"/>
    </row>
    <row r="1991" spans="1:7" x14ac:dyDescent="0.2">
      <c r="A1991" s="76"/>
      <c r="B1991" s="77"/>
      <c r="C1991" s="78"/>
      <c r="D1991" s="81"/>
      <c r="E1991" s="81"/>
      <c r="F1991" s="79">
        <f t="shared" si="33"/>
        <v>0</v>
      </c>
      <c r="G1991" s="78"/>
    </row>
    <row r="1992" spans="1:7" x14ac:dyDescent="0.2">
      <c r="A1992" s="76"/>
      <c r="B1992" s="77"/>
      <c r="C1992" s="78"/>
      <c r="D1992" s="81"/>
      <c r="E1992" s="81"/>
      <c r="F1992" s="79">
        <f t="shared" si="33"/>
        <v>0</v>
      </c>
      <c r="G1992" s="78"/>
    </row>
    <row r="1993" spans="1:7" x14ac:dyDescent="0.2">
      <c r="A1993" s="76"/>
      <c r="B1993" s="77"/>
      <c r="C1993" s="78"/>
      <c r="D1993" s="81"/>
      <c r="E1993" s="81"/>
      <c r="F1993" s="79">
        <f t="shared" si="33"/>
        <v>0</v>
      </c>
      <c r="G1993" s="78"/>
    </row>
    <row r="1994" spans="1:7" x14ac:dyDescent="0.2">
      <c r="A1994" s="76"/>
      <c r="B1994" s="77"/>
      <c r="C1994" s="78"/>
      <c r="D1994" s="81"/>
      <c r="E1994" s="81"/>
      <c r="F1994" s="79">
        <f t="shared" si="33"/>
        <v>0</v>
      </c>
      <c r="G1994" s="78"/>
    </row>
    <row r="1995" spans="1:7" x14ac:dyDescent="0.2">
      <c r="A1995" s="76"/>
      <c r="B1995" s="77"/>
      <c r="C1995" s="78"/>
      <c r="D1995" s="81"/>
      <c r="E1995" s="81"/>
      <c r="F1995" s="79">
        <f t="shared" si="33"/>
        <v>0</v>
      </c>
      <c r="G1995" s="78"/>
    </row>
    <row r="1996" spans="1:7" x14ac:dyDescent="0.2">
      <c r="A1996" s="76"/>
      <c r="B1996" s="77"/>
      <c r="C1996" s="78"/>
      <c r="D1996" s="81"/>
      <c r="E1996" s="81"/>
      <c r="F1996" s="79">
        <f t="shared" si="33"/>
        <v>0</v>
      </c>
      <c r="G1996" s="78"/>
    </row>
    <row r="1997" spans="1:7" x14ac:dyDescent="0.2">
      <c r="A1997" s="76"/>
      <c r="B1997" s="77"/>
      <c r="C1997" s="78"/>
      <c r="D1997" s="81"/>
      <c r="E1997" s="81"/>
      <c r="F1997" s="79">
        <f t="shared" si="33"/>
        <v>0</v>
      </c>
      <c r="G1997" s="78"/>
    </row>
    <row r="1998" spans="1:7" x14ac:dyDescent="0.2">
      <c r="A1998" s="76"/>
      <c r="B1998" s="77"/>
      <c r="C1998" s="78"/>
      <c r="D1998" s="81"/>
      <c r="E1998" s="81"/>
      <c r="F1998" s="79">
        <f t="shared" si="33"/>
        <v>0</v>
      </c>
      <c r="G1998" s="78"/>
    </row>
    <row r="1999" spans="1:7" ht="15" x14ac:dyDescent="0.25">
      <c r="A1999" s="76"/>
      <c r="B1999"/>
      <c r="C1999" s="78"/>
      <c r="D1999" s="81"/>
      <c r="E1999" s="81"/>
      <c r="F1999" s="79">
        <f t="shared" si="33"/>
        <v>0</v>
      </c>
      <c r="G1999" s="78"/>
    </row>
    <row r="2000" spans="1:7" x14ac:dyDescent="0.2">
      <c r="A2000" s="76"/>
      <c r="B2000" s="77"/>
      <c r="C2000" s="78"/>
      <c r="D2000" s="81"/>
      <c r="E2000" s="81"/>
      <c r="F2000" s="79">
        <f t="shared" si="33"/>
        <v>0</v>
      </c>
      <c r="G2000" s="78"/>
    </row>
    <row r="2001" spans="1:7" x14ac:dyDescent="0.2">
      <c r="A2001" s="76"/>
      <c r="B2001" s="77"/>
      <c r="C2001" s="78"/>
      <c r="D2001" s="81"/>
      <c r="E2001" s="81"/>
      <c r="F2001" s="79">
        <f t="shared" si="33"/>
        <v>0</v>
      </c>
      <c r="G2001" s="78"/>
    </row>
    <row r="2002" spans="1:7" ht="15" x14ac:dyDescent="0.25">
      <c r="A2002" s="76"/>
      <c r="B2002"/>
      <c r="C2002" s="78"/>
      <c r="D2002" s="81"/>
      <c r="E2002" s="81"/>
      <c r="F2002" s="79">
        <f t="shared" si="33"/>
        <v>0</v>
      </c>
      <c r="G2002" s="78"/>
    </row>
    <row r="2003" spans="1:7" x14ac:dyDescent="0.2">
      <c r="A2003" s="76"/>
      <c r="B2003" s="77"/>
      <c r="C2003" s="78"/>
      <c r="D2003" s="81"/>
      <c r="E2003" s="81"/>
      <c r="F2003" s="79">
        <f t="shared" si="33"/>
        <v>0</v>
      </c>
      <c r="G2003" s="78"/>
    </row>
    <row r="2004" spans="1:7" x14ac:dyDescent="0.2">
      <c r="A2004" s="76"/>
      <c r="B2004" s="77"/>
      <c r="C2004" s="78"/>
      <c r="D2004" s="81"/>
      <c r="E2004" s="81"/>
      <c r="F2004" s="79">
        <f t="shared" si="33"/>
        <v>0</v>
      </c>
      <c r="G2004" s="78"/>
    </row>
    <row r="2005" spans="1:7" x14ac:dyDescent="0.2">
      <c r="A2005" s="76"/>
      <c r="B2005" s="77"/>
      <c r="C2005" s="78"/>
      <c r="D2005" s="81"/>
      <c r="E2005" s="81"/>
      <c r="F2005" s="79">
        <f t="shared" ref="F2005:F2036" si="34">E2005-D2005</f>
        <v>0</v>
      </c>
      <c r="G2005" s="78"/>
    </row>
    <row r="2006" spans="1:7" x14ac:dyDescent="0.2">
      <c r="A2006" s="76"/>
      <c r="B2006" s="77"/>
      <c r="C2006" s="78"/>
      <c r="D2006" s="81"/>
      <c r="E2006" s="81"/>
      <c r="F2006" s="79">
        <f t="shared" si="34"/>
        <v>0</v>
      </c>
      <c r="G2006" s="78"/>
    </row>
    <row r="2007" spans="1:7" x14ac:dyDescent="0.2">
      <c r="A2007" s="76"/>
      <c r="B2007" s="77"/>
      <c r="C2007" s="78"/>
      <c r="D2007" s="81"/>
      <c r="E2007" s="81"/>
      <c r="F2007" s="79">
        <f t="shared" si="34"/>
        <v>0</v>
      </c>
      <c r="G2007" s="78"/>
    </row>
    <row r="2008" spans="1:7" x14ac:dyDescent="0.2">
      <c r="A2008" s="76"/>
      <c r="B2008" s="77"/>
      <c r="C2008" s="78"/>
      <c r="D2008" s="81"/>
      <c r="E2008" s="81"/>
      <c r="F2008" s="79">
        <f t="shared" si="34"/>
        <v>0</v>
      </c>
      <c r="G2008" s="78"/>
    </row>
    <row r="2009" spans="1:7" x14ac:dyDescent="0.2">
      <c r="A2009" s="76"/>
      <c r="B2009" s="77"/>
      <c r="C2009" s="78"/>
      <c r="D2009" s="81"/>
      <c r="E2009" s="81"/>
      <c r="F2009" s="79">
        <f t="shared" si="34"/>
        <v>0</v>
      </c>
      <c r="G2009" s="78"/>
    </row>
    <row r="2010" spans="1:7" x14ac:dyDescent="0.2">
      <c r="A2010" s="76"/>
      <c r="B2010" s="77"/>
      <c r="C2010" s="78"/>
      <c r="D2010" s="81"/>
      <c r="E2010" s="81"/>
      <c r="F2010" s="79">
        <f t="shared" si="34"/>
        <v>0</v>
      </c>
      <c r="G2010" s="78"/>
    </row>
    <row r="2011" spans="1:7" x14ac:dyDescent="0.2">
      <c r="A2011" s="76"/>
      <c r="B2011" s="77"/>
      <c r="C2011" s="78"/>
      <c r="D2011" s="81"/>
      <c r="E2011" s="81"/>
      <c r="F2011" s="79">
        <f t="shared" si="34"/>
        <v>0</v>
      </c>
      <c r="G2011" s="78"/>
    </row>
    <row r="2012" spans="1:7" x14ac:dyDescent="0.2">
      <c r="A2012" s="76"/>
      <c r="B2012" s="77"/>
      <c r="C2012" s="78"/>
      <c r="D2012" s="81"/>
      <c r="E2012" s="81"/>
      <c r="F2012" s="79">
        <f t="shared" si="34"/>
        <v>0</v>
      </c>
      <c r="G2012" s="78"/>
    </row>
    <row r="2013" spans="1:7" x14ac:dyDescent="0.2">
      <c r="A2013" s="76"/>
      <c r="B2013" s="77"/>
      <c r="C2013" s="78"/>
      <c r="D2013" s="81"/>
      <c r="E2013" s="81"/>
      <c r="F2013" s="79">
        <f t="shared" si="34"/>
        <v>0</v>
      </c>
      <c r="G2013" s="78"/>
    </row>
    <row r="2014" spans="1:7" x14ac:dyDescent="0.2">
      <c r="A2014" s="76"/>
      <c r="B2014" s="77"/>
      <c r="C2014" s="78"/>
      <c r="D2014" s="81"/>
      <c r="E2014" s="81"/>
      <c r="F2014" s="79">
        <f t="shared" si="34"/>
        <v>0</v>
      </c>
      <c r="G2014" s="78"/>
    </row>
    <row r="2015" spans="1:7" x14ac:dyDescent="0.2">
      <c r="A2015" s="76"/>
      <c r="B2015" s="77"/>
      <c r="C2015" s="78"/>
      <c r="D2015" s="81"/>
      <c r="E2015" s="81"/>
      <c r="F2015" s="79">
        <f t="shared" si="34"/>
        <v>0</v>
      </c>
      <c r="G2015" s="78"/>
    </row>
    <row r="2016" spans="1:7" x14ac:dyDescent="0.2">
      <c r="A2016" s="76"/>
      <c r="B2016" s="77"/>
      <c r="C2016" s="78"/>
      <c r="D2016" s="81"/>
      <c r="E2016" s="81"/>
      <c r="F2016" s="79">
        <f t="shared" si="34"/>
        <v>0</v>
      </c>
      <c r="G2016" s="78"/>
    </row>
    <row r="2017" spans="1:7" x14ac:dyDescent="0.2">
      <c r="A2017" s="76"/>
      <c r="B2017" s="77"/>
      <c r="C2017" s="78"/>
      <c r="D2017" s="81"/>
      <c r="E2017" s="81"/>
      <c r="F2017" s="79">
        <f t="shared" si="34"/>
        <v>0</v>
      </c>
      <c r="G2017" s="78"/>
    </row>
    <row r="2018" spans="1:7" x14ac:dyDescent="0.2">
      <c r="A2018" s="76"/>
      <c r="B2018" s="77"/>
      <c r="C2018" s="78"/>
      <c r="D2018" s="81"/>
      <c r="E2018" s="81"/>
      <c r="F2018" s="79">
        <f t="shared" si="34"/>
        <v>0</v>
      </c>
      <c r="G2018" s="78"/>
    </row>
    <row r="2019" spans="1:7" x14ac:dyDescent="0.2">
      <c r="A2019" s="76"/>
      <c r="B2019" s="77"/>
      <c r="C2019" s="78"/>
      <c r="D2019" s="81"/>
      <c r="E2019" s="81"/>
      <c r="F2019" s="79">
        <f t="shared" si="34"/>
        <v>0</v>
      </c>
      <c r="G2019" s="78"/>
    </row>
    <row r="2020" spans="1:7" x14ac:dyDescent="0.2">
      <c r="A2020" s="76"/>
      <c r="B2020" s="77"/>
      <c r="C2020" s="78"/>
      <c r="D2020" s="81"/>
      <c r="E2020" s="81"/>
      <c r="F2020" s="79">
        <f t="shared" si="34"/>
        <v>0</v>
      </c>
      <c r="G2020" s="78"/>
    </row>
    <row r="2021" spans="1:7" x14ac:dyDescent="0.2">
      <c r="A2021" s="76"/>
      <c r="B2021" s="77"/>
      <c r="C2021" s="78"/>
      <c r="D2021" s="81"/>
      <c r="E2021" s="81"/>
      <c r="F2021" s="79">
        <f t="shared" si="34"/>
        <v>0</v>
      </c>
      <c r="G2021" s="78"/>
    </row>
    <row r="2022" spans="1:7" x14ac:dyDescent="0.2">
      <c r="A2022" s="76"/>
      <c r="B2022" s="77"/>
      <c r="C2022" s="78"/>
      <c r="D2022" s="81"/>
      <c r="E2022" s="81"/>
      <c r="F2022" s="79">
        <f t="shared" si="34"/>
        <v>0</v>
      </c>
      <c r="G2022" s="78"/>
    </row>
    <row r="2023" spans="1:7" x14ac:dyDescent="0.2">
      <c r="A2023" s="76"/>
      <c r="B2023" s="77"/>
      <c r="C2023" s="78"/>
      <c r="D2023" s="81"/>
      <c r="E2023" s="81"/>
      <c r="F2023" s="79">
        <f t="shared" si="34"/>
        <v>0</v>
      </c>
      <c r="G2023" s="78"/>
    </row>
    <row r="2024" spans="1:7" x14ac:dyDescent="0.2">
      <c r="A2024" s="76"/>
      <c r="B2024" s="77"/>
      <c r="C2024" s="78"/>
      <c r="D2024" s="81"/>
      <c r="E2024" s="81"/>
      <c r="F2024" s="79">
        <f t="shared" si="34"/>
        <v>0</v>
      </c>
      <c r="G2024" s="78"/>
    </row>
    <row r="2025" spans="1:7" x14ac:dyDescent="0.2">
      <c r="A2025" s="76"/>
      <c r="B2025" s="77"/>
      <c r="C2025" s="78"/>
      <c r="D2025" s="81"/>
      <c r="E2025" s="81"/>
      <c r="F2025" s="79">
        <f t="shared" si="34"/>
        <v>0</v>
      </c>
      <c r="G2025" s="78"/>
    </row>
    <row r="2026" spans="1:7" x14ac:dyDescent="0.2">
      <c r="A2026" s="76"/>
      <c r="B2026" s="77"/>
      <c r="C2026" s="78"/>
      <c r="D2026" s="81"/>
      <c r="E2026" s="81"/>
      <c r="F2026" s="79">
        <f t="shared" si="34"/>
        <v>0</v>
      </c>
      <c r="G2026" s="78"/>
    </row>
    <row r="2027" spans="1:7" x14ac:dyDescent="0.2">
      <c r="A2027" s="76"/>
      <c r="B2027" s="77"/>
      <c r="C2027" s="78"/>
      <c r="D2027" s="81"/>
      <c r="E2027" s="81"/>
      <c r="F2027" s="79">
        <f t="shared" si="34"/>
        <v>0</v>
      </c>
      <c r="G2027" s="78"/>
    </row>
    <row r="2028" spans="1:7" x14ac:dyDescent="0.2">
      <c r="A2028" s="76"/>
      <c r="B2028" s="77"/>
      <c r="C2028" s="78"/>
      <c r="D2028" s="81"/>
      <c r="E2028" s="81"/>
      <c r="F2028" s="79">
        <f t="shared" si="34"/>
        <v>0</v>
      </c>
      <c r="G2028" s="78"/>
    </row>
    <row r="2029" spans="1:7" x14ac:dyDescent="0.2">
      <c r="A2029" s="76"/>
      <c r="B2029" s="77"/>
      <c r="C2029" s="78"/>
      <c r="D2029" s="81"/>
      <c r="E2029" s="81"/>
      <c r="F2029" s="79">
        <f t="shared" si="34"/>
        <v>0</v>
      </c>
      <c r="G2029" s="78"/>
    </row>
    <row r="2030" spans="1:7" x14ac:dyDescent="0.2">
      <c r="A2030" s="76"/>
      <c r="B2030" s="77"/>
      <c r="C2030" s="78"/>
      <c r="D2030" s="81"/>
      <c r="E2030" s="81"/>
      <c r="F2030" s="79">
        <f t="shared" si="34"/>
        <v>0</v>
      </c>
      <c r="G2030" s="78"/>
    </row>
    <row r="2031" spans="1:7" x14ac:dyDescent="0.2">
      <c r="A2031" s="76"/>
      <c r="B2031" s="77"/>
      <c r="C2031" s="78"/>
      <c r="D2031" s="81"/>
      <c r="E2031" s="81"/>
      <c r="F2031" s="79">
        <f t="shared" si="34"/>
        <v>0</v>
      </c>
      <c r="G2031" s="78"/>
    </row>
    <row r="2032" spans="1:7" x14ac:dyDescent="0.2">
      <c r="A2032" s="76"/>
      <c r="B2032" s="77"/>
      <c r="C2032" s="78"/>
      <c r="D2032" s="81"/>
      <c r="E2032" s="81"/>
      <c r="F2032" s="79">
        <f t="shared" si="34"/>
        <v>0</v>
      </c>
      <c r="G2032" s="78"/>
    </row>
    <row r="2033" spans="1:7" x14ac:dyDescent="0.2">
      <c r="A2033" s="76"/>
      <c r="B2033" s="77"/>
      <c r="C2033" s="78"/>
      <c r="D2033" s="81"/>
      <c r="E2033" s="81"/>
      <c r="F2033" s="79">
        <f t="shared" si="34"/>
        <v>0</v>
      </c>
      <c r="G2033" s="78"/>
    </row>
    <row r="2034" spans="1:7" x14ac:dyDescent="0.2">
      <c r="A2034" s="76"/>
      <c r="B2034" s="77"/>
      <c r="C2034" s="78"/>
      <c r="D2034" s="81"/>
      <c r="E2034" s="81"/>
      <c r="F2034" s="79">
        <f t="shared" si="34"/>
        <v>0</v>
      </c>
      <c r="G2034" s="78"/>
    </row>
    <row r="2035" spans="1:7" x14ac:dyDescent="0.2">
      <c r="A2035" s="76"/>
      <c r="B2035" s="77"/>
      <c r="C2035" s="78"/>
      <c r="D2035" s="81"/>
      <c r="E2035" s="81"/>
      <c r="F2035" s="79">
        <f t="shared" si="34"/>
        <v>0</v>
      </c>
      <c r="G2035" s="78"/>
    </row>
    <row r="2036" spans="1:7" x14ac:dyDescent="0.2">
      <c r="A2036" s="76"/>
      <c r="B2036" s="77"/>
      <c r="C2036" s="78"/>
      <c r="D2036" s="81"/>
      <c r="E2036" s="81"/>
      <c r="F2036" s="79">
        <f t="shared" si="34"/>
        <v>0</v>
      </c>
      <c r="G2036" s="78"/>
    </row>
    <row r="2037" spans="1:7" x14ac:dyDescent="0.2">
      <c r="A2037" s="76"/>
      <c r="B2037" s="77"/>
      <c r="C2037" s="78"/>
      <c r="D2037" s="81"/>
      <c r="E2037" s="81"/>
      <c r="F2037" s="79">
        <f t="shared" ref="F2037:F2068" si="35">E2037-D2037</f>
        <v>0</v>
      </c>
      <c r="G2037" s="78"/>
    </row>
    <row r="2038" spans="1:7" x14ac:dyDescent="0.2">
      <c r="A2038" s="76"/>
      <c r="B2038" s="77"/>
      <c r="C2038" s="78"/>
      <c r="D2038" s="81"/>
      <c r="E2038" s="81"/>
      <c r="F2038" s="79">
        <f t="shared" si="35"/>
        <v>0</v>
      </c>
      <c r="G2038" s="78"/>
    </row>
    <row r="2039" spans="1:7" x14ac:dyDescent="0.2">
      <c r="A2039" s="76"/>
      <c r="B2039" s="77"/>
      <c r="C2039" s="78"/>
      <c r="D2039" s="81"/>
      <c r="E2039" s="81"/>
      <c r="F2039" s="79">
        <f t="shared" si="35"/>
        <v>0</v>
      </c>
      <c r="G2039" s="78"/>
    </row>
    <row r="2040" spans="1:7" x14ac:dyDescent="0.2">
      <c r="A2040" s="76"/>
      <c r="B2040" s="77"/>
      <c r="C2040" s="78"/>
      <c r="D2040" s="81"/>
      <c r="E2040" s="81"/>
      <c r="F2040" s="79">
        <f t="shared" si="35"/>
        <v>0</v>
      </c>
      <c r="G2040" s="78"/>
    </row>
    <row r="2041" spans="1:7" x14ac:dyDescent="0.2">
      <c r="A2041" s="76"/>
      <c r="B2041" s="77"/>
      <c r="C2041" s="78"/>
      <c r="D2041" s="81"/>
      <c r="E2041" s="81"/>
      <c r="F2041" s="79">
        <f t="shared" si="35"/>
        <v>0</v>
      </c>
      <c r="G2041" s="78"/>
    </row>
    <row r="2042" spans="1:7" x14ac:dyDescent="0.2">
      <c r="A2042" s="76"/>
      <c r="B2042" s="77"/>
      <c r="C2042" s="78"/>
      <c r="D2042" s="81"/>
      <c r="E2042" s="81"/>
      <c r="F2042" s="79">
        <f t="shared" si="35"/>
        <v>0</v>
      </c>
      <c r="G2042" s="78"/>
    </row>
    <row r="2043" spans="1:7" x14ac:dyDescent="0.2">
      <c r="A2043" s="76"/>
      <c r="B2043" s="77"/>
      <c r="C2043" s="78"/>
      <c r="D2043" s="81"/>
      <c r="E2043" s="81"/>
      <c r="F2043" s="79">
        <f t="shared" si="35"/>
        <v>0</v>
      </c>
      <c r="G2043" s="78"/>
    </row>
    <row r="2044" spans="1:7" x14ac:dyDescent="0.2">
      <c r="A2044" s="76"/>
      <c r="B2044" s="77"/>
      <c r="C2044" s="78"/>
      <c r="D2044" s="81"/>
      <c r="E2044" s="81"/>
      <c r="F2044" s="79">
        <f t="shared" si="35"/>
        <v>0</v>
      </c>
      <c r="G2044" s="78"/>
    </row>
    <row r="2045" spans="1:7" x14ac:dyDescent="0.2">
      <c r="A2045" s="76"/>
      <c r="B2045" s="77"/>
      <c r="C2045" s="78"/>
      <c r="D2045" s="81"/>
      <c r="E2045" s="81"/>
      <c r="F2045" s="79">
        <f t="shared" si="35"/>
        <v>0</v>
      </c>
      <c r="G2045" s="78"/>
    </row>
    <row r="2046" spans="1:7" x14ac:dyDescent="0.2">
      <c r="A2046" s="76"/>
      <c r="B2046" s="77"/>
      <c r="C2046" s="78"/>
      <c r="D2046" s="81"/>
      <c r="E2046" s="81"/>
      <c r="F2046" s="79">
        <f t="shared" si="35"/>
        <v>0</v>
      </c>
      <c r="G2046" s="78"/>
    </row>
    <row r="2047" spans="1:7" x14ac:dyDescent="0.2">
      <c r="A2047" s="76"/>
      <c r="B2047" s="77"/>
      <c r="C2047" s="78"/>
      <c r="D2047" s="81"/>
      <c r="E2047" s="81"/>
      <c r="F2047" s="79">
        <f t="shared" si="35"/>
        <v>0</v>
      </c>
      <c r="G2047" s="78"/>
    </row>
    <row r="2048" spans="1:7" x14ac:dyDescent="0.2">
      <c r="A2048" s="76"/>
      <c r="B2048" s="77"/>
      <c r="C2048" s="78"/>
      <c r="D2048" s="81"/>
      <c r="E2048" s="81"/>
      <c r="F2048" s="79">
        <f t="shared" si="35"/>
        <v>0</v>
      </c>
      <c r="G2048" s="78"/>
    </row>
    <row r="2049" spans="1:7" x14ac:dyDescent="0.2">
      <c r="A2049" s="76"/>
      <c r="B2049" s="77"/>
      <c r="C2049" s="78"/>
      <c r="D2049" s="81"/>
      <c r="E2049" s="81"/>
      <c r="F2049" s="79">
        <f t="shared" si="35"/>
        <v>0</v>
      </c>
      <c r="G2049" s="78"/>
    </row>
    <row r="2050" spans="1:7" x14ac:dyDescent="0.2">
      <c r="A2050" s="76"/>
      <c r="B2050" s="77"/>
      <c r="C2050" s="78"/>
      <c r="D2050" s="81"/>
      <c r="E2050" s="81"/>
      <c r="F2050" s="79">
        <f t="shared" si="35"/>
        <v>0</v>
      </c>
      <c r="G2050" s="78"/>
    </row>
    <row r="2051" spans="1:7" x14ac:dyDescent="0.2">
      <c r="A2051" s="76"/>
      <c r="B2051" s="77"/>
      <c r="C2051" s="78"/>
      <c r="D2051" s="81"/>
      <c r="E2051" s="81"/>
      <c r="F2051" s="79">
        <f t="shared" si="35"/>
        <v>0</v>
      </c>
      <c r="G2051" s="78"/>
    </row>
    <row r="2052" spans="1:7" x14ac:dyDescent="0.2">
      <c r="A2052" s="76"/>
      <c r="B2052" s="77"/>
      <c r="C2052" s="78"/>
      <c r="D2052" s="81"/>
      <c r="E2052" s="81"/>
      <c r="F2052" s="79">
        <f t="shared" si="35"/>
        <v>0</v>
      </c>
      <c r="G2052" s="78"/>
    </row>
    <row r="2053" spans="1:7" x14ac:dyDescent="0.2">
      <c r="A2053" s="76"/>
      <c r="B2053" s="77"/>
      <c r="C2053" s="78"/>
      <c r="D2053" s="81"/>
      <c r="E2053" s="81"/>
      <c r="F2053" s="79">
        <f t="shared" si="35"/>
        <v>0</v>
      </c>
      <c r="G2053" s="78"/>
    </row>
    <row r="2054" spans="1:7" x14ac:dyDescent="0.2">
      <c r="A2054" s="76"/>
      <c r="B2054" s="77"/>
      <c r="C2054" s="78"/>
      <c r="D2054" s="81"/>
      <c r="E2054" s="81"/>
      <c r="F2054" s="79">
        <f t="shared" si="35"/>
        <v>0</v>
      </c>
      <c r="G2054" s="78"/>
    </row>
    <row r="2055" spans="1:7" x14ac:dyDescent="0.2">
      <c r="A2055" s="76"/>
      <c r="B2055" s="77"/>
      <c r="C2055" s="78"/>
      <c r="D2055" s="81"/>
      <c r="E2055" s="81"/>
      <c r="F2055" s="79">
        <f t="shared" si="35"/>
        <v>0</v>
      </c>
      <c r="G2055" s="78"/>
    </row>
    <row r="2056" spans="1:7" x14ac:dyDescent="0.2">
      <c r="A2056" s="76"/>
      <c r="B2056" s="77"/>
      <c r="C2056" s="78"/>
      <c r="D2056" s="81"/>
      <c r="E2056" s="81"/>
      <c r="F2056" s="79">
        <f t="shared" si="35"/>
        <v>0</v>
      </c>
      <c r="G2056" s="78"/>
    </row>
    <row r="2057" spans="1:7" x14ac:dyDescent="0.2">
      <c r="A2057" s="76"/>
      <c r="B2057" s="77"/>
      <c r="C2057" s="78"/>
      <c r="D2057" s="81"/>
      <c r="E2057" s="81"/>
      <c r="F2057" s="79">
        <f t="shared" si="35"/>
        <v>0</v>
      </c>
      <c r="G2057" s="78"/>
    </row>
    <row r="2058" spans="1:7" x14ac:dyDescent="0.2">
      <c r="A2058" s="76"/>
      <c r="B2058" s="77"/>
      <c r="C2058" s="78"/>
      <c r="D2058" s="81"/>
      <c r="E2058" s="81"/>
      <c r="F2058" s="79">
        <f t="shared" si="35"/>
        <v>0</v>
      </c>
      <c r="G2058" s="78"/>
    </row>
    <row r="2059" spans="1:7" x14ac:dyDescent="0.2">
      <c r="A2059" s="76"/>
      <c r="B2059" s="77"/>
      <c r="C2059" s="78"/>
      <c r="D2059" s="81"/>
      <c r="E2059" s="81"/>
      <c r="F2059" s="79">
        <f t="shared" si="35"/>
        <v>0</v>
      </c>
      <c r="G2059" s="78"/>
    </row>
    <row r="2060" spans="1:7" x14ac:dyDescent="0.2">
      <c r="A2060" s="76"/>
      <c r="B2060" s="77"/>
      <c r="C2060" s="78"/>
      <c r="D2060" s="81"/>
      <c r="E2060" s="81"/>
      <c r="F2060" s="79">
        <f t="shared" si="35"/>
        <v>0</v>
      </c>
      <c r="G2060" s="78"/>
    </row>
    <row r="2061" spans="1:7" x14ac:dyDescent="0.2">
      <c r="A2061" s="76"/>
      <c r="B2061" s="77"/>
      <c r="C2061" s="78"/>
      <c r="D2061" s="81"/>
      <c r="E2061" s="81"/>
      <c r="F2061" s="79">
        <f t="shared" si="35"/>
        <v>0</v>
      </c>
      <c r="G2061" s="78"/>
    </row>
    <row r="2062" spans="1:7" ht="15" x14ac:dyDescent="0.2">
      <c r="A2062" s="76"/>
      <c r="B2062" s="88"/>
      <c r="C2062" s="78"/>
      <c r="D2062" s="81"/>
      <c r="E2062" s="81"/>
      <c r="F2062" s="79">
        <f t="shared" si="35"/>
        <v>0</v>
      </c>
      <c r="G2062" s="78"/>
    </row>
    <row r="2063" spans="1:7" x14ac:dyDescent="0.2">
      <c r="A2063" s="76"/>
      <c r="B2063" s="77"/>
      <c r="C2063" s="78"/>
      <c r="D2063" s="81"/>
      <c r="E2063" s="81"/>
      <c r="F2063" s="79">
        <f t="shared" si="35"/>
        <v>0</v>
      </c>
      <c r="G2063" s="78"/>
    </row>
    <row r="2064" spans="1:7" x14ac:dyDescent="0.2">
      <c r="A2064" s="76"/>
      <c r="B2064" s="77"/>
      <c r="C2064" s="78"/>
      <c r="D2064" s="81"/>
      <c r="E2064" s="81"/>
      <c r="F2064" s="79">
        <f t="shared" si="35"/>
        <v>0</v>
      </c>
      <c r="G2064" s="78"/>
    </row>
    <row r="2065" spans="1:7" ht="15" x14ac:dyDescent="0.2">
      <c r="A2065" s="76"/>
      <c r="B2065" s="88"/>
      <c r="C2065" s="78"/>
      <c r="D2065" s="81"/>
      <c r="E2065" s="81"/>
      <c r="F2065" s="79">
        <f t="shared" si="35"/>
        <v>0</v>
      </c>
      <c r="G2065" s="78"/>
    </row>
    <row r="2066" spans="1:7" x14ac:dyDescent="0.2">
      <c r="A2066" s="76"/>
      <c r="B2066" s="77"/>
      <c r="C2066" s="78"/>
      <c r="D2066" s="81"/>
      <c r="E2066" s="81"/>
      <c r="F2066" s="79">
        <f t="shared" si="35"/>
        <v>0</v>
      </c>
      <c r="G2066" s="78"/>
    </row>
    <row r="2067" spans="1:7" x14ac:dyDescent="0.2">
      <c r="A2067" s="76"/>
      <c r="B2067" s="77"/>
      <c r="C2067" s="78"/>
      <c r="D2067" s="81"/>
      <c r="E2067" s="81"/>
      <c r="F2067" s="79">
        <f t="shared" si="35"/>
        <v>0</v>
      </c>
      <c r="G2067" s="78"/>
    </row>
    <row r="2068" spans="1:7" x14ac:dyDescent="0.2">
      <c r="A2068" s="76"/>
      <c r="B2068" s="77"/>
      <c r="C2068" s="78"/>
      <c r="D2068" s="81"/>
      <c r="E2068" s="81"/>
      <c r="F2068" s="79">
        <f t="shared" si="35"/>
        <v>0</v>
      </c>
      <c r="G2068" s="78"/>
    </row>
    <row r="2069" spans="1:7" x14ac:dyDescent="0.2">
      <c r="A2069" s="76"/>
      <c r="B2069" s="77"/>
      <c r="C2069" s="78"/>
      <c r="D2069" s="81"/>
      <c r="E2069" s="81"/>
      <c r="F2069" s="79">
        <f t="shared" ref="F2069:F2076" si="36">E2069-D2069</f>
        <v>0</v>
      </c>
      <c r="G2069" s="78"/>
    </row>
    <row r="2070" spans="1:7" x14ac:dyDescent="0.2">
      <c r="A2070" s="76"/>
      <c r="B2070" s="77"/>
      <c r="C2070" s="78"/>
      <c r="D2070" s="81"/>
      <c r="E2070" s="81"/>
      <c r="F2070" s="79">
        <f t="shared" si="36"/>
        <v>0</v>
      </c>
      <c r="G2070" s="78"/>
    </row>
    <row r="2071" spans="1:7" x14ac:dyDescent="0.2">
      <c r="A2071" s="76"/>
      <c r="B2071" s="77"/>
      <c r="C2071" s="78"/>
      <c r="D2071" s="81"/>
      <c r="E2071" s="81"/>
      <c r="F2071" s="79">
        <f t="shared" si="36"/>
        <v>0</v>
      </c>
      <c r="G2071" s="78"/>
    </row>
    <row r="2072" spans="1:7" x14ac:dyDescent="0.2">
      <c r="A2072" s="76"/>
      <c r="B2072" s="77"/>
      <c r="C2072" s="78"/>
      <c r="D2072" s="81"/>
      <c r="E2072" s="81"/>
      <c r="F2072" s="79">
        <f t="shared" si="36"/>
        <v>0</v>
      </c>
      <c r="G2072" s="78"/>
    </row>
    <row r="2073" spans="1:7" x14ac:dyDescent="0.2">
      <c r="A2073" s="76"/>
      <c r="B2073" s="77"/>
      <c r="C2073" s="78"/>
      <c r="D2073" s="81"/>
      <c r="E2073" s="81"/>
      <c r="F2073" s="79">
        <f t="shared" si="36"/>
        <v>0</v>
      </c>
      <c r="G2073" s="78"/>
    </row>
    <row r="2074" spans="1:7" x14ac:dyDescent="0.2">
      <c r="A2074" s="76"/>
      <c r="B2074" s="77"/>
      <c r="C2074" s="78"/>
      <c r="D2074" s="81"/>
      <c r="E2074" s="81"/>
      <c r="F2074" s="79">
        <f t="shared" si="36"/>
        <v>0</v>
      </c>
      <c r="G2074" s="78"/>
    </row>
    <row r="2075" spans="1:7" x14ac:dyDescent="0.2">
      <c r="A2075" s="76"/>
      <c r="B2075" s="77"/>
      <c r="C2075" s="78"/>
      <c r="D2075" s="81"/>
      <c r="E2075" s="81"/>
      <c r="F2075" s="79">
        <f t="shared" si="36"/>
        <v>0</v>
      </c>
      <c r="G2075" s="78"/>
    </row>
    <row r="2076" spans="1:7" x14ac:dyDescent="0.2">
      <c r="A2076" s="76"/>
      <c r="B2076" s="77"/>
      <c r="C2076" s="78"/>
      <c r="D2076" s="81"/>
      <c r="E2076" s="81"/>
      <c r="F2076" s="79">
        <f t="shared" si="36"/>
        <v>0</v>
      </c>
      <c r="G2076" s="78"/>
    </row>
    <row r="2077" spans="1:7" x14ac:dyDescent="0.2">
      <c r="A2077" s="76"/>
      <c r="B2077" s="77"/>
      <c r="C2077" s="78"/>
      <c r="D2077" s="81"/>
      <c r="E2077" s="81"/>
      <c r="F2077" s="79">
        <f t="shared" ref="F2077:F2118" si="37">E2077-D2077</f>
        <v>0</v>
      </c>
      <c r="G2077" s="78"/>
    </row>
    <row r="2078" spans="1:7" x14ac:dyDescent="0.2">
      <c r="A2078" s="76"/>
      <c r="B2078" s="77"/>
      <c r="C2078" s="78"/>
      <c r="D2078" s="81"/>
      <c r="E2078" s="81"/>
      <c r="F2078" s="79">
        <f t="shared" si="37"/>
        <v>0</v>
      </c>
      <c r="G2078" s="78"/>
    </row>
    <row r="2079" spans="1:7" x14ac:dyDescent="0.2">
      <c r="A2079" s="76"/>
      <c r="B2079" s="77"/>
      <c r="C2079" s="78"/>
      <c r="D2079" s="81"/>
      <c r="E2079" s="81"/>
      <c r="F2079" s="79">
        <f t="shared" si="37"/>
        <v>0</v>
      </c>
      <c r="G2079" s="78"/>
    </row>
    <row r="2080" spans="1:7" x14ac:dyDescent="0.2">
      <c r="A2080" s="76"/>
      <c r="B2080" s="77"/>
      <c r="C2080" s="78"/>
      <c r="D2080" s="81"/>
      <c r="E2080" s="81"/>
      <c r="F2080" s="79">
        <f t="shared" si="37"/>
        <v>0</v>
      </c>
      <c r="G2080" s="78"/>
    </row>
    <row r="2081" spans="1:7" x14ac:dyDescent="0.2">
      <c r="A2081" s="76"/>
      <c r="B2081" s="77"/>
      <c r="C2081" s="78"/>
      <c r="D2081" s="81"/>
      <c r="E2081" s="81"/>
      <c r="F2081" s="79">
        <f t="shared" si="37"/>
        <v>0</v>
      </c>
      <c r="G2081" s="78"/>
    </row>
    <row r="2082" spans="1:7" x14ac:dyDescent="0.2">
      <c r="A2082" s="76"/>
      <c r="B2082" s="77"/>
      <c r="C2082" s="78"/>
      <c r="D2082" s="81"/>
      <c r="E2082" s="81"/>
      <c r="F2082" s="79">
        <f t="shared" si="37"/>
        <v>0</v>
      </c>
      <c r="G2082" s="78"/>
    </row>
    <row r="2083" spans="1:7" x14ac:dyDescent="0.2">
      <c r="A2083" s="76"/>
      <c r="B2083" s="77"/>
      <c r="C2083" s="78"/>
      <c r="D2083" s="81"/>
      <c r="E2083" s="81"/>
      <c r="F2083" s="79">
        <f t="shared" si="37"/>
        <v>0</v>
      </c>
      <c r="G2083" s="78"/>
    </row>
    <row r="2084" spans="1:7" x14ac:dyDescent="0.2">
      <c r="A2084" s="76"/>
      <c r="B2084" s="77"/>
      <c r="C2084" s="78"/>
      <c r="D2084" s="81"/>
      <c r="E2084" s="81"/>
      <c r="F2084" s="79">
        <f t="shared" si="37"/>
        <v>0</v>
      </c>
      <c r="G2084" s="78"/>
    </row>
    <row r="2085" spans="1:7" x14ac:dyDescent="0.2">
      <c r="A2085" s="76"/>
      <c r="B2085" s="77"/>
      <c r="C2085" s="78"/>
      <c r="D2085" s="81"/>
      <c r="E2085" s="81"/>
      <c r="F2085" s="79">
        <f t="shared" si="37"/>
        <v>0</v>
      </c>
      <c r="G2085" s="78"/>
    </row>
    <row r="2086" spans="1:7" x14ac:dyDescent="0.2">
      <c r="A2086" s="76"/>
      <c r="B2086" s="77"/>
      <c r="C2086" s="78"/>
      <c r="D2086" s="81"/>
      <c r="E2086" s="81"/>
      <c r="F2086" s="79">
        <f t="shared" si="37"/>
        <v>0</v>
      </c>
      <c r="G2086" s="78"/>
    </row>
    <row r="2087" spans="1:7" x14ac:dyDescent="0.2">
      <c r="A2087" s="76"/>
      <c r="B2087" s="77"/>
      <c r="C2087" s="78"/>
      <c r="D2087" s="81"/>
      <c r="E2087" s="81"/>
      <c r="F2087" s="79">
        <f t="shared" si="37"/>
        <v>0</v>
      </c>
      <c r="G2087" s="78"/>
    </row>
    <row r="2088" spans="1:7" x14ac:dyDescent="0.2">
      <c r="A2088" s="76"/>
      <c r="B2088" s="77"/>
      <c r="C2088" s="78"/>
      <c r="D2088" s="81"/>
      <c r="E2088" s="81"/>
      <c r="F2088" s="79">
        <f t="shared" si="37"/>
        <v>0</v>
      </c>
      <c r="G2088" s="78"/>
    </row>
    <row r="2089" spans="1:7" x14ac:dyDescent="0.2">
      <c r="A2089" s="76"/>
      <c r="B2089" s="77"/>
      <c r="C2089" s="78"/>
      <c r="D2089" s="81"/>
      <c r="E2089" s="81"/>
      <c r="F2089" s="79">
        <f t="shared" si="37"/>
        <v>0</v>
      </c>
      <c r="G2089" s="78"/>
    </row>
    <row r="2090" spans="1:7" x14ac:dyDescent="0.2">
      <c r="A2090" s="76"/>
      <c r="B2090" s="77"/>
      <c r="C2090" s="78"/>
      <c r="D2090" s="81"/>
      <c r="E2090" s="81"/>
      <c r="F2090" s="79">
        <f t="shared" si="37"/>
        <v>0</v>
      </c>
      <c r="G2090" s="78"/>
    </row>
    <row r="2091" spans="1:7" x14ac:dyDescent="0.2">
      <c r="A2091" s="76"/>
      <c r="B2091" s="77"/>
      <c r="C2091" s="78"/>
      <c r="D2091" s="81"/>
      <c r="E2091" s="81"/>
      <c r="F2091" s="79">
        <f t="shared" si="37"/>
        <v>0</v>
      </c>
      <c r="G2091" s="78"/>
    </row>
    <row r="2092" spans="1:7" x14ac:dyDescent="0.2">
      <c r="A2092" s="76"/>
      <c r="B2092" s="77"/>
      <c r="C2092" s="78"/>
      <c r="D2092" s="81"/>
      <c r="E2092" s="81"/>
      <c r="F2092" s="79">
        <f t="shared" si="37"/>
        <v>0</v>
      </c>
      <c r="G2092" s="78"/>
    </row>
    <row r="2093" spans="1:7" x14ac:dyDescent="0.2">
      <c r="A2093" s="76"/>
      <c r="B2093" s="77"/>
      <c r="C2093" s="78"/>
      <c r="D2093" s="81"/>
      <c r="E2093" s="81"/>
      <c r="F2093" s="79">
        <f t="shared" si="37"/>
        <v>0</v>
      </c>
      <c r="G2093" s="78"/>
    </row>
    <row r="2094" spans="1:7" x14ac:dyDescent="0.2">
      <c r="A2094" s="76"/>
      <c r="B2094" s="77"/>
      <c r="C2094" s="78"/>
      <c r="D2094" s="81"/>
      <c r="E2094" s="81"/>
      <c r="F2094" s="79">
        <f t="shared" si="37"/>
        <v>0</v>
      </c>
      <c r="G2094" s="78"/>
    </row>
    <row r="2095" spans="1:7" x14ac:dyDescent="0.2">
      <c r="A2095" s="76"/>
      <c r="B2095" s="77"/>
      <c r="C2095" s="78"/>
      <c r="D2095" s="81"/>
      <c r="E2095" s="81"/>
      <c r="F2095" s="79">
        <f t="shared" si="37"/>
        <v>0</v>
      </c>
      <c r="G2095" s="78"/>
    </row>
    <row r="2096" spans="1:7" x14ac:dyDescent="0.2">
      <c r="A2096" s="76"/>
      <c r="B2096" s="77"/>
      <c r="C2096" s="78"/>
      <c r="D2096" s="81"/>
      <c r="E2096" s="81"/>
      <c r="F2096" s="79">
        <f t="shared" si="37"/>
        <v>0</v>
      </c>
      <c r="G2096" s="78"/>
    </row>
    <row r="2097" spans="1:7" x14ac:dyDescent="0.2">
      <c r="A2097" s="76"/>
      <c r="B2097" s="77"/>
      <c r="C2097" s="78"/>
      <c r="D2097" s="81"/>
      <c r="E2097" s="81"/>
      <c r="F2097" s="79">
        <f t="shared" si="37"/>
        <v>0</v>
      </c>
      <c r="G2097" s="78"/>
    </row>
    <row r="2098" spans="1:7" x14ac:dyDescent="0.2">
      <c r="A2098" s="76"/>
      <c r="B2098" s="85"/>
      <c r="C2098" s="78"/>
      <c r="D2098" s="81"/>
      <c r="E2098" s="81"/>
      <c r="F2098" s="79">
        <f t="shared" si="37"/>
        <v>0</v>
      </c>
      <c r="G2098" s="78"/>
    </row>
    <row r="2099" spans="1:7" x14ac:dyDescent="0.2">
      <c r="A2099" s="76"/>
      <c r="B2099" s="77"/>
      <c r="C2099" s="78"/>
      <c r="D2099" s="81"/>
      <c r="E2099" s="81"/>
      <c r="F2099" s="79">
        <f t="shared" si="37"/>
        <v>0</v>
      </c>
      <c r="G2099" s="78"/>
    </row>
    <row r="2100" spans="1:7" x14ac:dyDescent="0.2">
      <c r="A2100" s="76"/>
      <c r="B2100" s="77"/>
      <c r="C2100" s="78"/>
      <c r="D2100" s="81"/>
      <c r="E2100" s="81"/>
      <c r="F2100" s="79">
        <f t="shared" si="37"/>
        <v>0</v>
      </c>
      <c r="G2100" s="78"/>
    </row>
    <row r="2101" spans="1:7" x14ac:dyDescent="0.2">
      <c r="A2101" s="76"/>
      <c r="B2101" s="77"/>
      <c r="C2101" s="78"/>
      <c r="D2101" s="81"/>
      <c r="E2101" s="81"/>
      <c r="F2101" s="79">
        <f t="shared" si="37"/>
        <v>0</v>
      </c>
      <c r="G2101" s="78"/>
    </row>
    <row r="2102" spans="1:7" x14ac:dyDescent="0.2">
      <c r="A2102" s="76"/>
      <c r="B2102" s="77"/>
      <c r="C2102" s="78"/>
      <c r="D2102" s="81"/>
      <c r="E2102" s="81"/>
      <c r="F2102" s="79">
        <f t="shared" si="37"/>
        <v>0</v>
      </c>
      <c r="G2102" s="78"/>
    </row>
    <row r="2103" spans="1:7" x14ac:dyDescent="0.2">
      <c r="A2103" s="76"/>
      <c r="B2103" s="77"/>
      <c r="C2103" s="78"/>
      <c r="D2103" s="81"/>
      <c r="E2103" s="81"/>
      <c r="F2103" s="79">
        <f t="shared" si="37"/>
        <v>0</v>
      </c>
      <c r="G2103" s="78"/>
    </row>
    <row r="2104" spans="1:7" x14ac:dyDescent="0.2">
      <c r="A2104" s="76"/>
      <c r="B2104" s="77"/>
      <c r="C2104" s="78"/>
      <c r="D2104" s="81"/>
      <c r="E2104" s="81"/>
      <c r="F2104" s="79">
        <f t="shared" si="37"/>
        <v>0</v>
      </c>
      <c r="G2104" s="78"/>
    </row>
    <row r="2105" spans="1:7" x14ac:dyDescent="0.2">
      <c r="A2105" s="76"/>
      <c r="B2105" s="77"/>
      <c r="C2105" s="78"/>
      <c r="D2105" s="81"/>
      <c r="E2105" s="81"/>
      <c r="F2105" s="79">
        <f t="shared" si="37"/>
        <v>0</v>
      </c>
      <c r="G2105" s="78"/>
    </row>
    <row r="2106" spans="1:7" x14ac:dyDescent="0.2">
      <c r="A2106" s="76"/>
      <c r="B2106" s="77"/>
      <c r="C2106" s="78"/>
      <c r="D2106" s="81"/>
      <c r="E2106" s="81"/>
      <c r="F2106" s="79">
        <f t="shared" si="37"/>
        <v>0</v>
      </c>
      <c r="G2106" s="78"/>
    </row>
    <row r="2107" spans="1:7" x14ac:dyDescent="0.2">
      <c r="A2107" s="76"/>
      <c r="B2107" s="77"/>
      <c r="C2107" s="78"/>
      <c r="D2107" s="81"/>
      <c r="E2107" s="81"/>
      <c r="F2107" s="79">
        <f t="shared" si="37"/>
        <v>0</v>
      </c>
      <c r="G2107" s="78"/>
    </row>
    <row r="2108" spans="1:7" x14ac:dyDescent="0.2">
      <c r="A2108" s="76"/>
      <c r="B2108" s="77"/>
      <c r="C2108" s="78"/>
      <c r="D2108" s="81"/>
      <c r="E2108" s="81"/>
      <c r="F2108" s="79">
        <f t="shared" si="37"/>
        <v>0</v>
      </c>
      <c r="G2108" s="78"/>
    </row>
    <row r="2109" spans="1:7" x14ac:dyDescent="0.2">
      <c r="A2109" s="76"/>
      <c r="B2109" s="77"/>
      <c r="C2109" s="78"/>
      <c r="D2109" s="81"/>
      <c r="E2109" s="81"/>
      <c r="F2109" s="79">
        <f t="shared" si="37"/>
        <v>0</v>
      </c>
      <c r="G2109" s="78"/>
    </row>
    <row r="2110" spans="1:7" x14ac:dyDescent="0.2">
      <c r="A2110" s="76"/>
      <c r="B2110" s="77"/>
      <c r="C2110" s="78"/>
      <c r="D2110" s="81"/>
      <c r="E2110" s="81"/>
      <c r="F2110" s="79">
        <f t="shared" si="37"/>
        <v>0</v>
      </c>
      <c r="G2110" s="78"/>
    </row>
    <row r="2111" spans="1:7" x14ac:dyDescent="0.2">
      <c r="A2111" s="76"/>
      <c r="B2111" s="77"/>
      <c r="C2111" s="78"/>
      <c r="D2111" s="81"/>
      <c r="E2111" s="81"/>
      <c r="F2111" s="79">
        <f t="shared" si="37"/>
        <v>0</v>
      </c>
      <c r="G2111" s="78"/>
    </row>
    <row r="2112" spans="1:7" x14ac:dyDescent="0.2">
      <c r="A2112" s="76"/>
      <c r="B2112" s="77"/>
      <c r="C2112" s="78"/>
      <c r="D2112" s="81"/>
      <c r="E2112" s="81"/>
      <c r="F2112" s="79">
        <f t="shared" si="37"/>
        <v>0</v>
      </c>
      <c r="G2112" s="78"/>
    </row>
    <row r="2113" spans="1:7" x14ac:dyDescent="0.2">
      <c r="A2113" s="76"/>
      <c r="B2113" s="77"/>
      <c r="C2113" s="78"/>
      <c r="D2113" s="81"/>
      <c r="E2113" s="81"/>
      <c r="F2113" s="79">
        <f t="shared" si="37"/>
        <v>0</v>
      </c>
      <c r="G2113" s="78"/>
    </row>
    <row r="2114" spans="1:7" x14ac:dyDescent="0.2">
      <c r="A2114" s="76"/>
      <c r="B2114" s="77"/>
      <c r="C2114" s="78"/>
      <c r="D2114" s="81"/>
      <c r="E2114" s="81"/>
      <c r="F2114" s="79">
        <f t="shared" si="37"/>
        <v>0</v>
      </c>
      <c r="G2114" s="78"/>
    </row>
    <row r="2115" spans="1:7" x14ac:dyDescent="0.2">
      <c r="A2115" s="76"/>
      <c r="B2115" s="77"/>
      <c r="C2115" s="78"/>
      <c r="D2115" s="81"/>
      <c r="E2115" s="81"/>
      <c r="F2115" s="79">
        <f t="shared" si="37"/>
        <v>0</v>
      </c>
      <c r="G2115" s="78"/>
    </row>
    <row r="2116" spans="1:7" x14ac:dyDescent="0.2">
      <c r="A2116" s="76"/>
      <c r="B2116" s="77"/>
      <c r="C2116" s="78"/>
      <c r="D2116" s="81"/>
      <c r="E2116" s="81"/>
      <c r="F2116" s="79">
        <f t="shared" si="37"/>
        <v>0</v>
      </c>
      <c r="G2116" s="78"/>
    </row>
    <row r="2117" spans="1:7" x14ac:dyDescent="0.2">
      <c r="A2117" s="76"/>
      <c r="B2117" s="77"/>
      <c r="C2117" s="78"/>
      <c r="D2117" s="81"/>
      <c r="E2117" s="81"/>
      <c r="F2117" s="79">
        <f t="shared" si="37"/>
        <v>0</v>
      </c>
      <c r="G2117" s="78"/>
    </row>
    <row r="2118" spans="1:7" x14ac:dyDescent="0.2">
      <c r="A2118" s="76"/>
      <c r="B2118" s="77"/>
      <c r="C2118" s="78"/>
      <c r="D2118" s="81"/>
      <c r="E2118" s="81"/>
      <c r="F2118" s="79">
        <f t="shared" si="37"/>
        <v>0</v>
      </c>
      <c r="G2118" s="78"/>
    </row>
    <row r="2119" spans="1:7" x14ac:dyDescent="0.2">
      <c r="A2119" s="76"/>
      <c r="B2119" s="77"/>
      <c r="C2119" s="78"/>
      <c r="D2119" s="81"/>
      <c r="E2119" s="81"/>
      <c r="F2119" s="79">
        <f t="shared" ref="F2119:F2146" si="38">E2119-D2119</f>
        <v>0</v>
      </c>
      <c r="G2119" s="78"/>
    </row>
    <row r="2120" spans="1:7" x14ac:dyDescent="0.2">
      <c r="A2120" s="76"/>
      <c r="B2120" s="77"/>
      <c r="C2120" s="78"/>
      <c r="D2120" s="81"/>
      <c r="E2120" s="81"/>
      <c r="F2120" s="79">
        <f t="shared" si="38"/>
        <v>0</v>
      </c>
      <c r="G2120" s="78"/>
    </row>
    <row r="2121" spans="1:7" x14ac:dyDescent="0.2">
      <c r="A2121" s="76"/>
      <c r="B2121" s="77"/>
      <c r="C2121" s="78"/>
      <c r="D2121" s="81"/>
      <c r="E2121" s="81"/>
      <c r="F2121" s="79">
        <f t="shared" si="38"/>
        <v>0</v>
      </c>
      <c r="G2121" s="78"/>
    </row>
    <row r="2122" spans="1:7" x14ac:dyDescent="0.2">
      <c r="A2122" s="76"/>
      <c r="B2122" s="77"/>
      <c r="C2122" s="78"/>
      <c r="D2122" s="81"/>
      <c r="E2122" s="81"/>
      <c r="F2122" s="79">
        <f t="shared" si="38"/>
        <v>0</v>
      </c>
      <c r="G2122" s="78"/>
    </row>
    <row r="2123" spans="1:7" x14ac:dyDescent="0.2">
      <c r="A2123" s="76"/>
      <c r="B2123" s="77"/>
      <c r="C2123" s="78"/>
      <c r="D2123" s="81"/>
      <c r="E2123" s="81"/>
      <c r="F2123" s="79">
        <f t="shared" si="38"/>
        <v>0</v>
      </c>
      <c r="G2123" s="78"/>
    </row>
    <row r="2124" spans="1:7" x14ac:dyDescent="0.2">
      <c r="A2124" s="76"/>
      <c r="B2124" s="77"/>
      <c r="C2124" s="78"/>
      <c r="D2124" s="81"/>
      <c r="E2124" s="81"/>
      <c r="F2124" s="79">
        <f t="shared" si="38"/>
        <v>0</v>
      </c>
      <c r="G2124" s="78"/>
    </row>
    <row r="2125" spans="1:7" x14ac:dyDescent="0.2">
      <c r="A2125" s="76"/>
      <c r="B2125" s="77"/>
      <c r="C2125" s="78"/>
      <c r="D2125" s="81"/>
      <c r="E2125" s="81"/>
      <c r="F2125" s="79">
        <f t="shared" si="38"/>
        <v>0</v>
      </c>
      <c r="G2125" s="78"/>
    </row>
    <row r="2126" spans="1:7" x14ac:dyDescent="0.2">
      <c r="A2126" s="76"/>
      <c r="B2126" s="77"/>
      <c r="C2126" s="78"/>
      <c r="D2126" s="81"/>
      <c r="E2126" s="81"/>
      <c r="F2126" s="79">
        <f t="shared" si="38"/>
        <v>0</v>
      </c>
      <c r="G2126" s="78"/>
    </row>
    <row r="2127" spans="1:7" x14ac:dyDescent="0.2">
      <c r="A2127" s="76"/>
      <c r="B2127" s="77"/>
      <c r="C2127" s="78"/>
      <c r="D2127" s="81"/>
      <c r="E2127" s="81"/>
      <c r="F2127" s="79">
        <f t="shared" si="38"/>
        <v>0</v>
      </c>
      <c r="G2127" s="78"/>
    </row>
    <row r="2128" spans="1:7" x14ac:dyDescent="0.2">
      <c r="A2128" s="76"/>
      <c r="B2128" s="77"/>
      <c r="C2128" s="78"/>
      <c r="D2128" s="81"/>
      <c r="E2128" s="81"/>
      <c r="F2128" s="79">
        <f t="shared" si="38"/>
        <v>0</v>
      </c>
      <c r="G2128" s="78"/>
    </row>
    <row r="2129" spans="1:7" x14ac:dyDescent="0.2">
      <c r="A2129" s="76"/>
      <c r="B2129" s="77"/>
      <c r="C2129" s="78"/>
      <c r="D2129" s="81"/>
      <c r="E2129" s="81"/>
      <c r="F2129" s="79">
        <f t="shared" si="38"/>
        <v>0</v>
      </c>
      <c r="G2129" s="78"/>
    </row>
    <row r="2130" spans="1:7" x14ac:dyDescent="0.2">
      <c r="A2130" s="76"/>
      <c r="B2130" s="77"/>
      <c r="C2130" s="78"/>
      <c r="D2130" s="81"/>
      <c r="E2130" s="81"/>
      <c r="F2130" s="79">
        <f t="shared" si="38"/>
        <v>0</v>
      </c>
      <c r="G2130" s="78"/>
    </row>
    <row r="2131" spans="1:7" x14ac:dyDescent="0.2">
      <c r="A2131" s="76"/>
      <c r="B2131" s="77"/>
      <c r="C2131" s="78"/>
      <c r="D2131" s="81"/>
      <c r="E2131" s="81"/>
      <c r="F2131" s="79">
        <f t="shared" si="38"/>
        <v>0</v>
      </c>
      <c r="G2131" s="78"/>
    </row>
    <row r="2132" spans="1:7" x14ac:dyDescent="0.2">
      <c r="A2132" s="76"/>
      <c r="B2132" s="77"/>
      <c r="C2132" s="78"/>
      <c r="D2132" s="81"/>
      <c r="E2132" s="81"/>
      <c r="F2132" s="79">
        <f t="shared" si="38"/>
        <v>0</v>
      </c>
      <c r="G2132" s="78"/>
    </row>
    <row r="2133" spans="1:7" x14ac:dyDescent="0.2">
      <c r="A2133" s="76"/>
      <c r="B2133" s="77"/>
      <c r="C2133" s="78"/>
      <c r="D2133" s="81"/>
      <c r="E2133" s="81"/>
      <c r="F2133" s="79">
        <f t="shared" si="38"/>
        <v>0</v>
      </c>
      <c r="G2133" s="78"/>
    </row>
    <row r="2134" spans="1:7" x14ac:dyDescent="0.2">
      <c r="A2134" s="76"/>
      <c r="B2134" s="77"/>
      <c r="C2134" s="78"/>
      <c r="D2134" s="81"/>
      <c r="E2134" s="81"/>
      <c r="F2134" s="79">
        <f t="shared" si="38"/>
        <v>0</v>
      </c>
      <c r="G2134" s="78"/>
    </row>
    <row r="2135" spans="1:7" x14ac:dyDescent="0.2">
      <c r="A2135" s="76"/>
      <c r="B2135" s="77"/>
      <c r="C2135" s="78"/>
      <c r="D2135" s="81"/>
      <c r="E2135" s="81"/>
      <c r="F2135" s="79">
        <f t="shared" si="38"/>
        <v>0</v>
      </c>
      <c r="G2135" s="78"/>
    </row>
    <row r="2136" spans="1:7" x14ac:dyDescent="0.2">
      <c r="A2136" s="76"/>
      <c r="B2136" s="77"/>
      <c r="C2136" s="78"/>
      <c r="D2136" s="81"/>
      <c r="E2136" s="81"/>
      <c r="F2136" s="79">
        <f t="shared" si="38"/>
        <v>0</v>
      </c>
      <c r="G2136" s="78"/>
    </row>
    <row r="2137" spans="1:7" x14ac:dyDescent="0.2">
      <c r="A2137" s="76"/>
      <c r="B2137" s="77"/>
      <c r="C2137" s="78"/>
      <c r="D2137" s="81"/>
      <c r="E2137" s="81"/>
      <c r="F2137" s="79">
        <f t="shared" si="38"/>
        <v>0</v>
      </c>
      <c r="G2137" s="78"/>
    </row>
    <row r="2138" spans="1:7" x14ac:dyDescent="0.2">
      <c r="A2138" s="76"/>
      <c r="B2138" s="77"/>
      <c r="C2138" s="78"/>
      <c r="D2138" s="81"/>
      <c r="E2138" s="81"/>
      <c r="F2138" s="79">
        <f t="shared" si="38"/>
        <v>0</v>
      </c>
      <c r="G2138" s="78"/>
    </row>
    <row r="2139" spans="1:7" x14ac:dyDescent="0.2">
      <c r="A2139" s="76"/>
      <c r="B2139" s="77"/>
      <c r="C2139" s="78"/>
      <c r="D2139" s="81"/>
      <c r="E2139" s="81"/>
      <c r="F2139" s="79">
        <f t="shared" si="38"/>
        <v>0</v>
      </c>
      <c r="G2139" s="78"/>
    </row>
    <row r="2140" spans="1:7" x14ac:dyDescent="0.2">
      <c r="A2140" s="76"/>
      <c r="B2140" s="77"/>
      <c r="C2140" s="78"/>
      <c r="D2140" s="81"/>
      <c r="E2140" s="81"/>
      <c r="F2140" s="79">
        <f t="shared" si="38"/>
        <v>0</v>
      </c>
      <c r="G2140" s="78"/>
    </row>
    <row r="2141" spans="1:7" x14ac:dyDescent="0.2">
      <c r="A2141" s="76"/>
      <c r="B2141" s="77"/>
      <c r="C2141" s="78"/>
      <c r="D2141" s="81"/>
      <c r="E2141" s="81"/>
      <c r="F2141" s="79">
        <f t="shared" si="38"/>
        <v>0</v>
      </c>
      <c r="G2141" s="78"/>
    </row>
    <row r="2142" spans="1:7" x14ac:dyDescent="0.2">
      <c r="A2142" s="76"/>
      <c r="B2142" s="77"/>
      <c r="C2142" s="78"/>
      <c r="D2142" s="81"/>
      <c r="E2142" s="81"/>
      <c r="F2142" s="79">
        <f t="shared" si="38"/>
        <v>0</v>
      </c>
      <c r="G2142" s="78"/>
    </row>
    <row r="2143" spans="1:7" x14ac:dyDescent="0.2">
      <c r="A2143" s="76"/>
      <c r="B2143" s="77"/>
      <c r="C2143" s="78"/>
      <c r="D2143" s="81"/>
      <c r="E2143" s="81"/>
      <c r="F2143" s="79">
        <f t="shared" si="38"/>
        <v>0</v>
      </c>
      <c r="G2143" s="78"/>
    </row>
    <row r="2144" spans="1:7" x14ac:dyDescent="0.2">
      <c r="A2144" s="76"/>
      <c r="B2144" s="77"/>
      <c r="C2144" s="78"/>
      <c r="D2144" s="81"/>
      <c r="E2144" s="81"/>
      <c r="F2144" s="79">
        <f t="shared" si="38"/>
        <v>0</v>
      </c>
      <c r="G2144" s="78"/>
    </row>
    <row r="2145" spans="1:7" x14ac:dyDescent="0.2">
      <c r="A2145" s="76"/>
      <c r="B2145" s="77"/>
      <c r="C2145" s="78"/>
      <c r="D2145" s="81"/>
      <c r="E2145" s="81"/>
      <c r="F2145" s="79">
        <f t="shared" si="38"/>
        <v>0</v>
      </c>
      <c r="G2145" s="78"/>
    </row>
    <row r="2146" spans="1:7" x14ac:dyDescent="0.2">
      <c r="A2146" s="76"/>
      <c r="B2146" s="77"/>
      <c r="C2146" s="78"/>
      <c r="D2146" s="81"/>
      <c r="E2146" s="81"/>
      <c r="F2146" s="79">
        <f t="shared" si="38"/>
        <v>0</v>
      </c>
      <c r="G2146" s="78"/>
    </row>
    <row r="2147" spans="1:7" x14ac:dyDescent="0.2">
      <c r="A2147" s="76"/>
      <c r="B2147" s="77"/>
      <c r="C2147" s="78"/>
      <c r="D2147" s="81"/>
      <c r="E2147" s="81"/>
      <c r="F2147" s="79">
        <f t="shared" ref="F2147:F2188" si="39">E2147-D2147</f>
        <v>0</v>
      </c>
      <c r="G2147" s="78"/>
    </row>
    <row r="2148" spans="1:7" x14ac:dyDescent="0.2">
      <c r="A2148" s="76"/>
      <c r="B2148" s="77"/>
      <c r="C2148" s="78"/>
      <c r="D2148" s="81"/>
      <c r="E2148" s="81"/>
      <c r="F2148" s="79">
        <f t="shared" si="39"/>
        <v>0</v>
      </c>
      <c r="G2148" s="78"/>
    </row>
    <row r="2149" spans="1:7" x14ac:dyDescent="0.2">
      <c r="A2149" s="76"/>
      <c r="B2149" s="77"/>
      <c r="C2149" s="78"/>
      <c r="D2149" s="81"/>
      <c r="E2149" s="81"/>
      <c r="F2149" s="79">
        <f t="shared" si="39"/>
        <v>0</v>
      </c>
      <c r="G2149" s="78"/>
    </row>
    <row r="2150" spans="1:7" x14ac:dyDescent="0.2">
      <c r="A2150" s="76"/>
      <c r="B2150" s="77"/>
      <c r="C2150" s="78"/>
      <c r="D2150" s="81"/>
      <c r="E2150" s="81"/>
      <c r="F2150" s="79">
        <f t="shared" si="39"/>
        <v>0</v>
      </c>
      <c r="G2150" s="78"/>
    </row>
    <row r="2151" spans="1:7" x14ac:dyDescent="0.2">
      <c r="A2151" s="76"/>
      <c r="B2151" s="77"/>
      <c r="C2151" s="78"/>
      <c r="D2151" s="81"/>
      <c r="E2151" s="81"/>
      <c r="F2151" s="79">
        <f t="shared" si="39"/>
        <v>0</v>
      </c>
      <c r="G2151" s="78"/>
    </row>
    <row r="2152" spans="1:7" x14ac:dyDescent="0.2">
      <c r="A2152" s="76"/>
      <c r="B2152" s="77"/>
      <c r="C2152" s="78"/>
      <c r="D2152" s="81"/>
      <c r="E2152" s="81"/>
      <c r="F2152" s="79">
        <f t="shared" si="39"/>
        <v>0</v>
      </c>
      <c r="G2152" s="78"/>
    </row>
    <row r="2153" spans="1:7" x14ac:dyDescent="0.2">
      <c r="A2153" s="76"/>
      <c r="B2153" s="77"/>
      <c r="C2153" s="78"/>
      <c r="D2153" s="81"/>
      <c r="E2153" s="81"/>
      <c r="F2153" s="79">
        <f t="shared" si="39"/>
        <v>0</v>
      </c>
      <c r="G2153" s="78"/>
    </row>
    <row r="2154" spans="1:7" x14ac:dyDescent="0.2">
      <c r="A2154" s="76"/>
      <c r="B2154" s="77"/>
      <c r="C2154" s="78"/>
      <c r="D2154" s="81"/>
      <c r="E2154" s="81"/>
      <c r="F2154" s="79">
        <f t="shared" si="39"/>
        <v>0</v>
      </c>
      <c r="G2154" s="78"/>
    </row>
    <row r="2155" spans="1:7" x14ac:dyDescent="0.2">
      <c r="A2155" s="76"/>
      <c r="B2155" s="77"/>
      <c r="C2155" s="78"/>
      <c r="D2155" s="81"/>
      <c r="E2155" s="81"/>
      <c r="F2155" s="79">
        <f t="shared" si="39"/>
        <v>0</v>
      </c>
      <c r="G2155" s="78"/>
    </row>
    <row r="2156" spans="1:7" x14ac:dyDescent="0.2">
      <c r="A2156" s="76"/>
      <c r="B2156" s="77"/>
      <c r="C2156" s="78"/>
      <c r="D2156" s="81"/>
      <c r="E2156" s="81"/>
      <c r="F2156" s="79">
        <f t="shared" si="39"/>
        <v>0</v>
      </c>
      <c r="G2156" s="78"/>
    </row>
    <row r="2157" spans="1:7" x14ac:dyDescent="0.2">
      <c r="A2157" s="76"/>
      <c r="B2157" s="77"/>
      <c r="C2157" s="78"/>
      <c r="D2157" s="81"/>
      <c r="E2157" s="81"/>
      <c r="F2157" s="79">
        <f t="shared" si="39"/>
        <v>0</v>
      </c>
      <c r="G2157" s="78"/>
    </row>
    <row r="2158" spans="1:7" x14ac:dyDescent="0.2">
      <c r="A2158" s="76"/>
      <c r="B2158" s="77"/>
      <c r="C2158" s="78"/>
      <c r="D2158" s="81"/>
      <c r="E2158" s="81"/>
      <c r="F2158" s="79">
        <f t="shared" si="39"/>
        <v>0</v>
      </c>
      <c r="G2158" s="78"/>
    </row>
    <row r="2159" spans="1:7" x14ac:dyDescent="0.2">
      <c r="A2159" s="76"/>
      <c r="B2159" s="77"/>
      <c r="C2159" s="78"/>
      <c r="D2159" s="81"/>
      <c r="E2159" s="81"/>
      <c r="F2159" s="79">
        <f t="shared" si="39"/>
        <v>0</v>
      </c>
      <c r="G2159" s="78"/>
    </row>
    <row r="2160" spans="1:7" x14ac:dyDescent="0.2">
      <c r="A2160" s="76"/>
      <c r="B2160" s="77"/>
      <c r="C2160" s="78"/>
      <c r="D2160" s="81"/>
      <c r="E2160" s="81"/>
      <c r="F2160" s="79">
        <f t="shared" si="39"/>
        <v>0</v>
      </c>
      <c r="G2160" s="78"/>
    </row>
    <row r="2161" spans="1:7" x14ac:dyDescent="0.2">
      <c r="A2161" s="76"/>
      <c r="B2161" s="77"/>
      <c r="C2161" s="78"/>
      <c r="D2161" s="81"/>
      <c r="E2161" s="81"/>
      <c r="F2161" s="79">
        <f t="shared" si="39"/>
        <v>0</v>
      </c>
      <c r="G2161" s="78"/>
    </row>
    <row r="2162" spans="1:7" x14ac:dyDescent="0.2">
      <c r="A2162" s="76"/>
      <c r="B2162" s="77"/>
      <c r="C2162" s="78"/>
      <c r="D2162" s="81"/>
      <c r="E2162" s="81"/>
      <c r="F2162" s="79">
        <f t="shared" si="39"/>
        <v>0</v>
      </c>
      <c r="G2162" s="78"/>
    </row>
    <row r="2163" spans="1:7" x14ac:dyDescent="0.2">
      <c r="A2163" s="76"/>
      <c r="B2163" s="77"/>
      <c r="C2163" s="78"/>
      <c r="D2163" s="81"/>
      <c r="E2163" s="81"/>
      <c r="F2163" s="79">
        <f t="shared" si="39"/>
        <v>0</v>
      </c>
      <c r="G2163" s="78"/>
    </row>
    <row r="2164" spans="1:7" ht="15" x14ac:dyDescent="0.2">
      <c r="A2164" s="76"/>
      <c r="B2164" s="88"/>
      <c r="C2164" s="78"/>
      <c r="D2164" s="81"/>
      <c r="E2164" s="81"/>
      <c r="F2164" s="79">
        <f t="shared" si="39"/>
        <v>0</v>
      </c>
      <c r="G2164" s="78"/>
    </row>
    <row r="2165" spans="1:7" ht="15" x14ac:dyDescent="0.2">
      <c r="A2165" s="76"/>
      <c r="B2165" s="88"/>
      <c r="C2165" s="78"/>
      <c r="D2165" s="81"/>
      <c r="E2165" s="81"/>
      <c r="F2165" s="79">
        <f t="shared" si="39"/>
        <v>0</v>
      </c>
      <c r="G2165" s="78"/>
    </row>
    <row r="2166" spans="1:7" ht="15" x14ac:dyDescent="0.2">
      <c r="A2166" s="76"/>
      <c r="B2166" s="88"/>
      <c r="C2166" s="78"/>
      <c r="D2166" s="81"/>
      <c r="E2166" s="81"/>
      <c r="F2166" s="79">
        <f t="shared" si="39"/>
        <v>0</v>
      </c>
      <c r="G2166" s="78"/>
    </row>
    <row r="2167" spans="1:7" ht="15" x14ac:dyDescent="0.2">
      <c r="A2167" s="76"/>
      <c r="B2167" s="88"/>
      <c r="C2167" s="78"/>
      <c r="D2167" s="81"/>
      <c r="E2167" s="81"/>
      <c r="F2167" s="79">
        <f t="shared" si="39"/>
        <v>0</v>
      </c>
      <c r="G2167" s="78"/>
    </row>
    <row r="2168" spans="1:7" x14ac:dyDescent="0.2">
      <c r="A2168" s="76"/>
      <c r="B2168" s="77"/>
      <c r="C2168" s="78"/>
      <c r="D2168" s="81"/>
      <c r="E2168" s="81"/>
      <c r="F2168" s="79">
        <f t="shared" si="39"/>
        <v>0</v>
      </c>
      <c r="G2168" s="78"/>
    </row>
    <row r="2169" spans="1:7" x14ac:dyDescent="0.2">
      <c r="A2169" s="76"/>
      <c r="B2169" s="77"/>
      <c r="C2169" s="78"/>
      <c r="D2169" s="81"/>
      <c r="E2169" s="81"/>
      <c r="F2169" s="79">
        <f t="shared" si="39"/>
        <v>0</v>
      </c>
      <c r="G2169" s="78"/>
    </row>
    <row r="2170" spans="1:7" x14ac:dyDescent="0.2">
      <c r="A2170" s="76"/>
      <c r="B2170" s="77"/>
      <c r="C2170" s="78"/>
      <c r="D2170" s="81"/>
      <c r="E2170" s="81"/>
      <c r="F2170" s="79">
        <f t="shared" si="39"/>
        <v>0</v>
      </c>
      <c r="G2170" s="78"/>
    </row>
    <row r="2171" spans="1:7" x14ac:dyDescent="0.2">
      <c r="A2171" s="76"/>
      <c r="B2171" s="77"/>
      <c r="C2171" s="78"/>
      <c r="D2171" s="81"/>
      <c r="E2171" s="81"/>
      <c r="F2171" s="79">
        <f t="shared" si="39"/>
        <v>0</v>
      </c>
      <c r="G2171" s="78"/>
    </row>
    <row r="2172" spans="1:7" x14ac:dyDescent="0.2">
      <c r="A2172" s="76"/>
      <c r="B2172" s="77"/>
      <c r="C2172" s="78"/>
      <c r="D2172" s="81"/>
      <c r="E2172" s="81"/>
      <c r="F2172" s="79">
        <f t="shared" si="39"/>
        <v>0</v>
      </c>
      <c r="G2172" s="78"/>
    </row>
    <row r="2173" spans="1:7" x14ac:dyDescent="0.2">
      <c r="A2173" s="76"/>
      <c r="B2173" s="77"/>
      <c r="C2173" s="78"/>
      <c r="D2173" s="81"/>
      <c r="E2173" s="81"/>
      <c r="F2173" s="79">
        <f t="shared" si="39"/>
        <v>0</v>
      </c>
      <c r="G2173" s="78"/>
    </row>
    <row r="2174" spans="1:7" x14ac:dyDescent="0.2">
      <c r="A2174" s="76"/>
      <c r="B2174" s="77"/>
      <c r="C2174" s="78"/>
      <c r="D2174" s="81"/>
      <c r="E2174" s="81"/>
      <c r="F2174" s="79">
        <f t="shared" si="39"/>
        <v>0</v>
      </c>
      <c r="G2174" s="78"/>
    </row>
    <row r="2175" spans="1:7" x14ac:dyDescent="0.2">
      <c r="A2175" s="76"/>
      <c r="B2175" s="77"/>
      <c r="C2175" s="78"/>
      <c r="D2175" s="81"/>
      <c r="E2175" s="81"/>
      <c r="F2175" s="79">
        <f t="shared" si="39"/>
        <v>0</v>
      </c>
      <c r="G2175" s="78"/>
    </row>
    <row r="2176" spans="1:7" x14ac:dyDescent="0.2">
      <c r="A2176" s="76"/>
      <c r="B2176" s="77"/>
      <c r="C2176" s="78"/>
      <c r="D2176" s="81"/>
      <c r="E2176" s="81"/>
      <c r="F2176" s="79">
        <f t="shared" si="39"/>
        <v>0</v>
      </c>
      <c r="G2176" s="78"/>
    </row>
    <row r="2177" spans="1:7" x14ac:dyDescent="0.2">
      <c r="A2177" s="76"/>
      <c r="B2177" s="77"/>
      <c r="C2177" s="78"/>
      <c r="D2177" s="81"/>
      <c r="E2177" s="81"/>
      <c r="F2177" s="79">
        <f t="shared" si="39"/>
        <v>0</v>
      </c>
      <c r="G2177" s="78"/>
    </row>
    <row r="2178" spans="1:7" x14ac:dyDescent="0.2">
      <c r="A2178" s="76"/>
      <c r="B2178" s="77"/>
      <c r="C2178" s="78"/>
      <c r="D2178" s="81"/>
      <c r="E2178" s="81"/>
      <c r="F2178" s="79">
        <f t="shared" si="39"/>
        <v>0</v>
      </c>
      <c r="G2178" s="78"/>
    </row>
    <row r="2179" spans="1:7" x14ac:dyDescent="0.2">
      <c r="A2179" s="76"/>
      <c r="B2179" s="77"/>
      <c r="C2179" s="78"/>
      <c r="D2179" s="81"/>
      <c r="E2179" s="81"/>
      <c r="F2179" s="79">
        <f t="shared" si="39"/>
        <v>0</v>
      </c>
      <c r="G2179" s="78"/>
    </row>
    <row r="2180" spans="1:7" x14ac:dyDescent="0.2">
      <c r="A2180" s="76"/>
      <c r="B2180" s="77"/>
      <c r="C2180" s="78"/>
      <c r="D2180" s="81"/>
      <c r="E2180" s="81"/>
      <c r="F2180" s="79">
        <f t="shared" si="39"/>
        <v>0</v>
      </c>
      <c r="G2180" s="78"/>
    </row>
    <row r="2181" spans="1:7" x14ac:dyDescent="0.2">
      <c r="A2181" s="76"/>
      <c r="B2181" s="77"/>
      <c r="C2181" s="78"/>
      <c r="D2181" s="81"/>
      <c r="E2181" s="81"/>
      <c r="F2181" s="79">
        <f t="shared" si="39"/>
        <v>0</v>
      </c>
      <c r="G2181" s="78"/>
    </row>
    <row r="2182" spans="1:7" x14ac:dyDescent="0.2">
      <c r="A2182" s="76"/>
      <c r="B2182" s="77"/>
      <c r="C2182" s="78"/>
      <c r="D2182" s="81"/>
      <c r="E2182" s="81"/>
      <c r="F2182" s="79">
        <f t="shared" si="39"/>
        <v>0</v>
      </c>
      <c r="G2182" s="78"/>
    </row>
    <row r="2183" spans="1:7" x14ac:dyDescent="0.2">
      <c r="A2183" s="76"/>
      <c r="B2183" s="77"/>
      <c r="C2183" s="78"/>
      <c r="D2183" s="81"/>
      <c r="E2183" s="81"/>
      <c r="F2183" s="79">
        <f t="shared" si="39"/>
        <v>0</v>
      </c>
      <c r="G2183" s="78"/>
    </row>
    <row r="2184" spans="1:7" x14ac:dyDescent="0.2">
      <c r="A2184" s="76"/>
      <c r="B2184" s="77"/>
      <c r="C2184" s="78"/>
      <c r="D2184" s="81"/>
      <c r="E2184" s="81"/>
      <c r="F2184" s="79">
        <f t="shared" si="39"/>
        <v>0</v>
      </c>
      <c r="G2184" s="78"/>
    </row>
    <row r="2185" spans="1:7" x14ac:dyDescent="0.2">
      <c r="A2185" s="76"/>
      <c r="B2185" s="77"/>
      <c r="C2185" s="78"/>
      <c r="D2185" s="81"/>
      <c r="E2185" s="81"/>
      <c r="F2185" s="79">
        <f t="shared" si="39"/>
        <v>0</v>
      </c>
      <c r="G2185" s="78"/>
    </row>
    <row r="2186" spans="1:7" x14ac:dyDescent="0.2">
      <c r="A2186" s="76"/>
      <c r="B2186" s="77"/>
      <c r="C2186" s="78"/>
      <c r="D2186" s="81"/>
      <c r="E2186" s="81"/>
      <c r="F2186" s="79">
        <f t="shared" si="39"/>
        <v>0</v>
      </c>
      <c r="G2186" s="78"/>
    </row>
    <row r="2187" spans="1:7" x14ac:dyDescent="0.2">
      <c r="A2187" s="76"/>
      <c r="B2187" s="77"/>
      <c r="C2187" s="78"/>
      <c r="D2187" s="81"/>
      <c r="E2187" s="81"/>
      <c r="F2187" s="79">
        <f t="shared" si="39"/>
        <v>0</v>
      </c>
      <c r="G2187" s="78"/>
    </row>
    <row r="2188" spans="1:7" x14ac:dyDescent="0.2">
      <c r="A2188" s="76"/>
      <c r="B2188" s="77"/>
      <c r="C2188" s="78"/>
      <c r="D2188" s="81"/>
      <c r="E2188" s="81"/>
      <c r="F2188" s="79">
        <f t="shared" si="39"/>
        <v>0</v>
      </c>
      <c r="G2188" s="78"/>
    </row>
    <row r="2189" spans="1:7" x14ac:dyDescent="0.2">
      <c r="A2189" s="76"/>
      <c r="B2189" s="77"/>
      <c r="C2189" s="78"/>
      <c r="D2189" s="81"/>
      <c r="E2189" s="81"/>
      <c r="F2189" s="79">
        <f t="shared" ref="F2189:F2227" si="40">E2189-D2189</f>
        <v>0</v>
      </c>
      <c r="G2189" s="78"/>
    </row>
    <row r="2190" spans="1:7" x14ac:dyDescent="0.2">
      <c r="A2190" s="76"/>
      <c r="B2190" s="77"/>
      <c r="C2190" s="78"/>
      <c r="D2190" s="81"/>
      <c r="E2190" s="81"/>
      <c r="F2190" s="79">
        <f t="shared" si="40"/>
        <v>0</v>
      </c>
      <c r="G2190" s="78"/>
    </row>
    <row r="2191" spans="1:7" x14ac:dyDescent="0.2">
      <c r="A2191" s="76"/>
      <c r="B2191" s="77"/>
      <c r="C2191" s="78"/>
      <c r="D2191" s="81"/>
      <c r="E2191" s="81"/>
      <c r="F2191" s="79">
        <f t="shared" si="40"/>
        <v>0</v>
      </c>
      <c r="G2191" s="78"/>
    </row>
    <row r="2192" spans="1:7" x14ac:dyDescent="0.2">
      <c r="A2192" s="76"/>
      <c r="B2192" s="77"/>
      <c r="C2192" s="78"/>
      <c r="D2192" s="81"/>
      <c r="E2192" s="81"/>
      <c r="F2192" s="79">
        <f t="shared" si="40"/>
        <v>0</v>
      </c>
      <c r="G2192" s="78"/>
    </row>
    <row r="2193" spans="1:7" x14ac:dyDescent="0.2">
      <c r="A2193" s="76"/>
      <c r="B2193" s="77"/>
      <c r="C2193" s="78"/>
      <c r="D2193" s="81"/>
      <c r="E2193" s="81"/>
      <c r="F2193" s="79">
        <f t="shared" si="40"/>
        <v>0</v>
      </c>
      <c r="G2193" s="78"/>
    </row>
    <row r="2194" spans="1:7" x14ac:dyDescent="0.2">
      <c r="A2194" s="76"/>
      <c r="B2194" s="77"/>
      <c r="C2194" s="78"/>
      <c r="D2194" s="81"/>
      <c r="E2194" s="81"/>
      <c r="F2194" s="79">
        <f t="shared" si="40"/>
        <v>0</v>
      </c>
      <c r="G2194" s="78"/>
    </row>
    <row r="2195" spans="1:7" x14ac:dyDescent="0.2">
      <c r="A2195" s="76"/>
      <c r="B2195" s="77"/>
      <c r="C2195" s="78"/>
      <c r="D2195" s="81"/>
      <c r="E2195" s="81"/>
      <c r="F2195" s="79">
        <f t="shared" si="40"/>
        <v>0</v>
      </c>
      <c r="G2195" s="78"/>
    </row>
    <row r="2196" spans="1:7" x14ac:dyDescent="0.2">
      <c r="A2196" s="76"/>
      <c r="B2196" s="77"/>
      <c r="C2196" s="78"/>
      <c r="D2196" s="81"/>
      <c r="E2196" s="81"/>
      <c r="F2196" s="79">
        <f t="shared" si="40"/>
        <v>0</v>
      </c>
      <c r="G2196" s="78"/>
    </row>
    <row r="2197" spans="1:7" x14ac:dyDescent="0.2">
      <c r="A2197" s="76"/>
      <c r="B2197" s="77"/>
      <c r="C2197" s="78"/>
      <c r="D2197" s="81"/>
      <c r="E2197" s="81"/>
      <c r="F2197" s="79">
        <f t="shared" si="40"/>
        <v>0</v>
      </c>
      <c r="G2197" s="78"/>
    </row>
    <row r="2198" spans="1:7" x14ac:dyDescent="0.2">
      <c r="A2198" s="76"/>
      <c r="B2198" s="77"/>
      <c r="C2198" s="78"/>
      <c r="D2198" s="81"/>
      <c r="E2198" s="81"/>
      <c r="F2198" s="79">
        <f t="shared" si="40"/>
        <v>0</v>
      </c>
      <c r="G2198" s="78"/>
    </row>
    <row r="2199" spans="1:7" x14ac:dyDescent="0.2">
      <c r="A2199" s="76"/>
      <c r="B2199" s="77"/>
      <c r="C2199" s="78"/>
      <c r="D2199" s="81"/>
      <c r="E2199" s="81"/>
      <c r="F2199" s="79">
        <f t="shared" si="40"/>
        <v>0</v>
      </c>
      <c r="G2199" s="78"/>
    </row>
    <row r="2200" spans="1:7" x14ac:dyDescent="0.2">
      <c r="A2200" s="76"/>
      <c r="B2200" s="77"/>
      <c r="C2200" s="78"/>
      <c r="D2200" s="81"/>
      <c r="E2200" s="81"/>
      <c r="F2200" s="79">
        <f t="shared" si="40"/>
        <v>0</v>
      </c>
      <c r="G2200" s="78"/>
    </row>
    <row r="2201" spans="1:7" x14ac:dyDescent="0.2">
      <c r="A2201" s="76"/>
      <c r="B2201" s="77"/>
      <c r="C2201" s="78"/>
      <c r="D2201" s="81"/>
      <c r="E2201" s="81"/>
      <c r="F2201" s="79">
        <f t="shared" si="40"/>
        <v>0</v>
      </c>
      <c r="G2201" s="78"/>
    </row>
    <row r="2202" spans="1:7" x14ac:dyDescent="0.2">
      <c r="A2202" s="76"/>
      <c r="B2202" s="77"/>
      <c r="C2202" s="78"/>
      <c r="D2202" s="81"/>
      <c r="E2202" s="81"/>
      <c r="F2202" s="79">
        <f t="shared" si="40"/>
        <v>0</v>
      </c>
      <c r="G2202" s="78"/>
    </row>
    <row r="2203" spans="1:7" x14ac:dyDescent="0.2">
      <c r="A2203" s="76"/>
      <c r="B2203" s="77"/>
      <c r="C2203" s="78"/>
      <c r="D2203" s="81"/>
      <c r="E2203" s="81"/>
      <c r="F2203" s="79">
        <f t="shared" si="40"/>
        <v>0</v>
      </c>
      <c r="G2203" s="78"/>
    </row>
    <row r="2204" spans="1:7" x14ac:dyDescent="0.2">
      <c r="A2204" s="76"/>
      <c r="B2204" s="77"/>
      <c r="C2204" s="78"/>
      <c r="D2204" s="81"/>
      <c r="E2204" s="81"/>
      <c r="F2204" s="79">
        <f t="shared" si="40"/>
        <v>0</v>
      </c>
      <c r="G2204" s="78"/>
    </row>
    <row r="2205" spans="1:7" x14ac:dyDescent="0.2">
      <c r="A2205" s="76"/>
      <c r="B2205" s="77"/>
      <c r="C2205" s="78"/>
      <c r="D2205" s="81"/>
      <c r="E2205" s="81"/>
      <c r="F2205" s="79">
        <f t="shared" si="40"/>
        <v>0</v>
      </c>
      <c r="G2205" s="78"/>
    </row>
    <row r="2206" spans="1:7" x14ac:dyDescent="0.2">
      <c r="A2206" s="76"/>
      <c r="B2206" s="77"/>
      <c r="C2206" s="78"/>
      <c r="D2206" s="81"/>
      <c r="E2206" s="81"/>
      <c r="F2206" s="79">
        <f t="shared" si="40"/>
        <v>0</v>
      </c>
      <c r="G2206" s="78"/>
    </row>
    <row r="2207" spans="1:7" x14ac:dyDescent="0.2">
      <c r="A2207" s="76"/>
      <c r="B2207" s="77"/>
      <c r="C2207" s="78"/>
      <c r="D2207" s="81"/>
      <c r="E2207" s="81"/>
      <c r="F2207" s="79">
        <f t="shared" si="40"/>
        <v>0</v>
      </c>
      <c r="G2207" s="78"/>
    </row>
    <row r="2208" spans="1:7" x14ac:dyDescent="0.2">
      <c r="A2208" s="76"/>
      <c r="B2208" s="77"/>
      <c r="C2208" s="78"/>
      <c r="D2208" s="81"/>
      <c r="E2208" s="81"/>
      <c r="F2208" s="79">
        <f t="shared" si="40"/>
        <v>0</v>
      </c>
      <c r="G2208" s="78"/>
    </row>
    <row r="2209" spans="1:7" x14ac:dyDescent="0.2">
      <c r="A2209" s="76"/>
      <c r="B2209" s="77"/>
      <c r="C2209" s="78"/>
      <c r="D2209" s="81"/>
      <c r="E2209" s="81"/>
      <c r="F2209" s="79">
        <f t="shared" si="40"/>
        <v>0</v>
      </c>
      <c r="G2209" s="78"/>
    </row>
    <row r="2210" spans="1:7" x14ac:dyDescent="0.2">
      <c r="A2210" s="76"/>
      <c r="B2210" s="77"/>
      <c r="C2210" s="78"/>
      <c r="D2210" s="81"/>
      <c r="E2210" s="81"/>
      <c r="F2210" s="79">
        <f t="shared" si="40"/>
        <v>0</v>
      </c>
      <c r="G2210" s="78"/>
    </row>
    <row r="2211" spans="1:7" x14ac:dyDescent="0.2">
      <c r="A2211" s="76"/>
      <c r="B2211" s="77"/>
      <c r="C2211" s="78"/>
      <c r="D2211" s="81"/>
      <c r="E2211" s="81"/>
      <c r="F2211" s="79">
        <f t="shared" si="40"/>
        <v>0</v>
      </c>
      <c r="G2211" s="78"/>
    </row>
    <row r="2212" spans="1:7" x14ac:dyDescent="0.2">
      <c r="A2212" s="76"/>
      <c r="B2212" s="77"/>
      <c r="C2212" s="78"/>
      <c r="D2212" s="81"/>
      <c r="E2212" s="81"/>
      <c r="F2212" s="79">
        <f t="shared" si="40"/>
        <v>0</v>
      </c>
      <c r="G2212" s="78"/>
    </row>
    <row r="2213" spans="1:7" x14ac:dyDescent="0.2">
      <c r="A2213" s="76"/>
      <c r="B2213" s="77"/>
      <c r="C2213" s="78"/>
      <c r="D2213" s="81"/>
      <c r="E2213" s="81"/>
      <c r="F2213" s="79">
        <f t="shared" si="40"/>
        <v>0</v>
      </c>
      <c r="G2213" s="78"/>
    </row>
    <row r="2214" spans="1:7" x14ac:dyDescent="0.2">
      <c r="A2214" s="76"/>
      <c r="B2214" s="77"/>
      <c r="C2214" s="78"/>
      <c r="D2214" s="81"/>
      <c r="E2214" s="81"/>
      <c r="F2214" s="79">
        <f t="shared" si="40"/>
        <v>0</v>
      </c>
      <c r="G2214" s="78"/>
    </row>
    <row r="2215" spans="1:7" x14ac:dyDescent="0.2">
      <c r="A2215" s="76"/>
      <c r="B2215" s="77"/>
      <c r="C2215" s="78"/>
      <c r="D2215" s="81"/>
      <c r="E2215" s="81"/>
      <c r="F2215" s="79">
        <f t="shared" si="40"/>
        <v>0</v>
      </c>
      <c r="G2215" s="78"/>
    </row>
    <row r="2216" spans="1:7" x14ac:dyDescent="0.2">
      <c r="A2216" s="76"/>
      <c r="B2216" s="77"/>
      <c r="C2216" s="78"/>
      <c r="D2216" s="81"/>
      <c r="E2216" s="81"/>
      <c r="F2216" s="79">
        <f t="shared" si="40"/>
        <v>0</v>
      </c>
      <c r="G2216" s="78"/>
    </row>
    <row r="2217" spans="1:7" x14ac:dyDescent="0.2">
      <c r="A2217" s="76"/>
      <c r="B2217" s="77"/>
      <c r="C2217" s="78"/>
      <c r="D2217" s="81"/>
      <c r="E2217" s="81"/>
      <c r="F2217" s="79">
        <f t="shared" si="40"/>
        <v>0</v>
      </c>
      <c r="G2217" s="78"/>
    </row>
    <row r="2218" spans="1:7" x14ac:dyDescent="0.2">
      <c r="A2218" s="76"/>
      <c r="B2218" s="77"/>
      <c r="C2218" s="78"/>
      <c r="D2218" s="81"/>
      <c r="E2218" s="81"/>
      <c r="F2218" s="79">
        <f t="shared" si="40"/>
        <v>0</v>
      </c>
      <c r="G2218" s="78"/>
    </row>
    <row r="2219" spans="1:7" x14ac:dyDescent="0.2">
      <c r="A2219" s="76"/>
      <c r="B2219" s="77"/>
      <c r="C2219" s="78"/>
      <c r="D2219" s="81"/>
      <c r="E2219" s="81"/>
      <c r="F2219" s="79">
        <f t="shared" si="40"/>
        <v>0</v>
      </c>
      <c r="G2219" s="78"/>
    </row>
    <row r="2220" spans="1:7" x14ac:dyDescent="0.2">
      <c r="A2220" s="76"/>
      <c r="B2220" s="77"/>
      <c r="C2220" s="78"/>
      <c r="D2220" s="81"/>
      <c r="E2220" s="81"/>
      <c r="F2220" s="79">
        <f t="shared" si="40"/>
        <v>0</v>
      </c>
      <c r="G2220" s="78"/>
    </row>
    <row r="2221" spans="1:7" x14ac:dyDescent="0.2">
      <c r="A2221" s="76"/>
      <c r="B2221" s="77"/>
      <c r="C2221" s="78"/>
      <c r="D2221" s="81"/>
      <c r="E2221" s="81"/>
      <c r="F2221" s="79">
        <f t="shared" si="40"/>
        <v>0</v>
      </c>
      <c r="G2221" s="78"/>
    </row>
    <row r="2222" spans="1:7" x14ac:dyDescent="0.2">
      <c r="A2222" s="76"/>
      <c r="B2222" s="77"/>
      <c r="C2222" s="78"/>
      <c r="D2222" s="81"/>
      <c r="E2222" s="81"/>
      <c r="F2222" s="79">
        <f t="shared" si="40"/>
        <v>0</v>
      </c>
      <c r="G2222" s="78"/>
    </row>
    <row r="2223" spans="1:7" x14ac:dyDescent="0.2">
      <c r="A2223" s="76"/>
      <c r="B2223" s="77"/>
      <c r="C2223" s="78"/>
      <c r="D2223" s="81"/>
      <c r="E2223" s="81"/>
      <c r="F2223" s="79">
        <f t="shared" si="40"/>
        <v>0</v>
      </c>
      <c r="G2223" s="78"/>
    </row>
    <row r="2224" spans="1:7" x14ac:dyDescent="0.2">
      <c r="A2224" s="76"/>
      <c r="B2224" s="77"/>
      <c r="C2224" s="78"/>
      <c r="D2224" s="81"/>
      <c r="E2224" s="81"/>
      <c r="F2224" s="79">
        <f t="shared" si="40"/>
        <v>0</v>
      </c>
      <c r="G2224" s="78"/>
    </row>
    <row r="2225" spans="1:7" x14ac:dyDescent="0.2">
      <c r="A2225" s="76"/>
      <c r="B2225" s="77"/>
      <c r="C2225" s="78"/>
      <c r="D2225" s="81"/>
      <c r="E2225" s="81"/>
      <c r="F2225" s="79">
        <f t="shared" si="40"/>
        <v>0</v>
      </c>
      <c r="G2225" s="78"/>
    </row>
    <row r="2226" spans="1:7" x14ac:dyDescent="0.2">
      <c r="A2226" s="76"/>
      <c r="B2226" s="77"/>
      <c r="C2226" s="78"/>
      <c r="D2226" s="81"/>
      <c r="E2226" s="81"/>
      <c r="F2226" s="79">
        <f t="shared" si="40"/>
        <v>0</v>
      </c>
      <c r="G2226" s="78"/>
    </row>
    <row r="2227" spans="1:7" x14ac:dyDescent="0.2">
      <c r="A2227" s="76"/>
      <c r="B2227" s="77"/>
      <c r="C2227" s="78"/>
      <c r="D2227" s="81"/>
      <c r="E2227" s="81"/>
      <c r="F2227" s="79">
        <f t="shared" si="40"/>
        <v>0</v>
      </c>
      <c r="G2227" s="78"/>
    </row>
    <row r="2228" spans="1:7" x14ac:dyDescent="0.2">
      <c r="A2228" s="76"/>
      <c r="B2228" s="77"/>
      <c r="C2228" s="78"/>
      <c r="D2228" s="81"/>
      <c r="E2228" s="81"/>
      <c r="F2228" s="79">
        <f t="shared" ref="F2228:F2267" si="41">E2228-D2228</f>
        <v>0</v>
      </c>
      <c r="G2228" s="78"/>
    </row>
    <row r="2229" spans="1:7" x14ac:dyDescent="0.2">
      <c r="A2229" s="76"/>
      <c r="B2229" s="77"/>
      <c r="C2229" s="78"/>
      <c r="D2229" s="81"/>
      <c r="E2229" s="81"/>
      <c r="F2229" s="79">
        <f t="shared" si="41"/>
        <v>0</v>
      </c>
      <c r="G2229" s="78"/>
    </row>
    <row r="2230" spans="1:7" x14ac:dyDescent="0.2">
      <c r="A2230" s="76"/>
      <c r="B2230" s="77"/>
      <c r="C2230" s="78"/>
      <c r="D2230" s="81"/>
      <c r="E2230" s="81"/>
      <c r="F2230" s="79">
        <f t="shared" si="41"/>
        <v>0</v>
      </c>
      <c r="G2230" s="78"/>
    </row>
    <row r="2231" spans="1:7" x14ac:dyDescent="0.2">
      <c r="A2231" s="76"/>
      <c r="B2231" s="77"/>
      <c r="C2231" s="78"/>
      <c r="D2231" s="81"/>
      <c r="E2231" s="81"/>
      <c r="F2231" s="79">
        <f t="shared" si="41"/>
        <v>0</v>
      </c>
      <c r="G2231" s="78"/>
    </row>
    <row r="2232" spans="1:7" x14ac:dyDescent="0.2">
      <c r="A2232" s="76"/>
      <c r="B2232" s="77"/>
      <c r="C2232" s="78"/>
      <c r="D2232" s="81"/>
      <c r="E2232" s="81"/>
      <c r="F2232" s="79">
        <f t="shared" si="41"/>
        <v>0</v>
      </c>
      <c r="G2232" s="78"/>
    </row>
    <row r="2233" spans="1:7" x14ac:dyDescent="0.2">
      <c r="A2233" s="76"/>
      <c r="B2233" s="77"/>
      <c r="C2233" s="78"/>
      <c r="D2233" s="81"/>
      <c r="E2233" s="81"/>
      <c r="F2233" s="79">
        <f t="shared" si="41"/>
        <v>0</v>
      </c>
      <c r="G2233" s="78"/>
    </row>
    <row r="2234" spans="1:7" x14ac:dyDescent="0.2">
      <c r="A2234" s="76"/>
      <c r="B2234" s="77"/>
      <c r="C2234" s="78"/>
      <c r="D2234" s="81"/>
      <c r="E2234" s="81"/>
      <c r="F2234" s="79">
        <f t="shared" si="41"/>
        <v>0</v>
      </c>
      <c r="G2234" s="78"/>
    </row>
    <row r="2235" spans="1:7" x14ac:dyDescent="0.2">
      <c r="A2235" s="76"/>
      <c r="B2235" s="77"/>
      <c r="C2235" s="78"/>
      <c r="D2235" s="81"/>
      <c r="E2235" s="81"/>
      <c r="F2235" s="79">
        <f t="shared" si="41"/>
        <v>0</v>
      </c>
      <c r="G2235" s="78"/>
    </row>
    <row r="2236" spans="1:7" x14ac:dyDescent="0.2">
      <c r="A2236" s="76"/>
      <c r="B2236" s="77"/>
      <c r="C2236" s="78"/>
      <c r="D2236" s="81"/>
      <c r="E2236" s="81"/>
      <c r="F2236" s="79">
        <f t="shared" si="41"/>
        <v>0</v>
      </c>
      <c r="G2236" s="78"/>
    </row>
    <row r="2237" spans="1:7" x14ac:dyDescent="0.2">
      <c r="A2237" s="76"/>
      <c r="B2237" s="77"/>
      <c r="C2237" s="78"/>
      <c r="D2237" s="81"/>
      <c r="E2237" s="81"/>
      <c r="F2237" s="79">
        <f t="shared" si="41"/>
        <v>0</v>
      </c>
      <c r="G2237" s="78"/>
    </row>
    <row r="2238" spans="1:7" x14ac:dyDescent="0.2">
      <c r="A2238" s="76"/>
      <c r="B2238" s="77"/>
      <c r="C2238" s="78"/>
      <c r="D2238" s="81"/>
      <c r="E2238" s="81"/>
      <c r="F2238" s="79">
        <f t="shared" si="41"/>
        <v>0</v>
      </c>
      <c r="G2238" s="78"/>
    </row>
    <row r="2239" spans="1:7" x14ac:dyDescent="0.2">
      <c r="A2239" s="76"/>
      <c r="B2239" s="77"/>
      <c r="C2239" s="78"/>
      <c r="D2239" s="81"/>
      <c r="E2239" s="81"/>
      <c r="F2239" s="79">
        <f t="shared" si="41"/>
        <v>0</v>
      </c>
      <c r="G2239" s="78"/>
    </row>
    <row r="2240" spans="1:7" x14ac:dyDescent="0.2">
      <c r="A2240" s="76"/>
      <c r="B2240" s="77"/>
      <c r="C2240" s="78"/>
      <c r="D2240" s="81"/>
      <c r="E2240" s="81"/>
      <c r="F2240" s="79">
        <f t="shared" si="41"/>
        <v>0</v>
      </c>
      <c r="G2240" s="78"/>
    </row>
    <row r="2241" spans="1:7" x14ac:dyDescent="0.2">
      <c r="A2241" s="76"/>
      <c r="B2241" s="77"/>
      <c r="C2241" s="78"/>
      <c r="D2241" s="81"/>
      <c r="E2241" s="81"/>
      <c r="F2241" s="79">
        <f t="shared" si="41"/>
        <v>0</v>
      </c>
      <c r="G2241" s="78"/>
    </row>
    <row r="2242" spans="1:7" x14ac:dyDescent="0.2">
      <c r="A2242" s="76"/>
      <c r="B2242" s="77"/>
      <c r="C2242" s="78"/>
      <c r="D2242" s="81"/>
      <c r="E2242" s="81"/>
      <c r="F2242" s="79">
        <f t="shared" si="41"/>
        <v>0</v>
      </c>
      <c r="G2242" s="78"/>
    </row>
    <row r="2243" spans="1:7" x14ac:dyDescent="0.2">
      <c r="A2243" s="76"/>
      <c r="B2243" s="77"/>
      <c r="C2243" s="78"/>
      <c r="D2243" s="81"/>
      <c r="E2243" s="81"/>
      <c r="F2243" s="79">
        <f t="shared" si="41"/>
        <v>0</v>
      </c>
      <c r="G2243" s="78"/>
    </row>
    <row r="2244" spans="1:7" x14ac:dyDescent="0.2">
      <c r="A2244" s="76"/>
      <c r="B2244" s="77"/>
      <c r="C2244" s="78"/>
      <c r="D2244" s="81"/>
      <c r="E2244" s="81"/>
      <c r="F2244" s="79">
        <f t="shared" si="41"/>
        <v>0</v>
      </c>
      <c r="G2244" s="78"/>
    </row>
    <row r="2245" spans="1:7" x14ac:dyDescent="0.2">
      <c r="A2245" s="76"/>
      <c r="B2245" s="77"/>
      <c r="C2245" s="78"/>
      <c r="D2245" s="81"/>
      <c r="E2245" s="81"/>
      <c r="F2245" s="79">
        <f t="shared" si="41"/>
        <v>0</v>
      </c>
      <c r="G2245" s="78"/>
    </row>
    <row r="2246" spans="1:7" x14ac:dyDescent="0.2">
      <c r="A2246" s="76"/>
      <c r="B2246" s="77"/>
      <c r="C2246" s="78"/>
      <c r="D2246" s="81"/>
      <c r="E2246" s="81"/>
      <c r="F2246" s="79">
        <f t="shared" si="41"/>
        <v>0</v>
      </c>
      <c r="G2246" s="78"/>
    </row>
    <row r="2247" spans="1:7" x14ac:dyDescent="0.2">
      <c r="A2247" s="76"/>
      <c r="B2247" s="77"/>
      <c r="C2247" s="78"/>
      <c r="D2247" s="81"/>
      <c r="E2247" s="81"/>
      <c r="F2247" s="79">
        <f t="shared" si="41"/>
        <v>0</v>
      </c>
      <c r="G2247" s="78"/>
    </row>
    <row r="2248" spans="1:7" x14ac:dyDescent="0.2">
      <c r="A2248" s="76"/>
      <c r="B2248" s="77"/>
      <c r="C2248" s="78"/>
      <c r="D2248" s="81"/>
      <c r="E2248" s="81"/>
      <c r="F2248" s="79">
        <f t="shared" si="41"/>
        <v>0</v>
      </c>
      <c r="G2248" s="78"/>
    </row>
    <row r="2249" spans="1:7" x14ac:dyDescent="0.2">
      <c r="A2249" s="76"/>
      <c r="B2249" s="77"/>
      <c r="C2249" s="78"/>
      <c r="D2249" s="81"/>
      <c r="E2249" s="81"/>
      <c r="F2249" s="79">
        <f t="shared" si="41"/>
        <v>0</v>
      </c>
      <c r="G2249" s="78"/>
    </row>
    <row r="2250" spans="1:7" x14ac:dyDescent="0.2">
      <c r="A2250" s="76"/>
      <c r="B2250" s="77"/>
      <c r="C2250" s="78"/>
      <c r="D2250" s="81"/>
      <c r="E2250" s="81"/>
      <c r="F2250" s="79">
        <f t="shared" si="41"/>
        <v>0</v>
      </c>
      <c r="G2250" s="78"/>
    </row>
    <row r="2251" spans="1:7" x14ac:dyDescent="0.2">
      <c r="A2251" s="76"/>
      <c r="B2251" s="77"/>
      <c r="C2251" s="78"/>
      <c r="D2251" s="81"/>
      <c r="E2251" s="81"/>
      <c r="F2251" s="79">
        <f t="shared" si="41"/>
        <v>0</v>
      </c>
      <c r="G2251" s="78"/>
    </row>
    <row r="2252" spans="1:7" x14ac:dyDescent="0.2">
      <c r="A2252" s="76"/>
      <c r="B2252" s="77"/>
      <c r="C2252" s="78"/>
      <c r="D2252" s="81"/>
      <c r="E2252" s="81"/>
      <c r="F2252" s="79">
        <f t="shared" si="41"/>
        <v>0</v>
      </c>
      <c r="G2252" s="78"/>
    </row>
    <row r="2253" spans="1:7" x14ac:dyDescent="0.2">
      <c r="A2253" s="76"/>
      <c r="B2253" s="77"/>
      <c r="C2253" s="78"/>
      <c r="D2253" s="81"/>
      <c r="E2253" s="81"/>
      <c r="F2253" s="79">
        <f t="shared" si="41"/>
        <v>0</v>
      </c>
      <c r="G2253" s="78"/>
    </row>
    <row r="2254" spans="1:7" x14ac:dyDescent="0.2">
      <c r="A2254" s="76"/>
      <c r="B2254" s="77"/>
      <c r="C2254" s="78"/>
      <c r="D2254" s="81"/>
      <c r="E2254" s="81"/>
      <c r="F2254" s="79">
        <f t="shared" si="41"/>
        <v>0</v>
      </c>
      <c r="G2254" s="78"/>
    </row>
    <row r="2255" spans="1:7" x14ac:dyDescent="0.2">
      <c r="A2255" s="76"/>
      <c r="B2255" s="77"/>
      <c r="C2255" s="78"/>
      <c r="D2255" s="81"/>
      <c r="E2255" s="81"/>
      <c r="F2255" s="79">
        <f t="shared" si="41"/>
        <v>0</v>
      </c>
      <c r="G2255" s="78"/>
    </row>
    <row r="2256" spans="1:7" x14ac:dyDescent="0.2">
      <c r="A2256" s="76"/>
      <c r="B2256" s="77"/>
      <c r="C2256" s="78"/>
      <c r="D2256" s="81"/>
      <c r="E2256" s="81"/>
      <c r="F2256" s="79">
        <f t="shared" si="41"/>
        <v>0</v>
      </c>
      <c r="G2256" s="78"/>
    </row>
    <row r="2257" spans="1:7" x14ac:dyDescent="0.2">
      <c r="A2257" s="76"/>
      <c r="B2257" s="77"/>
      <c r="C2257" s="78"/>
      <c r="D2257" s="81"/>
      <c r="E2257" s="81"/>
      <c r="F2257" s="79">
        <f t="shared" si="41"/>
        <v>0</v>
      </c>
      <c r="G2257" s="78"/>
    </row>
    <row r="2258" spans="1:7" x14ac:dyDescent="0.2">
      <c r="A2258" s="76"/>
      <c r="B2258" s="77"/>
      <c r="C2258" s="78"/>
      <c r="D2258" s="81"/>
      <c r="E2258" s="81"/>
      <c r="F2258" s="79">
        <f t="shared" si="41"/>
        <v>0</v>
      </c>
      <c r="G2258" s="78"/>
    </row>
    <row r="2259" spans="1:7" x14ac:dyDescent="0.2">
      <c r="A2259" s="76"/>
      <c r="B2259" s="77"/>
      <c r="C2259" s="78"/>
      <c r="D2259" s="81"/>
      <c r="E2259" s="81"/>
      <c r="F2259" s="79">
        <f t="shared" si="41"/>
        <v>0</v>
      </c>
      <c r="G2259" s="78"/>
    </row>
    <row r="2260" spans="1:7" x14ac:dyDescent="0.2">
      <c r="A2260" s="76"/>
      <c r="B2260" s="77"/>
      <c r="C2260" s="78"/>
      <c r="D2260" s="81"/>
      <c r="E2260" s="81"/>
      <c r="F2260" s="79">
        <f t="shared" si="41"/>
        <v>0</v>
      </c>
      <c r="G2260" s="78"/>
    </row>
    <row r="2261" spans="1:7" x14ac:dyDescent="0.2">
      <c r="A2261" s="76"/>
      <c r="B2261" s="77"/>
      <c r="C2261" s="78"/>
      <c r="D2261" s="81"/>
      <c r="E2261" s="81"/>
      <c r="F2261" s="79">
        <f t="shared" si="41"/>
        <v>0</v>
      </c>
      <c r="G2261" s="78"/>
    </row>
    <row r="2262" spans="1:7" x14ac:dyDescent="0.2">
      <c r="A2262" s="76"/>
      <c r="B2262" s="77"/>
      <c r="C2262" s="78"/>
      <c r="D2262" s="81"/>
      <c r="E2262" s="81"/>
      <c r="F2262" s="79">
        <f t="shared" si="41"/>
        <v>0</v>
      </c>
      <c r="G2262" s="78"/>
    </row>
    <row r="2263" spans="1:7" x14ac:dyDescent="0.2">
      <c r="A2263" s="76"/>
      <c r="B2263" s="77"/>
      <c r="C2263" s="78"/>
      <c r="D2263" s="81"/>
      <c r="E2263" s="81"/>
      <c r="F2263" s="79">
        <f t="shared" si="41"/>
        <v>0</v>
      </c>
      <c r="G2263" s="78"/>
    </row>
    <row r="2264" spans="1:7" x14ac:dyDescent="0.2">
      <c r="A2264" s="76"/>
      <c r="B2264" s="77"/>
      <c r="C2264" s="78"/>
      <c r="D2264" s="81"/>
      <c r="E2264" s="81"/>
      <c r="F2264" s="79">
        <f t="shared" si="41"/>
        <v>0</v>
      </c>
      <c r="G2264" s="78"/>
    </row>
    <row r="2265" spans="1:7" x14ac:dyDescent="0.2">
      <c r="A2265" s="76"/>
      <c r="B2265" s="77"/>
      <c r="C2265" s="78"/>
      <c r="D2265" s="81"/>
      <c r="E2265" s="81"/>
      <c r="F2265" s="79">
        <f t="shared" si="41"/>
        <v>0</v>
      </c>
      <c r="G2265" s="78"/>
    </row>
    <row r="2266" spans="1:7" x14ac:dyDescent="0.2">
      <c r="A2266" s="76"/>
      <c r="B2266" s="77"/>
      <c r="C2266" s="78"/>
      <c r="D2266" s="81"/>
      <c r="E2266" s="81"/>
      <c r="F2266" s="79">
        <f t="shared" si="41"/>
        <v>0</v>
      </c>
      <c r="G2266" s="78"/>
    </row>
    <row r="2267" spans="1:7" x14ac:dyDescent="0.2">
      <c r="A2267" s="76"/>
      <c r="B2267" s="77"/>
      <c r="C2267" s="78"/>
      <c r="D2267" s="81"/>
      <c r="E2267" s="81"/>
      <c r="F2267" s="79">
        <f t="shared" si="41"/>
        <v>0</v>
      </c>
      <c r="G2267" s="78"/>
    </row>
    <row r="2268" spans="1:7" x14ac:dyDescent="0.2">
      <c r="A2268" s="76"/>
      <c r="B2268" s="77"/>
      <c r="C2268" s="78"/>
      <c r="D2268" s="81"/>
      <c r="E2268" s="81"/>
      <c r="F2268" s="79">
        <f t="shared" ref="F2268:F2292" si="42">E2268-D2268</f>
        <v>0</v>
      </c>
      <c r="G2268" s="78"/>
    </row>
    <row r="2269" spans="1:7" x14ac:dyDescent="0.2">
      <c r="A2269" s="76"/>
      <c r="B2269" s="77"/>
      <c r="C2269" s="78"/>
      <c r="D2269" s="81"/>
      <c r="E2269" s="81"/>
      <c r="F2269" s="79">
        <f t="shared" si="42"/>
        <v>0</v>
      </c>
      <c r="G2269" s="78"/>
    </row>
    <row r="2270" spans="1:7" x14ac:dyDescent="0.2">
      <c r="A2270" s="76"/>
      <c r="B2270" s="77"/>
      <c r="C2270" s="78"/>
      <c r="D2270" s="81"/>
      <c r="E2270" s="81"/>
      <c r="F2270" s="79">
        <f t="shared" si="42"/>
        <v>0</v>
      </c>
      <c r="G2270" s="78"/>
    </row>
    <row r="2271" spans="1:7" x14ac:dyDescent="0.2">
      <c r="A2271" s="76"/>
      <c r="B2271" s="77"/>
      <c r="C2271" s="78"/>
      <c r="D2271" s="81"/>
      <c r="E2271" s="81"/>
      <c r="F2271" s="79">
        <f t="shared" si="42"/>
        <v>0</v>
      </c>
      <c r="G2271" s="78"/>
    </row>
    <row r="2272" spans="1:7" x14ac:dyDescent="0.2">
      <c r="A2272" s="76"/>
      <c r="B2272" s="77"/>
      <c r="C2272" s="78"/>
      <c r="D2272" s="81"/>
      <c r="E2272" s="81"/>
      <c r="F2272" s="79">
        <f t="shared" si="42"/>
        <v>0</v>
      </c>
      <c r="G2272" s="78"/>
    </row>
    <row r="2273" spans="1:7" x14ac:dyDescent="0.2">
      <c r="A2273" s="76"/>
      <c r="B2273" s="77"/>
      <c r="C2273" s="78"/>
      <c r="D2273" s="81"/>
      <c r="E2273" s="81"/>
      <c r="F2273" s="79">
        <f t="shared" si="42"/>
        <v>0</v>
      </c>
      <c r="G2273" s="78"/>
    </row>
    <row r="2274" spans="1:7" x14ac:dyDescent="0.2">
      <c r="A2274" s="76"/>
      <c r="B2274" s="77"/>
      <c r="C2274" s="78"/>
      <c r="D2274" s="81"/>
      <c r="E2274" s="81"/>
      <c r="F2274" s="79">
        <f t="shared" si="42"/>
        <v>0</v>
      </c>
      <c r="G2274" s="78"/>
    </row>
    <row r="2275" spans="1:7" x14ac:dyDescent="0.2">
      <c r="A2275" s="76"/>
      <c r="B2275" s="77"/>
      <c r="C2275" s="78"/>
      <c r="D2275" s="81"/>
      <c r="E2275" s="81"/>
      <c r="F2275" s="79">
        <f t="shared" si="42"/>
        <v>0</v>
      </c>
      <c r="G2275" s="78"/>
    </row>
    <row r="2276" spans="1:7" x14ac:dyDescent="0.2">
      <c r="A2276" s="76"/>
      <c r="B2276" s="77"/>
      <c r="C2276" s="78"/>
      <c r="D2276" s="81"/>
      <c r="E2276" s="81"/>
      <c r="F2276" s="79">
        <f t="shared" si="42"/>
        <v>0</v>
      </c>
      <c r="G2276" s="78"/>
    </row>
    <row r="2277" spans="1:7" x14ac:dyDescent="0.2">
      <c r="A2277" s="76"/>
      <c r="B2277" s="77"/>
      <c r="C2277" s="78"/>
      <c r="D2277" s="81"/>
      <c r="E2277" s="81"/>
      <c r="F2277" s="79">
        <f t="shared" si="42"/>
        <v>0</v>
      </c>
      <c r="G2277" s="78"/>
    </row>
    <row r="2278" spans="1:7" x14ac:dyDescent="0.2">
      <c r="A2278" s="76"/>
      <c r="B2278" s="77"/>
      <c r="C2278" s="78"/>
      <c r="D2278" s="81"/>
      <c r="E2278" s="81"/>
      <c r="F2278" s="79">
        <f t="shared" si="42"/>
        <v>0</v>
      </c>
      <c r="G2278" s="78"/>
    </row>
    <row r="2279" spans="1:7" x14ac:dyDescent="0.2">
      <c r="A2279" s="76"/>
      <c r="B2279" s="77"/>
      <c r="C2279" s="78"/>
      <c r="D2279" s="81"/>
      <c r="E2279" s="81"/>
      <c r="F2279" s="79">
        <f t="shared" si="42"/>
        <v>0</v>
      </c>
      <c r="G2279" s="78"/>
    </row>
    <row r="2280" spans="1:7" x14ac:dyDescent="0.2">
      <c r="A2280" s="76"/>
      <c r="B2280" s="77"/>
      <c r="C2280" s="78"/>
      <c r="D2280" s="81"/>
      <c r="E2280" s="81"/>
      <c r="F2280" s="79">
        <f t="shared" si="42"/>
        <v>0</v>
      </c>
      <c r="G2280" s="78"/>
    </row>
    <row r="2281" spans="1:7" x14ac:dyDescent="0.2">
      <c r="A2281" s="76"/>
      <c r="B2281" s="77"/>
      <c r="C2281" s="78"/>
      <c r="D2281" s="81"/>
      <c r="E2281" s="81"/>
      <c r="F2281" s="79">
        <f t="shared" si="42"/>
        <v>0</v>
      </c>
      <c r="G2281" s="78"/>
    </row>
    <row r="2282" spans="1:7" x14ac:dyDescent="0.2">
      <c r="A2282" s="76"/>
      <c r="B2282" s="77"/>
      <c r="C2282" s="78"/>
      <c r="D2282" s="81"/>
      <c r="E2282" s="81"/>
      <c r="F2282" s="79">
        <f t="shared" si="42"/>
        <v>0</v>
      </c>
      <c r="G2282" s="78"/>
    </row>
    <row r="2283" spans="1:7" x14ac:dyDescent="0.2">
      <c r="A2283" s="76"/>
      <c r="B2283" s="77"/>
      <c r="C2283" s="78"/>
      <c r="D2283" s="81"/>
      <c r="E2283" s="81"/>
      <c r="F2283" s="79">
        <f t="shared" si="42"/>
        <v>0</v>
      </c>
      <c r="G2283" s="78"/>
    </row>
    <row r="2284" spans="1:7" x14ac:dyDescent="0.2">
      <c r="A2284" s="76"/>
      <c r="B2284" s="77"/>
      <c r="C2284" s="78"/>
      <c r="D2284" s="81"/>
      <c r="E2284" s="81"/>
      <c r="F2284" s="79">
        <f t="shared" si="42"/>
        <v>0</v>
      </c>
      <c r="G2284" s="78"/>
    </row>
    <row r="2285" spans="1:7" x14ac:dyDescent="0.2">
      <c r="A2285" s="76"/>
      <c r="B2285" s="77"/>
      <c r="C2285" s="78"/>
      <c r="D2285" s="81"/>
      <c r="E2285" s="81"/>
      <c r="F2285" s="79">
        <f t="shared" si="42"/>
        <v>0</v>
      </c>
      <c r="G2285" s="78"/>
    </row>
    <row r="2286" spans="1:7" x14ac:dyDescent="0.2">
      <c r="A2286" s="76"/>
      <c r="B2286" s="77"/>
      <c r="C2286" s="78"/>
      <c r="D2286" s="81"/>
      <c r="E2286" s="81"/>
      <c r="F2286" s="79">
        <f t="shared" si="42"/>
        <v>0</v>
      </c>
      <c r="G2286" s="78"/>
    </row>
    <row r="2287" spans="1:7" x14ac:dyDescent="0.2">
      <c r="A2287" s="76"/>
      <c r="B2287" s="77"/>
      <c r="C2287" s="78"/>
      <c r="D2287" s="81"/>
      <c r="E2287" s="81"/>
      <c r="F2287" s="79">
        <f t="shared" si="42"/>
        <v>0</v>
      </c>
      <c r="G2287" s="78"/>
    </row>
    <row r="2288" spans="1:7" x14ac:dyDescent="0.2">
      <c r="A2288" s="76"/>
      <c r="B2288" s="77"/>
      <c r="C2288" s="78"/>
      <c r="D2288" s="81"/>
      <c r="E2288" s="81"/>
      <c r="F2288" s="79">
        <f t="shared" si="42"/>
        <v>0</v>
      </c>
      <c r="G2288" s="78"/>
    </row>
    <row r="2289" spans="1:7" x14ac:dyDescent="0.2">
      <c r="A2289" s="76"/>
      <c r="B2289" s="77"/>
      <c r="C2289" s="78"/>
      <c r="D2289" s="81"/>
      <c r="E2289" s="81"/>
      <c r="F2289" s="79">
        <f t="shared" si="42"/>
        <v>0</v>
      </c>
      <c r="G2289" s="78"/>
    </row>
    <row r="2290" spans="1:7" x14ac:dyDescent="0.2">
      <c r="A2290" s="76"/>
      <c r="B2290" s="77"/>
      <c r="C2290" s="78"/>
      <c r="D2290" s="81"/>
      <c r="E2290" s="81"/>
      <c r="F2290" s="79">
        <f t="shared" si="42"/>
        <v>0</v>
      </c>
      <c r="G2290" s="78"/>
    </row>
    <row r="2291" spans="1:7" x14ac:dyDescent="0.2">
      <c r="A2291" s="76"/>
      <c r="B2291" s="77"/>
      <c r="C2291" s="78"/>
      <c r="D2291" s="81"/>
      <c r="E2291" s="81"/>
      <c r="F2291" s="79">
        <f t="shared" si="42"/>
        <v>0</v>
      </c>
      <c r="G2291" s="78"/>
    </row>
    <row r="2292" spans="1:7" x14ac:dyDescent="0.2">
      <c r="A2292" s="76"/>
      <c r="B2292" s="77"/>
      <c r="C2292" s="78"/>
      <c r="D2292" s="81"/>
      <c r="E2292" s="81"/>
      <c r="F2292" s="79">
        <f t="shared" si="42"/>
        <v>0</v>
      </c>
      <c r="G2292" s="78"/>
    </row>
    <row r="2293" spans="1:7" x14ac:dyDescent="0.2">
      <c r="A2293" s="76"/>
      <c r="B2293" s="77"/>
      <c r="C2293" s="78"/>
      <c r="D2293" s="81"/>
      <c r="E2293" s="81"/>
      <c r="F2293" s="79">
        <f t="shared" ref="F2293:F2327" si="43">E2293-D2293</f>
        <v>0</v>
      </c>
      <c r="G2293" s="78"/>
    </row>
    <row r="2294" spans="1:7" x14ac:dyDescent="0.2">
      <c r="A2294" s="76"/>
      <c r="B2294" s="77"/>
      <c r="C2294" s="78"/>
      <c r="D2294" s="81"/>
      <c r="E2294" s="81"/>
      <c r="F2294" s="79">
        <f t="shared" si="43"/>
        <v>0</v>
      </c>
      <c r="G2294" s="78"/>
    </row>
    <row r="2295" spans="1:7" x14ac:dyDescent="0.2">
      <c r="A2295" s="76"/>
      <c r="B2295" s="77"/>
      <c r="C2295" s="78"/>
      <c r="D2295" s="81"/>
      <c r="E2295" s="81"/>
      <c r="F2295" s="79">
        <f t="shared" si="43"/>
        <v>0</v>
      </c>
      <c r="G2295" s="78"/>
    </row>
    <row r="2296" spans="1:7" x14ac:dyDescent="0.2">
      <c r="A2296" s="76"/>
      <c r="B2296" s="77"/>
      <c r="C2296" s="78"/>
      <c r="D2296" s="81"/>
      <c r="E2296" s="81"/>
      <c r="F2296" s="79">
        <f t="shared" si="43"/>
        <v>0</v>
      </c>
      <c r="G2296" s="78"/>
    </row>
    <row r="2297" spans="1:7" x14ac:dyDescent="0.2">
      <c r="A2297" s="76"/>
      <c r="B2297" s="77"/>
      <c r="C2297" s="78"/>
      <c r="D2297" s="81"/>
      <c r="E2297" s="81"/>
      <c r="F2297" s="79">
        <f t="shared" si="43"/>
        <v>0</v>
      </c>
      <c r="G2297" s="78"/>
    </row>
    <row r="2298" spans="1:7" x14ac:dyDescent="0.2">
      <c r="A2298" s="76"/>
      <c r="B2298" s="77"/>
      <c r="C2298" s="78"/>
      <c r="D2298" s="81"/>
      <c r="E2298" s="81"/>
      <c r="F2298" s="79">
        <f t="shared" si="43"/>
        <v>0</v>
      </c>
      <c r="G2298" s="78"/>
    </row>
    <row r="2299" spans="1:7" x14ac:dyDescent="0.2">
      <c r="A2299" s="76"/>
      <c r="B2299" s="77"/>
      <c r="C2299" s="78"/>
      <c r="D2299" s="81"/>
      <c r="E2299" s="81"/>
      <c r="F2299" s="79">
        <f t="shared" si="43"/>
        <v>0</v>
      </c>
      <c r="G2299" s="78"/>
    </row>
    <row r="2300" spans="1:7" x14ac:dyDescent="0.2">
      <c r="A2300" s="76"/>
      <c r="B2300" s="77"/>
      <c r="C2300" s="78"/>
      <c r="D2300" s="81"/>
      <c r="E2300" s="81"/>
      <c r="F2300" s="79">
        <f t="shared" si="43"/>
        <v>0</v>
      </c>
      <c r="G2300" s="78"/>
    </row>
    <row r="2301" spans="1:7" x14ac:dyDescent="0.2">
      <c r="A2301" s="76"/>
      <c r="B2301" s="77"/>
      <c r="C2301" s="78"/>
      <c r="D2301" s="81"/>
      <c r="E2301" s="81"/>
      <c r="F2301" s="79">
        <f t="shared" si="43"/>
        <v>0</v>
      </c>
      <c r="G2301" s="78"/>
    </row>
    <row r="2302" spans="1:7" x14ac:dyDescent="0.2">
      <c r="A2302" s="76"/>
      <c r="B2302" s="77"/>
      <c r="C2302" s="78"/>
      <c r="D2302" s="81"/>
      <c r="E2302" s="81"/>
      <c r="F2302" s="79">
        <f t="shared" si="43"/>
        <v>0</v>
      </c>
      <c r="G2302" s="78"/>
    </row>
    <row r="2303" spans="1:7" x14ac:dyDescent="0.2">
      <c r="A2303" s="76"/>
      <c r="B2303" s="77"/>
      <c r="C2303" s="78"/>
      <c r="D2303" s="81"/>
      <c r="E2303" s="81"/>
      <c r="F2303" s="79">
        <f t="shared" si="43"/>
        <v>0</v>
      </c>
      <c r="G2303" s="78"/>
    </row>
    <row r="2304" spans="1:7" x14ac:dyDescent="0.2">
      <c r="A2304" s="76"/>
      <c r="B2304" s="77"/>
      <c r="C2304" s="78"/>
      <c r="D2304" s="81"/>
      <c r="E2304" s="81"/>
      <c r="F2304" s="79">
        <f t="shared" si="43"/>
        <v>0</v>
      </c>
      <c r="G2304" s="78"/>
    </row>
    <row r="2305" spans="1:7" x14ac:dyDescent="0.2">
      <c r="A2305" s="76"/>
      <c r="B2305" s="77"/>
      <c r="C2305" s="78"/>
      <c r="D2305" s="81"/>
      <c r="E2305" s="81"/>
      <c r="F2305" s="79">
        <f t="shared" si="43"/>
        <v>0</v>
      </c>
      <c r="G2305" s="78"/>
    </row>
    <row r="2306" spans="1:7" x14ac:dyDescent="0.2">
      <c r="A2306" s="76"/>
      <c r="B2306" s="77"/>
      <c r="C2306" s="78"/>
      <c r="D2306" s="81"/>
      <c r="E2306" s="81"/>
      <c r="F2306" s="79">
        <f t="shared" si="43"/>
        <v>0</v>
      </c>
      <c r="G2306" s="78"/>
    </row>
    <row r="2307" spans="1:7" x14ac:dyDescent="0.2">
      <c r="A2307" s="76"/>
      <c r="B2307" s="77"/>
      <c r="C2307" s="78"/>
      <c r="D2307" s="81"/>
      <c r="E2307" s="81"/>
      <c r="F2307" s="79">
        <f t="shared" si="43"/>
        <v>0</v>
      </c>
      <c r="G2307" s="78"/>
    </row>
    <row r="2308" spans="1:7" x14ac:dyDescent="0.2">
      <c r="A2308" s="76"/>
      <c r="B2308" s="77"/>
      <c r="C2308" s="78"/>
      <c r="D2308" s="81"/>
      <c r="E2308" s="81"/>
      <c r="F2308" s="79">
        <f t="shared" si="43"/>
        <v>0</v>
      </c>
      <c r="G2308" s="78"/>
    </row>
    <row r="2309" spans="1:7" x14ac:dyDescent="0.2">
      <c r="A2309" s="76"/>
      <c r="B2309" s="77"/>
      <c r="C2309" s="78"/>
      <c r="D2309" s="81"/>
      <c r="E2309" s="81"/>
      <c r="F2309" s="79">
        <f t="shared" si="43"/>
        <v>0</v>
      </c>
      <c r="G2309" s="78"/>
    </row>
    <row r="2310" spans="1:7" x14ac:dyDescent="0.2">
      <c r="A2310" s="76"/>
      <c r="B2310" s="77"/>
      <c r="C2310" s="78"/>
      <c r="D2310" s="81"/>
      <c r="E2310" s="81"/>
      <c r="F2310" s="79">
        <f t="shared" si="43"/>
        <v>0</v>
      </c>
      <c r="G2310" s="78"/>
    </row>
    <row r="2311" spans="1:7" x14ac:dyDescent="0.2">
      <c r="A2311" s="76"/>
      <c r="B2311" s="77"/>
      <c r="C2311" s="78"/>
      <c r="D2311" s="81"/>
      <c r="E2311" s="81"/>
      <c r="F2311" s="79">
        <f t="shared" si="43"/>
        <v>0</v>
      </c>
      <c r="G2311" s="78"/>
    </row>
    <row r="2312" spans="1:7" x14ac:dyDescent="0.2">
      <c r="A2312" s="76"/>
      <c r="B2312" s="77"/>
      <c r="C2312" s="78"/>
      <c r="D2312" s="81"/>
      <c r="E2312" s="81"/>
      <c r="F2312" s="79">
        <f t="shared" si="43"/>
        <v>0</v>
      </c>
      <c r="G2312" s="78"/>
    </row>
    <row r="2313" spans="1:7" x14ac:dyDescent="0.2">
      <c r="A2313" s="76"/>
      <c r="B2313" s="77"/>
      <c r="C2313" s="78"/>
      <c r="D2313" s="81"/>
      <c r="E2313" s="81"/>
      <c r="F2313" s="79">
        <f t="shared" si="43"/>
        <v>0</v>
      </c>
      <c r="G2313" s="78"/>
    </row>
    <row r="2314" spans="1:7" x14ac:dyDescent="0.2">
      <c r="A2314" s="76"/>
      <c r="B2314" s="77"/>
      <c r="C2314" s="78"/>
      <c r="D2314" s="81"/>
      <c r="E2314" s="81"/>
      <c r="F2314" s="79">
        <f t="shared" si="43"/>
        <v>0</v>
      </c>
      <c r="G2314" s="78"/>
    </row>
    <row r="2315" spans="1:7" x14ac:dyDescent="0.2">
      <c r="A2315" s="76"/>
      <c r="B2315" s="77"/>
      <c r="C2315" s="78"/>
      <c r="D2315" s="81"/>
      <c r="E2315" s="81"/>
      <c r="F2315" s="79">
        <f t="shared" si="43"/>
        <v>0</v>
      </c>
      <c r="G2315" s="78"/>
    </row>
    <row r="2316" spans="1:7" x14ac:dyDescent="0.2">
      <c r="A2316" s="76"/>
      <c r="B2316" s="77"/>
      <c r="C2316" s="78"/>
      <c r="D2316" s="81"/>
      <c r="E2316" s="81"/>
      <c r="F2316" s="79">
        <f t="shared" si="43"/>
        <v>0</v>
      </c>
      <c r="G2316" s="78"/>
    </row>
    <row r="2317" spans="1:7" x14ac:dyDescent="0.2">
      <c r="A2317" s="76"/>
      <c r="B2317" s="77"/>
      <c r="C2317" s="78"/>
      <c r="D2317" s="81"/>
      <c r="E2317" s="81"/>
      <c r="F2317" s="79">
        <f t="shared" si="43"/>
        <v>0</v>
      </c>
      <c r="G2317" s="78"/>
    </row>
    <row r="2318" spans="1:7" x14ac:dyDescent="0.2">
      <c r="A2318" s="76"/>
      <c r="B2318" s="77"/>
      <c r="C2318" s="78"/>
      <c r="D2318" s="81"/>
      <c r="E2318" s="81"/>
      <c r="F2318" s="79">
        <f t="shared" si="43"/>
        <v>0</v>
      </c>
      <c r="G2318" s="78"/>
    </row>
    <row r="2319" spans="1:7" x14ac:dyDescent="0.2">
      <c r="A2319" s="76"/>
      <c r="B2319" s="77"/>
      <c r="C2319" s="78"/>
      <c r="D2319" s="81"/>
      <c r="E2319" s="81"/>
      <c r="F2319" s="79">
        <f t="shared" si="43"/>
        <v>0</v>
      </c>
      <c r="G2319" s="78"/>
    </row>
    <row r="2320" spans="1:7" x14ac:dyDescent="0.2">
      <c r="A2320" s="76"/>
      <c r="B2320" s="77"/>
      <c r="C2320" s="78"/>
      <c r="D2320" s="81"/>
      <c r="E2320" s="81"/>
      <c r="F2320" s="79">
        <f t="shared" si="43"/>
        <v>0</v>
      </c>
      <c r="G2320" s="78"/>
    </row>
    <row r="2321" spans="1:7" x14ac:dyDescent="0.2">
      <c r="A2321" s="76"/>
      <c r="B2321" s="77"/>
      <c r="C2321" s="78"/>
      <c r="D2321" s="81"/>
      <c r="E2321" s="81"/>
      <c r="F2321" s="79">
        <f t="shared" si="43"/>
        <v>0</v>
      </c>
      <c r="G2321" s="78"/>
    </row>
    <row r="2322" spans="1:7" x14ac:dyDescent="0.2">
      <c r="A2322" s="76"/>
      <c r="B2322" s="77"/>
      <c r="C2322" s="78"/>
      <c r="D2322" s="81"/>
      <c r="E2322" s="81"/>
      <c r="F2322" s="79">
        <f t="shared" si="43"/>
        <v>0</v>
      </c>
      <c r="G2322" s="78"/>
    </row>
    <row r="2323" spans="1:7" x14ac:dyDescent="0.2">
      <c r="A2323" s="76"/>
      <c r="B2323" s="77"/>
      <c r="C2323" s="78"/>
      <c r="D2323" s="81"/>
      <c r="E2323" s="81"/>
      <c r="F2323" s="79">
        <f t="shared" si="43"/>
        <v>0</v>
      </c>
      <c r="G2323" s="78"/>
    </row>
    <row r="2324" spans="1:7" x14ac:dyDescent="0.2">
      <c r="A2324" s="76"/>
      <c r="B2324" s="77"/>
      <c r="C2324" s="78"/>
      <c r="D2324" s="81"/>
      <c r="E2324" s="81"/>
      <c r="F2324" s="79">
        <f t="shared" si="43"/>
        <v>0</v>
      </c>
      <c r="G2324" s="78"/>
    </row>
    <row r="2325" spans="1:7" x14ac:dyDescent="0.2">
      <c r="A2325" s="76"/>
      <c r="B2325" s="77"/>
      <c r="C2325" s="78"/>
      <c r="D2325" s="81"/>
      <c r="E2325" s="81"/>
      <c r="F2325" s="79">
        <f t="shared" si="43"/>
        <v>0</v>
      </c>
      <c r="G2325" s="78"/>
    </row>
    <row r="2326" spans="1:7" x14ac:dyDescent="0.2">
      <c r="A2326" s="76"/>
      <c r="B2326" s="77"/>
      <c r="C2326" s="78"/>
      <c r="D2326" s="81"/>
      <c r="E2326" s="81"/>
      <c r="F2326" s="79">
        <f t="shared" si="43"/>
        <v>0</v>
      </c>
      <c r="G2326" s="78"/>
    </row>
    <row r="2327" spans="1:7" x14ac:dyDescent="0.2">
      <c r="A2327" s="76"/>
      <c r="B2327" s="77"/>
      <c r="C2327" s="78"/>
      <c r="D2327" s="81"/>
      <c r="E2327" s="81"/>
      <c r="F2327" s="79">
        <f t="shared" si="43"/>
        <v>0</v>
      </c>
      <c r="G2327" s="78"/>
    </row>
    <row r="2328" spans="1:7" x14ac:dyDescent="0.2">
      <c r="A2328" s="76"/>
      <c r="B2328" s="77"/>
      <c r="C2328" s="78"/>
      <c r="D2328" s="81"/>
      <c r="E2328" s="81"/>
      <c r="F2328" s="79">
        <f t="shared" ref="F2328:F2351" si="44">E2328-D2328</f>
        <v>0</v>
      </c>
      <c r="G2328" s="78"/>
    </row>
    <row r="2329" spans="1:7" x14ac:dyDescent="0.2">
      <c r="A2329" s="76"/>
      <c r="B2329" s="77"/>
      <c r="C2329" s="78"/>
      <c r="D2329" s="81"/>
      <c r="E2329" s="81"/>
      <c r="F2329" s="79">
        <f t="shared" si="44"/>
        <v>0</v>
      </c>
      <c r="G2329" s="78"/>
    </row>
    <row r="2330" spans="1:7" x14ac:dyDescent="0.2">
      <c r="A2330" s="76"/>
      <c r="B2330" s="77"/>
      <c r="C2330" s="78"/>
      <c r="D2330" s="81"/>
      <c r="E2330" s="81"/>
      <c r="F2330" s="79">
        <f t="shared" si="44"/>
        <v>0</v>
      </c>
      <c r="G2330" s="78"/>
    </row>
    <row r="2331" spans="1:7" x14ac:dyDescent="0.2">
      <c r="A2331" s="76"/>
      <c r="B2331" s="77"/>
      <c r="C2331" s="78"/>
      <c r="D2331" s="81"/>
      <c r="E2331" s="81"/>
      <c r="F2331" s="79">
        <f t="shared" si="44"/>
        <v>0</v>
      </c>
      <c r="G2331" s="78"/>
    </row>
    <row r="2332" spans="1:7" x14ac:dyDescent="0.2">
      <c r="A2332" s="76"/>
      <c r="B2332" s="77"/>
      <c r="C2332" s="78"/>
      <c r="D2332" s="81"/>
      <c r="E2332" s="81"/>
      <c r="F2332" s="79">
        <f t="shared" si="44"/>
        <v>0</v>
      </c>
      <c r="G2332" s="78"/>
    </row>
    <row r="2333" spans="1:7" x14ac:dyDescent="0.2">
      <c r="A2333" s="76"/>
      <c r="B2333" s="77"/>
      <c r="C2333" s="78"/>
      <c r="D2333" s="81"/>
      <c r="E2333" s="81"/>
      <c r="F2333" s="79">
        <f t="shared" si="44"/>
        <v>0</v>
      </c>
      <c r="G2333" s="78"/>
    </row>
    <row r="2334" spans="1:7" x14ac:dyDescent="0.2">
      <c r="A2334" s="76"/>
      <c r="B2334" s="77"/>
      <c r="C2334" s="78"/>
      <c r="D2334" s="81"/>
      <c r="E2334" s="81"/>
      <c r="F2334" s="79">
        <f t="shared" si="44"/>
        <v>0</v>
      </c>
      <c r="G2334" s="78"/>
    </row>
    <row r="2335" spans="1:7" x14ac:dyDescent="0.2">
      <c r="A2335" s="76"/>
      <c r="B2335" s="77"/>
      <c r="C2335" s="78"/>
      <c r="D2335" s="81"/>
      <c r="E2335" s="81"/>
      <c r="F2335" s="79">
        <f t="shared" si="44"/>
        <v>0</v>
      </c>
      <c r="G2335" s="78"/>
    </row>
    <row r="2336" spans="1:7" x14ac:dyDescent="0.2">
      <c r="A2336" s="76"/>
      <c r="B2336" s="77"/>
      <c r="C2336" s="78"/>
      <c r="D2336" s="81"/>
      <c r="E2336" s="81"/>
      <c r="F2336" s="79">
        <f t="shared" si="44"/>
        <v>0</v>
      </c>
      <c r="G2336" s="78"/>
    </row>
    <row r="2337" spans="1:7" ht="15" x14ac:dyDescent="0.2">
      <c r="A2337" s="76"/>
      <c r="B2337" s="88"/>
      <c r="C2337" s="78"/>
      <c r="D2337" s="81"/>
      <c r="E2337" s="81"/>
      <c r="F2337" s="79">
        <f t="shared" si="44"/>
        <v>0</v>
      </c>
      <c r="G2337" s="78"/>
    </row>
    <row r="2338" spans="1:7" x14ac:dyDescent="0.2">
      <c r="A2338" s="76"/>
      <c r="B2338" s="77"/>
      <c r="C2338" s="78"/>
      <c r="D2338" s="81"/>
      <c r="E2338" s="81"/>
      <c r="F2338" s="79">
        <f t="shared" si="44"/>
        <v>0</v>
      </c>
      <c r="G2338" s="78"/>
    </row>
    <row r="2339" spans="1:7" x14ac:dyDescent="0.2">
      <c r="A2339" s="76"/>
      <c r="B2339" s="77"/>
      <c r="C2339" s="78"/>
      <c r="D2339" s="81"/>
      <c r="E2339" s="81"/>
      <c r="F2339" s="79">
        <f t="shared" si="44"/>
        <v>0</v>
      </c>
      <c r="G2339" s="78"/>
    </row>
    <row r="2340" spans="1:7" x14ac:dyDescent="0.2">
      <c r="A2340" s="76"/>
      <c r="B2340" s="77"/>
      <c r="C2340" s="78"/>
      <c r="D2340" s="81"/>
      <c r="E2340" s="81"/>
      <c r="F2340" s="79">
        <f t="shared" si="44"/>
        <v>0</v>
      </c>
      <c r="G2340" s="78"/>
    </row>
    <row r="2341" spans="1:7" ht="15" x14ac:dyDescent="0.2">
      <c r="A2341" s="76"/>
      <c r="B2341" s="88"/>
      <c r="C2341" s="78"/>
      <c r="D2341" s="81"/>
      <c r="E2341" s="81"/>
      <c r="F2341" s="79">
        <f t="shared" si="44"/>
        <v>0</v>
      </c>
      <c r="G2341" s="78"/>
    </row>
    <row r="2342" spans="1:7" x14ac:dyDescent="0.2">
      <c r="A2342" s="76"/>
      <c r="B2342" s="77"/>
      <c r="C2342" s="78"/>
      <c r="D2342" s="81"/>
      <c r="E2342" s="81"/>
      <c r="F2342" s="79">
        <f t="shared" si="44"/>
        <v>0</v>
      </c>
      <c r="G2342" s="78"/>
    </row>
    <row r="2343" spans="1:7" x14ac:dyDescent="0.2">
      <c r="A2343" s="76"/>
      <c r="B2343" s="77"/>
      <c r="C2343" s="78"/>
      <c r="D2343" s="81"/>
      <c r="E2343" s="81"/>
      <c r="F2343" s="79">
        <f t="shared" si="44"/>
        <v>0</v>
      </c>
      <c r="G2343" s="78"/>
    </row>
    <row r="2344" spans="1:7" x14ac:dyDescent="0.2">
      <c r="A2344" s="76"/>
      <c r="B2344" s="77"/>
      <c r="C2344" s="78"/>
      <c r="D2344" s="81"/>
      <c r="E2344" s="81"/>
      <c r="F2344" s="79">
        <f t="shared" si="44"/>
        <v>0</v>
      </c>
      <c r="G2344" s="78"/>
    </row>
    <row r="2345" spans="1:7" x14ac:dyDescent="0.2">
      <c r="A2345" s="76"/>
      <c r="B2345" s="77"/>
      <c r="C2345" s="78"/>
      <c r="D2345" s="81"/>
      <c r="E2345" s="81"/>
      <c r="F2345" s="79">
        <f t="shared" si="44"/>
        <v>0</v>
      </c>
      <c r="G2345" s="78"/>
    </row>
    <row r="2346" spans="1:7" x14ac:dyDescent="0.2">
      <c r="A2346" s="76"/>
      <c r="B2346" s="77"/>
      <c r="C2346" s="78"/>
      <c r="D2346" s="81"/>
      <c r="E2346" s="81"/>
      <c r="F2346" s="79">
        <f t="shared" si="44"/>
        <v>0</v>
      </c>
      <c r="G2346" s="78"/>
    </row>
    <row r="2347" spans="1:7" x14ac:dyDescent="0.2">
      <c r="A2347" s="76"/>
      <c r="B2347" s="77"/>
      <c r="C2347" s="78"/>
      <c r="D2347" s="81"/>
      <c r="E2347" s="81"/>
      <c r="F2347" s="79">
        <f t="shared" si="44"/>
        <v>0</v>
      </c>
      <c r="G2347" s="78"/>
    </row>
    <row r="2348" spans="1:7" x14ac:dyDescent="0.2">
      <c r="A2348" s="76"/>
      <c r="B2348" s="77"/>
      <c r="C2348" s="78"/>
      <c r="D2348" s="81"/>
      <c r="E2348" s="81"/>
      <c r="F2348" s="79">
        <f t="shared" si="44"/>
        <v>0</v>
      </c>
      <c r="G2348" s="78"/>
    </row>
    <row r="2349" spans="1:7" x14ac:dyDescent="0.2">
      <c r="A2349" s="76"/>
      <c r="B2349" s="77"/>
      <c r="C2349" s="78"/>
      <c r="D2349" s="81"/>
      <c r="E2349" s="81"/>
      <c r="F2349" s="79">
        <f t="shared" si="44"/>
        <v>0</v>
      </c>
      <c r="G2349" s="78"/>
    </row>
    <row r="2350" spans="1:7" x14ac:dyDescent="0.2">
      <c r="A2350" s="76"/>
      <c r="B2350" s="77"/>
      <c r="C2350" s="78"/>
      <c r="D2350" s="81"/>
      <c r="E2350" s="81"/>
      <c r="F2350" s="79">
        <f t="shared" si="44"/>
        <v>0</v>
      </c>
      <c r="G2350" s="78"/>
    </row>
    <row r="2351" spans="1:7" x14ac:dyDescent="0.2">
      <c r="A2351" s="76"/>
      <c r="B2351" s="77"/>
      <c r="C2351" s="78"/>
      <c r="D2351" s="81"/>
      <c r="E2351" s="81"/>
      <c r="F2351" s="79">
        <f t="shared" si="44"/>
        <v>0</v>
      </c>
      <c r="G2351" s="78"/>
    </row>
    <row r="2352" spans="1:7" x14ac:dyDescent="0.2">
      <c r="A2352" s="76"/>
      <c r="B2352" s="77"/>
      <c r="C2352" s="78"/>
      <c r="D2352" s="81"/>
      <c r="E2352" s="81"/>
      <c r="F2352" s="79">
        <f t="shared" ref="F2352:F2393" si="45">E2352-D2352</f>
        <v>0</v>
      </c>
      <c r="G2352" s="78"/>
    </row>
    <row r="2353" spans="1:7" x14ac:dyDescent="0.2">
      <c r="A2353" s="76"/>
      <c r="B2353" s="77"/>
      <c r="C2353" s="78"/>
      <c r="D2353" s="81"/>
      <c r="E2353" s="81"/>
      <c r="F2353" s="79">
        <f t="shared" si="45"/>
        <v>0</v>
      </c>
      <c r="G2353" s="78"/>
    </row>
    <row r="2354" spans="1:7" x14ac:dyDescent="0.2">
      <c r="A2354" s="76"/>
      <c r="B2354" s="77"/>
      <c r="C2354" s="78"/>
      <c r="D2354" s="81"/>
      <c r="E2354" s="81"/>
      <c r="F2354" s="79">
        <f t="shared" si="45"/>
        <v>0</v>
      </c>
      <c r="G2354" s="78"/>
    </row>
    <row r="2355" spans="1:7" x14ac:dyDescent="0.2">
      <c r="A2355" s="76"/>
      <c r="B2355" s="77"/>
      <c r="C2355" s="78"/>
      <c r="D2355" s="81"/>
      <c r="E2355" s="81"/>
      <c r="F2355" s="79">
        <f t="shared" si="45"/>
        <v>0</v>
      </c>
      <c r="G2355" s="78"/>
    </row>
    <row r="2356" spans="1:7" x14ac:dyDescent="0.2">
      <c r="A2356" s="76"/>
      <c r="B2356" s="77"/>
      <c r="C2356" s="78"/>
      <c r="D2356" s="81"/>
      <c r="E2356" s="81"/>
      <c r="F2356" s="79">
        <f t="shared" si="45"/>
        <v>0</v>
      </c>
      <c r="G2356" s="78"/>
    </row>
    <row r="2357" spans="1:7" x14ac:dyDescent="0.2">
      <c r="A2357" s="76"/>
      <c r="B2357" s="77"/>
      <c r="C2357" s="78"/>
      <c r="D2357" s="81"/>
      <c r="E2357" s="81"/>
      <c r="F2357" s="79">
        <f t="shared" si="45"/>
        <v>0</v>
      </c>
      <c r="G2357" s="78"/>
    </row>
    <row r="2358" spans="1:7" x14ac:dyDescent="0.2">
      <c r="A2358" s="76"/>
      <c r="B2358" s="77"/>
      <c r="C2358" s="78"/>
      <c r="D2358" s="81"/>
      <c r="E2358" s="81"/>
      <c r="F2358" s="79">
        <f t="shared" si="45"/>
        <v>0</v>
      </c>
      <c r="G2358" s="78"/>
    </row>
    <row r="2359" spans="1:7" x14ac:dyDescent="0.2">
      <c r="A2359" s="76"/>
      <c r="B2359" s="77"/>
      <c r="C2359" s="78"/>
      <c r="D2359" s="81"/>
      <c r="E2359" s="81"/>
      <c r="F2359" s="79">
        <f t="shared" si="45"/>
        <v>0</v>
      </c>
      <c r="G2359" s="78"/>
    </row>
    <row r="2360" spans="1:7" x14ac:dyDescent="0.2">
      <c r="A2360" s="76"/>
      <c r="B2360" s="77"/>
      <c r="C2360" s="78"/>
      <c r="D2360" s="81"/>
      <c r="E2360" s="81"/>
      <c r="F2360" s="79">
        <f t="shared" si="45"/>
        <v>0</v>
      </c>
      <c r="G2360" s="78"/>
    </row>
    <row r="2361" spans="1:7" x14ac:dyDescent="0.2">
      <c r="A2361" s="76"/>
      <c r="B2361" s="77"/>
      <c r="C2361" s="78"/>
      <c r="D2361" s="81"/>
      <c r="E2361" s="81"/>
      <c r="F2361" s="79">
        <f t="shared" si="45"/>
        <v>0</v>
      </c>
      <c r="G2361" s="78"/>
    </row>
    <row r="2362" spans="1:7" x14ac:dyDescent="0.2">
      <c r="A2362" s="76"/>
      <c r="B2362" s="77"/>
      <c r="C2362" s="78"/>
      <c r="D2362" s="81"/>
      <c r="E2362" s="81"/>
      <c r="F2362" s="79">
        <f t="shared" si="45"/>
        <v>0</v>
      </c>
      <c r="G2362" s="78"/>
    </row>
    <row r="2363" spans="1:7" x14ac:dyDescent="0.2">
      <c r="A2363" s="76"/>
      <c r="B2363" s="77"/>
      <c r="C2363" s="78"/>
      <c r="D2363" s="81"/>
      <c r="E2363" s="81"/>
      <c r="F2363" s="79">
        <f t="shared" si="45"/>
        <v>0</v>
      </c>
      <c r="G2363" s="78"/>
    </row>
    <row r="2364" spans="1:7" x14ac:dyDescent="0.2">
      <c r="A2364" s="76"/>
      <c r="B2364" s="77"/>
      <c r="C2364" s="78"/>
      <c r="D2364" s="81"/>
      <c r="E2364" s="81"/>
      <c r="F2364" s="79">
        <f t="shared" si="45"/>
        <v>0</v>
      </c>
      <c r="G2364" s="78"/>
    </row>
    <row r="2365" spans="1:7" x14ac:dyDescent="0.2">
      <c r="A2365" s="76"/>
      <c r="B2365" s="77"/>
      <c r="C2365" s="78"/>
      <c r="D2365" s="81"/>
      <c r="E2365" s="81"/>
      <c r="F2365" s="79">
        <f t="shared" si="45"/>
        <v>0</v>
      </c>
      <c r="G2365" s="78"/>
    </row>
    <row r="2366" spans="1:7" x14ac:dyDescent="0.2">
      <c r="A2366" s="76"/>
      <c r="B2366" s="77"/>
      <c r="C2366" s="78"/>
      <c r="D2366" s="81"/>
      <c r="E2366" s="81"/>
      <c r="F2366" s="79">
        <f t="shared" si="45"/>
        <v>0</v>
      </c>
      <c r="G2366" s="78"/>
    </row>
    <row r="2367" spans="1:7" x14ac:dyDescent="0.2">
      <c r="A2367" s="76"/>
      <c r="B2367" s="77"/>
      <c r="C2367" s="78"/>
      <c r="D2367" s="81"/>
      <c r="E2367" s="81"/>
      <c r="F2367" s="79">
        <f t="shared" si="45"/>
        <v>0</v>
      </c>
      <c r="G2367" s="78"/>
    </row>
    <row r="2368" spans="1:7" x14ac:dyDescent="0.2">
      <c r="A2368" s="76"/>
      <c r="B2368" s="77"/>
      <c r="C2368" s="78"/>
      <c r="D2368" s="81"/>
      <c r="E2368" s="81"/>
      <c r="F2368" s="79">
        <f t="shared" si="45"/>
        <v>0</v>
      </c>
      <c r="G2368" s="78"/>
    </row>
    <row r="2369" spans="1:7" x14ac:dyDescent="0.2">
      <c r="A2369" s="76"/>
      <c r="B2369" s="77"/>
      <c r="C2369" s="78"/>
      <c r="D2369" s="81"/>
      <c r="E2369" s="81"/>
      <c r="F2369" s="79">
        <f t="shared" si="45"/>
        <v>0</v>
      </c>
      <c r="G2369" s="78"/>
    </row>
    <row r="2370" spans="1:7" x14ac:dyDescent="0.2">
      <c r="A2370" s="76"/>
      <c r="B2370" s="77"/>
      <c r="C2370" s="78"/>
      <c r="D2370" s="81"/>
      <c r="E2370" s="81"/>
      <c r="F2370" s="79">
        <f t="shared" si="45"/>
        <v>0</v>
      </c>
      <c r="G2370" s="78"/>
    </row>
    <row r="2371" spans="1:7" x14ac:dyDescent="0.2">
      <c r="A2371" s="76"/>
      <c r="B2371" s="77"/>
      <c r="C2371" s="78"/>
      <c r="D2371" s="81"/>
      <c r="E2371" s="81"/>
      <c r="F2371" s="79">
        <f t="shared" si="45"/>
        <v>0</v>
      </c>
      <c r="G2371" s="78"/>
    </row>
    <row r="2372" spans="1:7" x14ac:dyDescent="0.2">
      <c r="A2372" s="76"/>
      <c r="B2372" s="77"/>
      <c r="C2372" s="78"/>
      <c r="D2372" s="81"/>
      <c r="E2372" s="81"/>
      <c r="F2372" s="79">
        <f t="shared" si="45"/>
        <v>0</v>
      </c>
      <c r="G2372" s="78"/>
    </row>
    <row r="2373" spans="1:7" x14ac:dyDescent="0.2">
      <c r="A2373" s="76"/>
      <c r="B2373" s="77"/>
      <c r="C2373" s="78"/>
      <c r="D2373" s="81"/>
      <c r="E2373" s="81"/>
      <c r="F2373" s="79">
        <f t="shared" si="45"/>
        <v>0</v>
      </c>
      <c r="G2373" s="78"/>
    </row>
    <row r="2374" spans="1:7" x14ac:dyDescent="0.2">
      <c r="A2374" s="76"/>
      <c r="B2374" s="77"/>
      <c r="C2374" s="78"/>
      <c r="D2374" s="81"/>
      <c r="E2374" s="81"/>
      <c r="F2374" s="79">
        <f t="shared" si="45"/>
        <v>0</v>
      </c>
      <c r="G2374" s="78"/>
    </row>
    <row r="2375" spans="1:7" x14ac:dyDescent="0.2">
      <c r="A2375" s="76"/>
      <c r="B2375" s="77"/>
      <c r="C2375" s="78"/>
      <c r="D2375" s="81"/>
      <c r="E2375" s="81"/>
      <c r="F2375" s="79">
        <f t="shared" si="45"/>
        <v>0</v>
      </c>
      <c r="G2375" s="78"/>
    </row>
    <row r="2376" spans="1:7" x14ac:dyDescent="0.2">
      <c r="A2376" s="76"/>
      <c r="B2376" s="77"/>
      <c r="C2376" s="78"/>
      <c r="D2376" s="81"/>
      <c r="E2376" s="81"/>
      <c r="F2376" s="79">
        <f t="shared" si="45"/>
        <v>0</v>
      </c>
      <c r="G2376" s="78"/>
    </row>
    <row r="2377" spans="1:7" x14ac:dyDescent="0.2">
      <c r="A2377" s="76"/>
      <c r="B2377" s="77"/>
      <c r="C2377" s="78"/>
      <c r="D2377" s="81"/>
      <c r="E2377" s="81"/>
      <c r="F2377" s="79">
        <f t="shared" si="45"/>
        <v>0</v>
      </c>
      <c r="G2377" s="78"/>
    </row>
    <row r="2378" spans="1:7" x14ac:dyDescent="0.2">
      <c r="A2378" s="76"/>
      <c r="B2378" s="77"/>
      <c r="C2378" s="78"/>
      <c r="D2378" s="81"/>
      <c r="E2378" s="81"/>
      <c r="F2378" s="79">
        <f t="shared" si="45"/>
        <v>0</v>
      </c>
      <c r="G2378" s="78"/>
    </row>
    <row r="2379" spans="1:7" x14ac:dyDescent="0.2">
      <c r="A2379" s="76"/>
      <c r="B2379" s="77"/>
      <c r="C2379" s="78"/>
      <c r="D2379" s="81"/>
      <c r="E2379" s="81"/>
      <c r="F2379" s="79">
        <f t="shared" si="45"/>
        <v>0</v>
      </c>
      <c r="G2379" s="78"/>
    </row>
    <row r="2380" spans="1:7" x14ac:dyDescent="0.2">
      <c r="A2380" s="76"/>
      <c r="B2380" s="77"/>
      <c r="C2380" s="78"/>
      <c r="D2380" s="81"/>
      <c r="E2380" s="81"/>
      <c r="F2380" s="79">
        <f t="shared" si="45"/>
        <v>0</v>
      </c>
      <c r="G2380" s="78"/>
    </row>
    <row r="2381" spans="1:7" x14ac:dyDescent="0.2">
      <c r="A2381" s="76"/>
      <c r="B2381" s="77"/>
      <c r="C2381" s="78"/>
      <c r="D2381" s="81"/>
      <c r="E2381" s="81"/>
      <c r="F2381" s="79">
        <f t="shared" si="45"/>
        <v>0</v>
      </c>
      <c r="G2381" s="78"/>
    </row>
    <row r="2382" spans="1:7" x14ac:dyDescent="0.2">
      <c r="A2382" s="76"/>
      <c r="B2382" s="77"/>
      <c r="C2382" s="78"/>
      <c r="D2382" s="81"/>
      <c r="E2382" s="81"/>
      <c r="F2382" s="79">
        <f t="shared" si="45"/>
        <v>0</v>
      </c>
      <c r="G2382" s="78"/>
    </row>
    <row r="2383" spans="1:7" x14ac:dyDescent="0.2">
      <c r="A2383" s="76"/>
      <c r="B2383" s="77"/>
      <c r="C2383" s="78"/>
      <c r="D2383" s="81"/>
      <c r="E2383" s="81"/>
      <c r="F2383" s="79">
        <f t="shared" si="45"/>
        <v>0</v>
      </c>
      <c r="G2383" s="78"/>
    </row>
    <row r="2384" spans="1:7" x14ac:dyDescent="0.2">
      <c r="A2384" s="76"/>
      <c r="B2384" s="77"/>
      <c r="C2384" s="78"/>
      <c r="D2384" s="81"/>
      <c r="E2384" s="81"/>
      <c r="F2384" s="79">
        <f t="shared" si="45"/>
        <v>0</v>
      </c>
      <c r="G2384" s="78"/>
    </row>
    <row r="2385" spans="1:7" x14ac:dyDescent="0.2">
      <c r="A2385" s="76"/>
      <c r="B2385" s="77"/>
      <c r="C2385" s="78"/>
      <c r="D2385" s="81"/>
      <c r="E2385" s="81"/>
      <c r="F2385" s="79">
        <f t="shared" si="45"/>
        <v>0</v>
      </c>
      <c r="G2385" s="78"/>
    </row>
    <row r="2386" spans="1:7" x14ac:dyDescent="0.2">
      <c r="A2386" s="76"/>
      <c r="B2386" s="77"/>
      <c r="C2386" s="78"/>
      <c r="D2386" s="81"/>
      <c r="E2386" s="81"/>
      <c r="F2386" s="79">
        <f t="shared" si="45"/>
        <v>0</v>
      </c>
      <c r="G2386" s="78"/>
    </row>
    <row r="2387" spans="1:7" x14ac:dyDescent="0.2">
      <c r="A2387" s="76"/>
      <c r="B2387" s="77"/>
      <c r="C2387" s="78"/>
      <c r="D2387" s="81"/>
      <c r="E2387" s="81"/>
      <c r="F2387" s="79">
        <f t="shared" si="45"/>
        <v>0</v>
      </c>
      <c r="G2387" s="78"/>
    </row>
    <row r="2388" spans="1:7" x14ac:dyDescent="0.2">
      <c r="A2388" s="76"/>
      <c r="B2388" s="77"/>
      <c r="C2388" s="78"/>
      <c r="D2388" s="81"/>
      <c r="E2388" s="81"/>
      <c r="F2388" s="79">
        <f t="shared" si="45"/>
        <v>0</v>
      </c>
      <c r="G2388" s="78"/>
    </row>
    <row r="2389" spans="1:7" x14ac:dyDescent="0.2">
      <c r="A2389" s="76"/>
      <c r="B2389" s="77"/>
      <c r="C2389" s="78"/>
      <c r="D2389" s="81"/>
      <c r="E2389" s="81"/>
      <c r="F2389" s="79">
        <f t="shared" si="45"/>
        <v>0</v>
      </c>
      <c r="G2389" s="78"/>
    </row>
    <row r="2390" spans="1:7" x14ac:dyDescent="0.2">
      <c r="A2390" s="76"/>
      <c r="B2390" s="77"/>
      <c r="C2390" s="78"/>
      <c r="D2390" s="81"/>
      <c r="E2390" s="81"/>
      <c r="F2390" s="79">
        <f t="shared" si="45"/>
        <v>0</v>
      </c>
      <c r="G2390" s="78"/>
    </row>
    <row r="2391" spans="1:7" x14ac:dyDescent="0.2">
      <c r="A2391" s="76"/>
      <c r="B2391" s="77"/>
      <c r="C2391" s="78"/>
      <c r="D2391" s="81"/>
      <c r="E2391" s="81"/>
      <c r="F2391" s="79">
        <f t="shared" si="45"/>
        <v>0</v>
      </c>
      <c r="G2391" s="78"/>
    </row>
    <row r="2392" spans="1:7" x14ac:dyDescent="0.2">
      <c r="A2392" s="76"/>
      <c r="B2392" s="77"/>
      <c r="C2392" s="78"/>
      <c r="D2392" s="81"/>
      <c r="E2392" s="81"/>
      <c r="F2392" s="79">
        <f t="shared" si="45"/>
        <v>0</v>
      </c>
      <c r="G2392" s="78"/>
    </row>
    <row r="2393" spans="1:7" x14ac:dyDescent="0.2">
      <c r="A2393" s="76"/>
      <c r="B2393" s="77"/>
      <c r="C2393" s="78"/>
      <c r="D2393" s="81"/>
      <c r="E2393" s="81"/>
      <c r="F2393" s="79">
        <f t="shared" si="45"/>
        <v>0</v>
      </c>
      <c r="G2393" s="78"/>
    </row>
    <row r="2394" spans="1:7" x14ac:dyDescent="0.2">
      <c r="A2394" s="76"/>
      <c r="B2394" s="77"/>
      <c r="C2394" s="78"/>
      <c r="D2394" s="81"/>
      <c r="E2394" s="81"/>
      <c r="F2394" s="79">
        <f t="shared" ref="F2394:F2399" si="46">E2394-D2394</f>
        <v>0</v>
      </c>
      <c r="G2394" s="78"/>
    </row>
    <row r="2395" spans="1:7" x14ac:dyDescent="0.2">
      <c r="A2395" s="76"/>
      <c r="B2395" s="77"/>
      <c r="C2395" s="78"/>
      <c r="D2395" s="81"/>
      <c r="E2395" s="81"/>
      <c r="F2395" s="79">
        <f t="shared" si="46"/>
        <v>0</v>
      </c>
      <c r="G2395" s="78"/>
    </row>
    <row r="2396" spans="1:7" x14ac:dyDescent="0.2">
      <c r="A2396" s="76"/>
      <c r="B2396" s="77"/>
      <c r="C2396" s="78"/>
      <c r="D2396" s="81"/>
      <c r="E2396" s="81"/>
      <c r="F2396" s="79">
        <f t="shared" si="46"/>
        <v>0</v>
      </c>
      <c r="G2396" s="78"/>
    </row>
    <row r="2397" spans="1:7" x14ac:dyDescent="0.2">
      <c r="A2397" s="76"/>
      <c r="B2397" s="77"/>
      <c r="C2397" s="78"/>
      <c r="D2397" s="81"/>
      <c r="E2397" s="81"/>
      <c r="F2397" s="79">
        <f t="shared" si="46"/>
        <v>0</v>
      </c>
      <c r="G2397" s="78"/>
    </row>
    <row r="2398" spans="1:7" x14ac:dyDescent="0.2">
      <c r="A2398" s="76"/>
      <c r="B2398" s="77"/>
      <c r="C2398" s="78"/>
      <c r="D2398" s="81"/>
      <c r="E2398" s="81"/>
      <c r="F2398" s="79">
        <f t="shared" si="46"/>
        <v>0</v>
      </c>
      <c r="G2398" s="78"/>
    </row>
    <row r="2399" spans="1:7" x14ac:dyDescent="0.2">
      <c r="A2399" s="76"/>
      <c r="B2399" s="77"/>
      <c r="C2399" s="78"/>
      <c r="D2399" s="81"/>
      <c r="E2399" s="81"/>
      <c r="F2399" s="79">
        <f t="shared" si="46"/>
        <v>0</v>
      </c>
      <c r="G2399" s="78"/>
    </row>
    <row r="2400" spans="1:7" x14ac:dyDescent="0.2">
      <c r="A2400" s="76"/>
      <c r="B2400" s="77"/>
      <c r="C2400" s="78"/>
      <c r="D2400" s="81"/>
      <c r="E2400" s="81"/>
      <c r="F2400" s="79">
        <f t="shared" ref="F2400:F2407" si="47">E2400-D2400</f>
        <v>0</v>
      </c>
      <c r="G2400" s="78"/>
    </row>
    <row r="2401" spans="1:7" x14ac:dyDescent="0.2">
      <c r="A2401" s="76"/>
      <c r="B2401" s="77"/>
      <c r="C2401" s="78"/>
      <c r="D2401" s="81"/>
      <c r="E2401" s="81"/>
      <c r="F2401" s="79">
        <f t="shared" si="47"/>
        <v>0</v>
      </c>
      <c r="G2401" s="78"/>
    </row>
    <row r="2402" spans="1:7" x14ac:dyDescent="0.2">
      <c r="A2402" s="76"/>
      <c r="B2402" s="77"/>
      <c r="C2402" s="78"/>
      <c r="D2402" s="81"/>
      <c r="E2402" s="81"/>
      <c r="F2402" s="79">
        <f t="shared" si="47"/>
        <v>0</v>
      </c>
      <c r="G2402" s="78"/>
    </row>
    <row r="2403" spans="1:7" x14ac:dyDescent="0.2">
      <c r="A2403" s="76"/>
      <c r="B2403" s="77"/>
      <c r="C2403" s="78"/>
      <c r="D2403" s="81"/>
      <c r="E2403" s="81"/>
      <c r="F2403" s="79">
        <f t="shared" si="47"/>
        <v>0</v>
      </c>
      <c r="G2403" s="78"/>
    </row>
    <row r="2404" spans="1:7" x14ac:dyDescent="0.2">
      <c r="A2404" s="76"/>
      <c r="B2404" s="77"/>
      <c r="C2404" s="78"/>
      <c r="D2404" s="81"/>
      <c r="E2404" s="81"/>
      <c r="F2404" s="79">
        <f t="shared" si="47"/>
        <v>0</v>
      </c>
      <c r="G2404" s="78"/>
    </row>
    <row r="2405" spans="1:7" x14ac:dyDescent="0.2">
      <c r="A2405" s="76"/>
      <c r="B2405" s="77"/>
      <c r="C2405" s="78"/>
      <c r="D2405" s="81"/>
      <c r="E2405" s="81"/>
      <c r="F2405" s="79">
        <f t="shared" si="47"/>
        <v>0</v>
      </c>
      <c r="G2405" s="78"/>
    </row>
    <row r="2406" spans="1:7" x14ac:dyDescent="0.2">
      <c r="A2406" s="76"/>
      <c r="B2406" s="77"/>
      <c r="C2406" s="78"/>
      <c r="D2406" s="81"/>
      <c r="E2406" s="81"/>
      <c r="F2406" s="79">
        <f t="shared" si="47"/>
        <v>0</v>
      </c>
      <c r="G2406" s="78"/>
    </row>
    <row r="2407" spans="1:7" x14ac:dyDescent="0.2">
      <c r="A2407" s="76"/>
      <c r="B2407" s="77"/>
      <c r="C2407" s="78"/>
      <c r="D2407" s="81"/>
      <c r="E2407" s="81"/>
      <c r="F2407" s="79">
        <f t="shared" si="47"/>
        <v>0</v>
      </c>
      <c r="G2407" s="78"/>
    </row>
    <row r="2408" spans="1:7" x14ac:dyDescent="0.2">
      <c r="A2408" s="76"/>
      <c r="B2408" s="77"/>
      <c r="C2408" s="78"/>
      <c r="D2408" s="81"/>
      <c r="E2408" s="81"/>
      <c r="F2408" s="79">
        <f t="shared" ref="F2408:F2440" si="48">E2408-D2408</f>
        <v>0</v>
      </c>
      <c r="G2408" s="78"/>
    </row>
    <row r="2409" spans="1:7" x14ac:dyDescent="0.2">
      <c r="A2409" s="76"/>
      <c r="B2409" s="77"/>
      <c r="C2409" s="78"/>
      <c r="D2409" s="81"/>
      <c r="E2409" s="81"/>
      <c r="F2409" s="79">
        <f t="shared" si="48"/>
        <v>0</v>
      </c>
      <c r="G2409" s="78"/>
    </row>
    <row r="2410" spans="1:7" x14ac:dyDescent="0.2">
      <c r="A2410" s="76"/>
      <c r="B2410" s="77"/>
      <c r="C2410" s="78"/>
      <c r="D2410" s="81"/>
      <c r="E2410" s="81"/>
      <c r="F2410" s="79">
        <f t="shared" si="48"/>
        <v>0</v>
      </c>
      <c r="G2410" s="78"/>
    </row>
    <row r="2411" spans="1:7" x14ac:dyDescent="0.2">
      <c r="A2411" s="76"/>
      <c r="B2411" s="77"/>
      <c r="C2411" s="78"/>
      <c r="D2411" s="81"/>
      <c r="E2411" s="81"/>
      <c r="F2411" s="79">
        <f t="shared" si="48"/>
        <v>0</v>
      </c>
      <c r="G2411" s="78"/>
    </row>
    <row r="2412" spans="1:7" x14ac:dyDescent="0.2">
      <c r="A2412" s="76"/>
      <c r="B2412" s="77"/>
      <c r="C2412" s="78"/>
      <c r="D2412" s="81"/>
      <c r="E2412" s="81"/>
      <c r="F2412" s="79">
        <f t="shared" si="48"/>
        <v>0</v>
      </c>
      <c r="G2412" s="78"/>
    </row>
    <row r="2413" spans="1:7" x14ac:dyDescent="0.2">
      <c r="A2413" s="76"/>
      <c r="B2413" s="77"/>
      <c r="C2413" s="78"/>
      <c r="D2413" s="81"/>
      <c r="E2413" s="81"/>
      <c r="F2413" s="79">
        <f t="shared" si="48"/>
        <v>0</v>
      </c>
      <c r="G2413" s="78"/>
    </row>
    <row r="2414" spans="1:7" x14ac:dyDescent="0.2">
      <c r="A2414" s="76"/>
      <c r="B2414" s="77"/>
      <c r="C2414" s="78"/>
      <c r="D2414" s="81"/>
      <c r="E2414" s="81"/>
      <c r="F2414" s="79">
        <f t="shared" si="48"/>
        <v>0</v>
      </c>
      <c r="G2414" s="78"/>
    </row>
    <row r="2415" spans="1:7" x14ac:dyDescent="0.2">
      <c r="A2415" s="76"/>
      <c r="B2415" s="77"/>
      <c r="C2415" s="78"/>
      <c r="D2415" s="81"/>
      <c r="E2415" s="81"/>
      <c r="F2415" s="79">
        <f t="shared" si="48"/>
        <v>0</v>
      </c>
      <c r="G2415" s="78"/>
    </row>
    <row r="2416" spans="1:7" x14ac:dyDescent="0.2">
      <c r="A2416" s="76"/>
      <c r="B2416" s="77"/>
      <c r="C2416" s="78"/>
      <c r="D2416" s="81"/>
      <c r="E2416" s="81"/>
      <c r="F2416" s="79">
        <f t="shared" si="48"/>
        <v>0</v>
      </c>
      <c r="G2416" s="78"/>
    </row>
    <row r="2417" spans="1:7" x14ac:dyDescent="0.2">
      <c r="A2417" s="76"/>
      <c r="B2417" s="77"/>
      <c r="C2417" s="78"/>
      <c r="D2417" s="81"/>
      <c r="E2417" s="81"/>
      <c r="F2417" s="79">
        <f t="shared" si="48"/>
        <v>0</v>
      </c>
      <c r="G2417" s="78"/>
    </row>
    <row r="2418" spans="1:7" x14ac:dyDescent="0.2">
      <c r="A2418" s="76"/>
      <c r="B2418" s="77"/>
      <c r="C2418" s="78"/>
      <c r="D2418" s="81"/>
      <c r="E2418" s="81"/>
      <c r="F2418" s="79">
        <f t="shared" si="48"/>
        <v>0</v>
      </c>
      <c r="G2418" s="78"/>
    </row>
    <row r="2419" spans="1:7" x14ac:dyDescent="0.2">
      <c r="A2419" s="76"/>
      <c r="B2419" s="77"/>
      <c r="C2419" s="78"/>
      <c r="D2419" s="81"/>
      <c r="E2419" s="81"/>
      <c r="F2419" s="79">
        <f t="shared" si="48"/>
        <v>0</v>
      </c>
      <c r="G2419" s="78"/>
    </row>
    <row r="2420" spans="1:7" x14ac:dyDescent="0.2">
      <c r="A2420" s="76"/>
      <c r="B2420" s="77"/>
      <c r="C2420" s="78"/>
      <c r="D2420" s="81"/>
      <c r="E2420" s="81"/>
      <c r="F2420" s="79">
        <f t="shared" si="48"/>
        <v>0</v>
      </c>
      <c r="G2420" s="78"/>
    </row>
    <row r="2421" spans="1:7" x14ac:dyDescent="0.2">
      <c r="A2421" s="76"/>
      <c r="B2421" s="77"/>
      <c r="C2421" s="78"/>
      <c r="D2421" s="81"/>
      <c r="E2421" s="81"/>
      <c r="F2421" s="79">
        <f t="shared" si="48"/>
        <v>0</v>
      </c>
      <c r="G2421" s="78"/>
    </row>
    <row r="2422" spans="1:7" x14ac:dyDescent="0.2">
      <c r="A2422" s="76"/>
      <c r="B2422" s="77"/>
      <c r="C2422" s="78"/>
      <c r="D2422" s="81"/>
      <c r="E2422" s="81"/>
      <c r="F2422" s="79">
        <f t="shared" si="48"/>
        <v>0</v>
      </c>
      <c r="G2422" s="78"/>
    </row>
    <row r="2423" spans="1:7" x14ac:dyDescent="0.2">
      <c r="A2423" s="76"/>
      <c r="B2423" s="77"/>
      <c r="C2423" s="78"/>
      <c r="D2423" s="81"/>
      <c r="E2423" s="81"/>
      <c r="F2423" s="79">
        <f t="shared" si="48"/>
        <v>0</v>
      </c>
      <c r="G2423" s="78"/>
    </row>
    <row r="2424" spans="1:7" x14ac:dyDescent="0.2">
      <c r="A2424" s="76"/>
      <c r="B2424" s="77"/>
      <c r="C2424" s="78"/>
      <c r="D2424" s="81"/>
      <c r="E2424" s="81"/>
      <c r="F2424" s="79">
        <f t="shared" si="48"/>
        <v>0</v>
      </c>
      <c r="G2424" s="78"/>
    </row>
    <row r="2425" spans="1:7" x14ac:dyDescent="0.2">
      <c r="A2425" s="76"/>
      <c r="B2425" s="77"/>
      <c r="C2425" s="78"/>
      <c r="D2425" s="81"/>
      <c r="E2425" s="81"/>
      <c r="F2425" s="79">
        <f t="shared" si="48"/>
        <v>0</v>
      </c>
      <c r="G2425" s="78"/>
    </row>
    <row r="2426" spans="1:7" x14ac:dyDescent="0.2">
      <c r="A2426" s="76"/>
      <c r="B2426" s="77"/>
      <c r="C2426" s="78"/>
      <c r="D2426" s="81"/>
      <c r="E2426" s="81"/>
      <c r="F2426" s="79">
        <f t="shared" si="48"/>
        <v>0</v>
      </c>
      <c r="G2426" s="78"/>
    </row>
    <row r="2427" spans="1:7" x14ac:dyDescent="0.2">
      <c r="A2427" s="76"/>
      <c r="B2427" s="77"/>
      <c r="C2427" s="78"/>
      <c r="D2427" s="81"/>
      <c r="E2427" s="81"/>
      <c r="F2427" s="79">
        <f t="shared" si="48"/>
        <v>0</v>
      </c>
      <c r="G2427" s="78"/>
    </row>
    <row r="2428" spans="1:7" x14ac:dyDescent="0.2">
      <c r="A2428" s="76"/>
      <c r="B2428" s="77"/>
      <c r="C2428" s="78"/>
      <c r="D2428" s="81"/>
      <c r="E2428" s="81"/>
      <c r="F2428" s="79">
        <f t="shared" si="48"/>
        <v>0</v>
      </c>
      <c r="G2428" s="78"/>
    </row>
    <row r="2429" spans="1:7" x14ac:dyDescent="0.2">
      <c r="A2429" s="76"/>
      <c r="B2429" s="77"/>
      <c r="C2429" s="78"/>
      <c r="D2429" s="81"/>
      <c r="E2429" s="81"/>
      <c r="F2429" s="79">
        <f t="shared" si="48"/>
        <v>0</v>
      </c>
      <c r="G2429" s="78"/>
    </row>
    <row r="2430" spans="1:7" x14ac:dyDescent="0.2">
      <c r="A2430" s="76"/>
      <c r="B2430" s="77"/>
      <c r="C2430" s="78"/>
      <c r="D2430" s="81"/>
      <c r="E2430" s="81"/>
      <c r="F2430" s="79">
        <f t="shared" si="48"/>
        <v>0</v>
      </c>
      <c r="G2430" s="78"/>
    </row>
    <row r="2431" spans="1:7" x14ac:dyDescent="0.2">
      <c r="A2431" s="76"/>
      <c r="B2431" s="77"/>
      <c r="C2431" s="78"/>
      <c r="D2431" s="81"/>
      <c r="E2431" s="81"/>
      <c r="F2431" s="79">
        <f t="shared" si="48"/>
        <v>0</v>
      </c>
      <c r="G2431" s="78"/>
    </row>
    <row r="2432" spans="1:7" x14ac:dyDescent="0.2">
      <c r="A2432" s="76"/>
      <c r="B2432" s="77"/>
      <c r="C2432" s="78"/>
      <c r="D2432" s="81"/>
      <c r="E2432" s="81"/>
      <c r="F2432" s="79">
        <f t="shared" si="48"/>
        <v>0</v>
      </c>
      <c r="G2432" s="78"/>
    </row>
    <row r="2433" spans="1:7" x14ac:dyDescent="0.2">
      <c r="A2433" s="76"/>
      <c r="B2433" s="77"/>
      <c r="C2433" s="78"/>
      <c r="D2433" s="81"/>
      <c r="E2433" s="81"/>
      <c r="F2433" s="79">
        <f t="shared" si="48"/>
        <v>0</v>
      </c>
      <c r="G2433" s="78"/>
    </row>
    <row r="2434" spans="1:7" x14ac:dyDescent="0.2">
      <c r="A2434" s="76"/>
      <c r="B2434" s="77"/>
      <c r="C2434" s="78"/>
      <c r="D2434" s="81"/>
      <c r="E2434" s="81"/>
      <c r="F2434" s="79">
        <f t="shared" si="48"/>
        <v>0</v>
      </c>
      <c r="G2434" s="78"/>
    </row>
    <row r="2435" spans="1:7" x14ac:dyDescent="0.2">
      <c r="A2435" s="76"/>
      <c r="B2435" s="77"/>
      <c r="C2435" s="78"/>
      <c r="D2435" s="81"/>
      <c r="E2435" s="81"/>
      <c r="F2435" s="79">
        <f t="shared" si="48"/>
        <v>0</v>
      </c>
      <c r="G2435" s="78"/>
    </row>
    <row r="2436" spans="1:7" x14ac:dyDescent="0.2">
      <c r="A2436" s="76"/>
      <c r="B2436" s="77"/>
      <c r="C2436" s="78"/>
      <c r="D2436" s="81"/>
      <c r="E2436" s="81"/>
      <c r="F2436" s="79">
        <f t="shared" si="48"/>
        <v>0</v>
      </c>
      <c r="G2436" s="78"/>
    </row>
    <row r="2437" spans="1:7" x14ac:dyDescent="0.2">
      <c r="A2437" s="76"/>
      <c r="B2437" s="77"/>
      <c r="C2437" s="78"/>
      <c r="D2437" s="81"/>
      <c r="E2437" s="81"/>
      <c r="F2437" s="79">
        <f t="shared" si="48"/>
        <v>0</v>
      </c>
      <c r="G2437" s="78"/>
    </row>
    <row r="2438" spans="1:7" x14ac:dyDescent="0.2">
      <c r="A2438" s="76"/>
      <c r="B2438" s="77"/>
      <c r="C2438" s="78"/>
      <c r="D2438" s="81"/>
      <c r="E2438" s="81"/>
      <c r="F2438" s="79">
        <f t="shared" si="48"/>
        <v>0</v>
      </c>
      <c r="G2438" s="78"/>
    </row>
    <row r="2439" spans="1:7" x14ac:dyDescent="0.2">
      <c r="A2439" s="76"/>
      <c r="B2439" s="77"/>
      <c r="C2439" s="78"/>
      <c r="D2439" s="81"/>
      <c r="E2439" s="81"/>
      <c r="F2439" s="79">
        <f t="shared" si="48"/>
        <v>0</v>
      </c>
      <c r="G2439" s="78"/>
    </row>
    <row r="2440" spans="1:7" x14ac:dyDescent="0.2">
      <c r="A2440" s="76"/>
      <c r="B2440" s="77"/>
      <c r="C2440" s="78"/>
      <c r="D2440" s="81"/>
      <c r="E2440" s="81"/>
      <c r="F2440" s="79">
        <f t="shared" si="48"/>
        <v>0</v>
      </c>
      <c r="G2440" s="78"/>
    </row>
    <row r="2441" spans="1:7" x14ac:dyDescent="0.2">
      <c r="A2441" s="76"/>
      <c r="B2441" s="77"/>
      <c r="C2441" s="78"/>
      <c r="D2441" s="81"/>
      <c r="E2441" s="81"/>
      <c r="F2441" s="79">
        <f t="shared" ref="F2441:F2476" si="49">E2441-D2441</f>
        <v>0</v>
      </c>
      <c r="G2441" s="78"/>
    </row>
    <row r="2442" spans="1:7" x14ac:dyDescent="0.2">
      <c r="A2442" s="76"/>
      <c r="B2442" s="77"/>
      <c r="C2442" s="78"/>
      <c r="D2442" s="81"/>
      <c r="E2442" s="81"/>
      <c r="F2442" s="79">
        <f t="shared" si="49"/>
        <v>0</v>
      </c>
      <c r="G2442" s="78"/>
    </row>
    <row r="2443" spans="1:7" x14ac:dyDescent="0.2">
      <c r="A2443" s="76"/>
      <c r="B2443" s="77"/>
      <c r="C2443" s="78"/>
      <c r="D2443" s="81"/>
      <c r="E2443" s="81"/>
      <c r="F2443" s="79">
        <f t="shared" si="49"/>
        <v>0</v>
      </c>
      <c r="G2443" s="78"/>
    </row>
    <row r="2444" spans="1:7" x14ac:dyDescent="0.2">
      <c r="A2444" s="76"/>
      <c r="B2444" s="77"/>
      <c r="C2444" s="78"/>
      <c r="D2444" s="81"/>
      <c r="E2444" s="81"/>
      <c r="F2444" s="79">
        <f t="shared" si="49"/>
        <v>0</v>
      </c>
      <c r="G2444" s="78"/>
    </row>
    <row r="2445" spans="1:7" x14ac:dyDescent="0.2">
      <c r="A2445" s="76"/>
      <c r="B2445" s="77"/>
      <c r="C2445" s="78"/>
      <c r="D2445" s="81"/>
      <c r="E2445" s="81"/>
      <c r="F2445" s="79">
        <f t="shared" si="49"/>
        <v>0</v>
      </c>
      <c r="G2445" s="78"/>
    </row>
    <row r="2446" spans="1:7" x14ac:dyDescent="0.2">
      <c r="A2446" s="76"/>
      <c r="B2446" s="77"/>
      <c r="C2446" s="78"/>
      <c r="D2446" s="81"/>
      <c r="E2446" s="81"/>
      <c r="F2446" s="79">
        <f t="shared" si="49"/>
        <v>0</v>
      </c>
      <c r="G2446" s="78"/>
    </row>
    <row r="2447" spans="1:7" x14ac:dyDescent="0.2">
      <c r="A2447" s="76"/>
      <c r="B2447" s="77"/>
      <c r="C2447" s="78"/>
      <c r="D2447" s="81"/>
      <c r="E2447" s="81"/>
      <c r="F2447" s="79">
        <f t="shared" si="49"/>
        <v>0</v>
      </c>
      <c r="G2447" s="78"/>
    </row>
    <row r="2448" spans="1:7" x14ac:dyDescent="0.2">
      <c r="A2448" s="76"/>
      <c r="B2448" s="77"/>
      <c r="C2448" s="78"/>
      <c r="D2448" s="81"/>
      <c r="E2448" s="81"/>
      <c r="F2448" s="79">
        <f t="shared" si="49"/>
        <v>0</v>
      </c>
      <c r="G2448" s="78"/>
    </row>
    <row r="2449" spans="1:7" x14ac:dyDescent="0.2">
      <c r="A2449" s="76"/>
      <c r="B2449" s="77"/>
      <c r="C2449" s="78"/>
      <c r="D2449" s="81"/>
      <c r="E2449" s="81"/>
      <c r="F2449" s="79">
        <f t="shared" si="49"/>
        <v>0</v>
      </c>
      <c r="G2449" s="78"/>
    </row>
    <row r="2450" spans="1:7" x14ac:dyDescent="0.2">
      <c r="A2450" s="76"/>
      <c r="B2450" s="77"/>
      <c r="C2450" s="78"/>
      <c r="D2450" s="81"/>
      <c r="E2450" s="81"/>
      <c r="F2450" s="79">
        <f t="shared" si="49"/>
        <v>0</v>
      </c>
      <c r="G2450" s="78"/>
    </row>
    <row r="2451" spans="1:7" x14ac:dyDescent="0.2">
      <c r="A2451" s="76"/>
      <c r="B2451" s="77"/>
      <c r="C2451" s="78"/>
      <c r="D2451" s="81"/>
      <c r="E2451" s="81"/>
      <c r="F2451" s="79">
        <f t="shared" si="49"/>
        <v>0</v>
      </c>
      <c r="G2451" s="78"/>
    </row>
    <row r="2452" spans="1:7" x14ac:dyDescent="0.2">
      <c r="A2452" s="76"/>
      <c r="B2452" s="77"/>
      <c r="C2452" s="78"/>
      <c r="D2452" s="81"/>
      <c r="E2452" s="81"/>
      <c r="F2452" s="79">
        <f t="shared" si="49"/>
        <v>0</v>
      </c>
      <c r="G2452" s="78"/>
    </row>
    <row r="2453" spans="1:7" x14ac:dyDescent="0.2">
      <c r="A2453" s="76"/>
      <c r="B2453" s="77"/>
      <c r="C2453" s="78"/>
      <c r="D2453" s="81"/>
      <c r="E2453" s="81"/>
      <c r="F2453" s="79">
        <f t="shared" si="49"/>
        <v>0</v>
      </c>
      <c r="G2453" s="78"/>
    </row>
    <row r="2454" spans="1:7" x14ac:dyDescent="0.2">
      <c r="A2454" s="76"/>
      <c r="B2454" s="77"/>
      <c r="C2454" s="78"/>
      <c r="D2454" s="81"/>
      <c r="E2454" s="81"/>
      <c r="F2454" s="79">
        <f t="shared" si="49"/>
        <v>0</v>
      </c>
      <c r="G2454" s="78"/>
    </row>
    <row r="2455" spans="1:7" x14ac:dyDescent="0.2">
      <c r="A2455" s="76"/>
      <c r="B2455" s="77"/>
      <c r="C2455" s="78"/>
      <c r="D2455" s="81"/>
      <c r="E2455" s="81"/>
      <c r="F2455" s="79">
        <f t="shared" si="49"/>
        <v>0</v>
      </c>
      <c r="G2455" s="78"/>
    </row>
    <row r="2456" spans="1:7" x14ac:dyDescent="0.2">
      <c r="A2456" s="76"/>
      <c r="B2456" s="77"/>
      <c r="C2456" s="78"/>
      <c r="D2456" s="81"/>
      <c r="E2456" s="81"/>
      <c r="F2456" s="79">
        <f t="shared" si="49"/>
        <v>0</v>
      </c>
      <c r="G2456" s="78"/>
    </row>
    <row r="2457" spans="1:7" x14ac:dyDescent="0.2">
      <c r="A2457" s="76"/>
      <c r="B2457" s="85"/>
      <c r="C2457" s="78"/>
      <c r="D2457" s="81"/>
      <c r="E2457" s="81"/>
      <c r="F2457" s="79">
        <f t="shared" si="49"/>
        <v>0</v>
      </c>
      <c r="G2457" s="78"/>
    </row>
    <row r="2458" spans="1:7" x14ac:dyDescent="0.2">
      <c r="A2458" s="76"/>
      <c r="B2458" s="77"/>
      <c r="C2458" s="78"/>
      <c r="D2458" s="81"/>
      <c r="E2458" s="81"/>
      <c r="F2458" s="79">
        <f t="shared" si="49"/>
        <v>0</v>
      </c>
      <c r="G2458" s="78"/>
    </row>
    <row r="2459" spans="1:7" x14ac:dyDescent="0.2">
      <c r="A2459" s="76"/>
      <c r="B2459" s="77"/>
      <c r="C2459" s="78"/>
      <c r="D2459" s="81"/>
      <c r="E2459" s="81"/>
      <c r="F2459" s="79">
        <f t="shared" si="49"/>
        <v>0</v>
      </c>
      <c r="G2459" s="78"/>
    </row>
    <row r="2460" spans="1:7" ht="15" x14ac:dyDescent="0.2">
      <c r="A2460" s="76"/>
      <c r="B2460" s="88"/>
      <c r="C2460" s="78"/>
      <c r="D2460" s="81"/>
      <c r="E2460" s="81"/>
      <c r="F2460" s="79">
        <f t="shared" si="49"/>
        <v>0</v>
      </c>
      <c r="G2460" s="78"/>
    </row>
    <row r="2461" spans="1:7" x14ac:dyDescent="0.2">
      <c r="A2461" s="76"/>
      <c r="B2461" s="77"/>
      <c r="C2461" s="78"/>
      <c r="D2461" s="81"/>
      <c r="E2461" s="81"/>
      <c r="F2461" s="79">
        <f t="shared" si="49"/>
        <v>0</v>
      </c>
      <c r="G2461" s="78"/>
    </row>
    <row r="2462" spans="1:7" x14ac:dyDescent="0.2">
      <c r="A2462" s="76"/>
      <c r="B2462" s="77"/>
      <c r="C2462" s="78"/>
      <c r="D2462" s="81"/>
      <c r="E2462" s="81"/>
      <c r="F2462" s="79">
        <f t="shared" si="49"/>
        <v>0</v>
      </c>
      <c r="G2462" s="78"/>
    </row>
    <row r="2463" spans="1:7" x14ac:dyDescent="0.2">
      <c r="A2463" s="76"/>
      <c r="B2463" s="77"/>
      <c r="C2463" s="78"/>
      <c r="D2463" s="81"/>
      <c r="E2463" s="81"/>
      <c r="F2463" s="79">
        <f t="shared" si="49"/>
        <v>0</v>
      </c>
      <c r="G2463" s="78"/>
    </row>
    <row r="2464" spans="1:7" x14ac:dyDescent="0.2">
      <c r="A2464" s="76"/>
      <c r="B2464" s="77"/>
      <c r="C2464" s="78"/>
      <c r="D2464" s="81"/>
      <c r="E2464" s="81"/>
      <c r="F2464" s="79">
        <f t="shared" si="49"/>
        <v>0</v>
      </c>
      <c r="G2464" s="78"/>
    </row>
    <row r="2465" spans="1:7" x14ac:dyDescent="0.2">
      <c r="A2465" s="76"/>
      <c r="B2465" s="77"/>
      <c r="C2465" s="78"/>
      <c r="D2465" s="81"/>
      <c r="E2465" s="81"/>
      <c r="F2465" s="79">
        <f t="shared" si="49"/>
        <v>0</v>
      </c>
      <c r="G2465" s="78"/>
    </row>
    <row r="2466" spans="1:7" x14ac:dyDescent="0.2">
      <c r="A2466" s="76"/>
      <c r="B2466" s="77"/>
      <c r="C2466" s="78"/>
      <c r="D2466" s="81"/>
      <c r="E2466" s="81"/>
      <c r="F2466" s="79">
        <f t="shared" si="49"/>
        <v>0</v>
      </c>
      <c r="G2466" s="78"/>
    </row>
    <row r="2467" spans="1:7" x14ac:dyDescent="0.2">
      <c r="A2467" s="76"/>
      <c r="B2467" s="77"/>
      <c r="C2467" s="78"/>
      <c r="D2467" s="81"/>
      <c r="E2467" s="81"/>
      <c r="F2467" s="79">
        <f t="shared" si="49"/>
        <v>0</v>
      </c>
      <c r="G2467" s="78"/>
    </row>
    <row r="2468" spans="1:7" x14ac:dyDescent="0.2">
      <c r="A2468" s="76"/>
      <c r="B2468" s="77"/>
      <c r="C2468" s="78"/>
      <c r="D2468" s="81"/>
      <c r="E2468" s="81"/>
      <c r="F2468" s="79">
        <f t="shared" si="49"/>
        <v>0</v>
      </c>
      <c r="G2468" s="78"/>
    </row>
    <row r="2469" spans="1:7" x14ac:dyDescent="0.2">
      <c r="A2469" s="76"/>
      <c r="B2469" s="77"/>
      <c r="C2469" s="78"/>
      <c r="D2469" s="81"/>
      <c r="E2469" s="81"/>
      <c r="F2469" s="79">
        <f t="shared" si="49"/>
        <v>0</v>
      </c>
      <c r="G2469" s="78"/>
    </row>
    <row r="2470" spans="1:7" x14ac:dyDescent="0.2">
      <c r="A2470" s="76"/>
      <c r="B2470" s="77"/>
      <c r="C2470" s="78"/>
      <c r="D2470" s="81"/>
      <c r="E2470" s="81"/>
      <c r="F2470" s="79">
        <f t="shared" si="49"/>
        <v>0</v>
      </c>
      <c r="G2470" s="78"/>
    </row>
    <row r="2471" spans="1:7" x14ac:dyDescent="0.2">
      <c r="A2471" s="76"/>
      <c r="B2471" s="77"/>
      <c r="C2471" s="78"/>
      <c r="D2471" s="81"/>
      <c r="E2471" s="81"/>
      <c r="F2471" s="79">
        <f t="shared" si="49"/>
        <v>0</v>
      </c>
      <c r="G2471" s="78"/>
    </row>
    <row r="2472" spans="1:7" x14ac:dyDescent="0.2">
      <c r="A2472" s="76"/>
      <c r="B2472" s="77"/>
      <c r="C2472" s="78"/>
      <c r="D2472" s="81"/>
      <c r="E2472" s="81"/>
      <c r="F2472" s="79">
        <f t="shared" si="49"/>
        <v>0</v>
      </c>
      <c r="G2472" s="78"/>
    </row>
    <row r="2473" spans="1:7" x14ac:dyDescent="0.2">
      <c r="A2473" s="76"/>
      <c r="B2473" s="77"/>
      <c r="C2473" s="78"/>
      <c r="D2473" s="81"/>
      <c r="E2473" s="81"/>
      <c r="F2473" s="79">
        <f t="shared" si="49"/>
        <v>0</v>
      </c>
      <c r="G2473" s="78"/>
    </row>
    <row r="2474" spans="1:7" x14ac:dyDescent="0.2">
      <c r="A2474" s="76"/>
      <c r="B2474" s="77"/>
      <c r="C2474" s="78"/>
      <c r="D2474" s="81"/>
      <c r="E2474" s="81"/>
      <c r="F2474" s="79">
        <f t="shared" si="49"/>
        <v>0</v>
      </c>
      <c r="G2474" s="78"/>
    </row>
    <row r="2475" spans="1:7" x14ac:dyDescent="0.2">
      <c r="A2475" s="76"/>
      <c r="B2475" s="77"/>
      <c r="C2475" s="78"/>
      <c r="D2475" s="81"/>
      <c r="E2475" s="81"/>
      <c r="F2475" s="79">
        <f t="shared" si="49"/>
        <v>0</v>
      </c>
      <c r="G2475" s="78"/>
    </row>
    <row r="2476" spans="1:7" x14ac:dyDescent="0.2">
      <c r="A2476" s="76"/>
      <c r="B2476" s="77"/>
      <c r="C2476" s="78"/>
      <c r="D2476" s="81"/>
      <c r="E2476" s="81"/>
      <c r="F2476" s="79">
        <f t="shared" si="49"/>
        <v>0</v>
      </c>
      <c r="G2476" s="78"/>
    </row>
    <row r="2477" spans="1:7" x14ac:dyDescent="0.2">
      <c r="A2477" s="76"/>
      <c r="B2477" s="77"/>
      <c r="C2477" s="78"/>
      <c r="D2477" s="81"/>
      <c r="E2477" s="81"/>
      <c r="F2477" s="79">
        <f t="shared" ref="F2477:F2524" si="50">E2477-D2477</f>
        <v>0</v>
      </c>
      <c r="G2477" s="78"/>
    </row>
    <row r="2478" spans="1:7" x14ac:dyDescent="0.2">
      <c r="A2478" s="76"/>
      <c r="B2478" s="77"/>
      <c r="C2478" s="78"/>
      <c r="D2478" s="81"/>
      <c r="E2478" s="81"/>
      <c r="F2478" s="79">
        <f t="shared" si="50"/>
        <v>0</v>
      </c>
      <c r="G2478" s="78"/>
    </row>
    <row r="2479" spans="1:7" x14ac:dyDescent="0.2">
      <c r="A2479" s="76"/>
      <c r="B2479" s="77"/>
      <c r="C2479" s="78"/>
      <c r="D2479" s="81"/>
      <c r="E2479" s="81"/>
      <c r="F2479" s="79">
        <f t="shared" si="50"/>
        <v>0</v>
      </c>
      <c r="G2479" s="78"/>
    </row>
    <row r="2480" spans="1:7" x14ac:dyDescent="0.2">
      <c r="A2480" s="76"/>
      <c r="B2480" s="77"/>
      <c r="C2480" s="78"/>
      <c r="D2480" s="81"/>
      <c r="E2480" s="81"/>
      <c r="F2480" s="79">
        <f t="shared" si="50"/>
        <v>0</v>
      </c>
      <c r="G2480" s="78"/>
    </row>
    <row r="2481" spans="1:7" x14ac:dyDescent="0.2">
      <c r="A2481" s="76"/>
      <c r="B2481" s="77"/>
      <c r="C2481" s="78"/>
      <c r="D2481" s="81"/>
      <c r="E2481" s="81"/>
      <c r="F2481" s="79">
        <f t="shared" si="50"/>
        <v>0</v>
      </c>
      <c r="G2481" s="78"/>
    </row>
    <row r="2482" spans="1:7" x14ac:dyDescent="0.2">
      <c r="A2482" s="76"/>
      <c r="B2482" s="77"/>
      <c r="C2482" s="78"/>
      <c r="D2482" s="81"/>
      <c r="E2482" s="81"/>
      <c r="F2482" s="79">
        <f t="shared" si="50"/>
        <v>0</v>
      </c>
      <c r="G2482" s="78"/>
    </row>
    <row r="2483" spans="1:7" x14ac:dyDescent="0.2">
      <c r="A2483" s="76"/>
      <c r="B2483" s="77"/>
      <c r="C2483" s="78"/>
      <c r="D2483" s="81"/>
      <c r="E2483" s="81"/>
      <c r="F2483" s="79">
        <f t="shared" si="50"/>
        <v>0</v>
      </c>
      <c r="G2483" s="78"/>
    </row>
    <row r="2484" spans="1:7" ht="15" x14ac:dyDescent="0.2">
      <c r="A2484" s="76"/>
      <c r="B2484" s="88"/>
      <c r="C2484" s="78"/>
      <c r="D2484" s="81"/>
      <c r="E2484" s="81"/>
      <c r="F2484" s="79">
        <f t="shared" si="50"/>
        <v>0</v>
      </c>
      <c r="G2484" s="78"/>
    </row>
    <row r="2485" spans="1:7" x14ac:dyDescent="0.2">
      <c r="A2485" s="76"/>
      <c r="B2485" s="77"/>
      <c r="C2485" s="78"/>
      <c r="D2485" s="81"/>
      <c r="E2485" s="81"/>
      <c r="F2485" s="79">
        <f t="shared" si="50"/>
        <v>0</v>
      </c>
      <c r="G2485" s="78"/>
    </row>
    <row r="2486" spans="1:7" x14ac:dyDescent="0.2">
      <c r="A2486" s="76"/>
      <c r="B2486" s="77"/>
      <c r="C2486" s="78"/>
      <c r="D2486" s="81"/>
      <c r="E2486" s="81"/>
      <c r="F2486" s="79">
        <f t="shared" si="50"/>
        <v>0</v>
      </c>
      <c r="G2486" s="78"/>
    </row>
    <row r="2487" spans="1:7" ht="15" x14ac:dyDescent="0.2">
      <c r="A2487" s="76"/>
      <c r="B2487" s="88"/>
      <c r="C2487" s="78"/>
      <c r="D2487" s="81"/>
      <c r="E2487" s="81"/>
      <c r="F2487" s="79">
        <f t="shared" si="50"/>
        <v>0</v>
      </c>
      <c r="G2487" s="78"/>
    </row>
    <row r="2488" spans="1:7" x14ac:dyDescent="0.2">
      <c r="A2488" s="76"/>
      <c r="B2488" s="77"/>
      <c r="C2488" s="78"/>
      <c r="D2488" s="81"/>
      <c r="E2488" s="81"/>
      <c r="F2488" s="79">
        <f t="shared" si="50"/>
        <v>0</v>
      </c>
      <c r="G2488" s="78"/>
    </row>
    <row r="2489" spans="1:7" x14ac:dyDescent="0.2">
      <c r="A2489" s="76"/>
      <c r="B2489" s="77"/>
      <c r="C2489" s="78"/>
      <c r="D2489" s="81"/>
      <c r="E2489" s="81"/>
      <c r="F2489" s="79">
        <f t="shared" si="50"/>
        <v>0</v>
      </c>
      <c r="G2489" s="78"/>
    </row>
    <row r="2490" spans="1:7" x14ac:dyDescent="0.2">
      <c r="A2490" s="76"/>
      <c r="B2490" s="77"/>
      <c r="C2490" s="78"/>
      <c r="D2490" s="81"/>
      <c r="E2490" s="81"/>
      <c r="F2490" s="79">
        <f t="shared" si="50"/>
        <v>0</v>
      </c>
      <c r="G2490" s="78"/>
    </row>
    <row r="2491" spans="1:7" x14ac:dyDescent="0.2">
      <c r="A2491" s="76"/>
      <c r="B2491" s="77"/>
      <c r="C2491" s="78"/>
      <c r="D2491" s="81"/>
      <c r="E2491" s="81"/>
      <c r="F2491" s="79">
        <f t="shared" si="50"/>
        <v>0</v>
      </c>
      <c r="G2491" s="78"/>
    </row>
    <row r="2492" spans="1:7" x14ac:dyDescent="0.2">
      <c r="A2492" s="76"/>
      <c r="B2492" s="77"/>
      <c r="C2492" s="78"/>
      <c r="D2492" s="81"/>
      <c r="E2492" s="81"/>
      <c r="F2492" s="79">
        <f t="shared" si="50"/>
        <v>0</v>
      </c>
      <c r="G2492" s="78"/>
    </row>
    <row r="2493" spans="1:7" x14ac:dyDescent="0.2">
      <c r="A2493" s="76"/>
      <c r="B2493" s="77"/>
      <c r="C2493" s="78"/>
      <c r="D2493" s="81"/>
      <c r="E2493" s="81"/>
      <c r="F2493" s="79">
        <f t="shared" si="50"/>
        <v>0</v>
      </c>
      <c r="G2493" s="78"/>
    </row>
    <row r="2494" spans="1:7" x14ac:dyDescent="0.2">
      <c r="A2494" s="76"/>
      <c r="B2494" s="77"/>
      <c r="C2494" s="78"/>
      <c r="D2494" s="81"/>
      <c r="E2494" s="81"/>
      <c r="F2494" s="79">
        <f t="shared" si="50"/>
        <v>0</v>
      </c>
      <c r="G2494" s="78"/>
    </row>
    <row r="2495" spans="1:7" x14ac:dyDescent="0.2">
      <c r="A2495" s="76"/>
      <c r="B2495" s="77"/>
      <c r="C2495" s="78"/>
      <c r="D2495" s="81"/>
      <c r="E2495" s="81"/>
      <c r="F2495" s="79">
        <f t="shared" si="50"/>
        <v>0</v>
      </c>
      <c r="G2495" s="78"/>
    </row>
    <row r="2496" spans="1:7" x14ac:dyDescent="0.2">
      <c r="A2496" s="76"/>
      <c r="B2496" s="77"/>
      <c r="C2496" s="78"/>
      <c r="D2496" s="81"/>
      <c r="E2496" s="81"/>
      <c r="F2496" s="79">
        <f t="shared" si="50"/>
        <v>0</v>
      </c>
      <c r="G2496" s="78"/>
    </row>
    <row r="2497" spans="1:7" x14ac:dyDescent="0.2">
      <c r="A2497" s="76"/>
      <c r="B2497" s="77"/>
      <c r="C2497" s="78"/>
      <c r="D2497" s="81"/>
      <c r="E2497" s="81"/>
      <c r="F2497" s="79">
        <f t="shared" si="50"/>
        <v>0</v>
      </c>
      <c r="G2497" s="78"/>
    </row>
    <row r="2498" spans="1:7" x14ac:dyDescent="0.2">
      <c r="A2498" s="76"/>
      <c r="B2498" s="77"/>
      <c r="C2498" s="78"/>
      <c r="D2498" s="81"/>
      <c r="E2498" s="81"/>
      <c r="F2498" s="79">
        <f t="shared" si="50"/>
        <v>0</v>
      </c>
      <c r="G2498" s="78"/>
    </row>
    <row r="2499" spans="1:7" x14ac:dyDescent="0.2">
      <c r="A2499" s="76"/>
      <c r="B2499" s="77"/>
      <c r="C2499" s="78"/>
      <c r="D2499" s="81"/>
      <c r="E2499" s="81"/>
      <c r="F2499" s="79">
        <f t="shared" si="50"/>
        <v>0</v>
      </c>
      <c r="G2499" s="78"/>
    </row>
    <row r="2500" spans="1:7" x14ac:dyDescent="0.2">
      <c r="A2500" s="76"/>
      <c r="B2500" s="77"/>
      <c r="C2500" s="78"/>
      <c r="D2500" s="81"/>
      <c r="E2500" s="81"/>
      <c r="F2500" s="79">
        <f t="shared" si="50"/>
        <v>0</v>
      </c>
      <c r="G2500" s="78"/>
    </row>
    <row r="2501" spans="1:7" x14ac:dyDescent="0.2">
      <c r="A2501" s="76"/>
      <c r="B2501" s="77"/>
      <c r="C2501" s="78"/>
      <c r="D2501" s="81"/>
      <c r="E2501" s="81"/>
      <c r="F2501" s="79">
        <f t="shared" si="50"/>
        <v>0</v>
      </c>
      <c r="G2501" s="78"/>
    </row>
    <row r="2502" spans="1:7" x14ac:dyDescent="0.2">
      <c r="A2502" s="76"/>
      <c r="B2502" s="77"/>
      <c r="C2502" s="78"/>
      <c r="D2502" s="81"/>
      <c r="E2502" s="81"/>
      <c r="F2502" s="79">
        <f t="shared" si="50"/>
        <v>0</v>
      </c>
      <c r="G2502" s="78"/>
    </row>
    <row r="2503" spans="1:7" x14ac:dyDescent="0.2">
      <c r="A2503" s="76"/>
      <c r="B2503" s="77"/>
      <c r="C2503" s="78"/>
      <c r="D2503" s="81"/>
      <c r="E2503" s="81"/>
      <c r="F2503" s="79">
        <f t="shared" si="50"/>
        <v>0</v>
      </c>
      <c r="G2503" s="78"/>
    </row>
    <row r="2504" spans="1:7" x14ac:dyDescent="0.2">
      <c r="A2504" s="76"/>
      <c r="B2504" s="77"/>
      <c r="C2504" s="78"/>
      <c r="D2504" s="81"/>
      <c r="E2504" s="81"/>
      <c r="F2504" s="79">
        <f t="shared" si="50"/>
        <v>0</v>
      </c>
      <c r="G2504" s="78"/>
    </row>
    <row r="2505" spans="1:7" x14ac:dyDescent="0.2">
      <c r="A2505" s="76"/>
      <c r="B2505" s="77"/>
      <c r="C2505" s="78"/>
      <c r="D2505" s="81"/>
      <c r="E2505" s="81"/>
      <c r="F2505" s="79">
        <f t="shared" si="50"/>
        <v>0</v>
      </c>
      <c r="G2505" s="78"/>
    </row>
    <row r="2506" spans="1:7" x14ac:dyDescent="0.2">
      <c r="A2506" s="76"/>
      <c r="B2506" s="77"/>
      <c r="C2506" s="78"/>
      <c r="D2506" s="81"/>
      <c r="E2506" s="81"/>
      <c r="F2506" s="79">
        <f t="shared" si="50"/>
        <v>0</v>
      </c>
      <c r="G2506" s="78"/>
    </row>
    <row r="2507" spans="1:7" x14ac:dyDescent="0.2">
      <c r="A2507" s="76"/>
      <c r="B2507" s="77"/>
      <c r="C2507" s="78"/>
      <c r="D2507" s="81"/>
      <c r="E2507" s="81"/>
      <c r="F2507" s="79">
        <f t="shared" si="50"/>
        <v>0</v>
      </c>
      <c r="G2507" s="78"/>
    </row>
    <row r="2508" spans="1:7" x14ac:dyDescent="0.2">
      <c r="A2508" s="76"/>
      <c r="B2508" s="77"/>
      <c r="C2508" s="78"/>
      <c r="D2508" s="81"/>
      <c r="E2508" s="81"/>
      <c r="F2508" s="79">
        <f t="shared" si="50"/>
        <v>0</v>
      </c>
      <c r="G2508" s="78"/>
    </row>
    <row r="2509" spans="1:7" x14ac:dyDescent="0.2">
      <c r="A2509" s="76"/>
      <c r="B2509" s="77"/>
      <c r="C2509" s="78"/>
      <c r="D2509" s="81"/>
      <c r="E2509" s="81"/>
      <c r="F2509" s="79">
        <f t="shared" si="50"/>
        <v>0</v>
      </c>
      <c r="G2509" s="78"/>
    </row>
    <row r="2510" spans="1:7" x14ac:dyDescent="0.2">
      <c r="A2510" s="76"/>
      <c r="B2510" s="77"/>
      <c r="C2510" s="78"/>
      <c r="D2510" s="81"/>
      <c r="E2510" s="81"/>
      <c r="F2510" s="79">
        <f t="shared" si="50"/>
        <v>0</v>
      </c>
      <c r="G2510" s="78"/>
    </row>
    <row r="2511" spans="1:7" x14ac:dyDescent="0.2">
      <c r="A2511" s="76"/>
      <c r="B2511" s="77"/>
      <c r="C2511" s="78"/>
      <c r="D2511" s="81"/>
      <c r="E2511" s="81"/>
      <c r="F2511" s="79">
        <f t="shared" si="50"/>
        <v>0</v>
      </c>
      <c r="G2511" s="78"/>
    </row>
    <row r="2512" spans="1:7" x14ac:dyDescent="0.2">
      <c r="A2512" s="76"/>
      <c r="B2512" s="77"/>
      <c r="C2512" s="78"/>
      <c r="D2512" s="81"/>
      <c r="E2512" s="81"/>
      <c r="F2512" s="79">
        <f t="shared" si="50"/>
        <v>0</v>
      </c>
      <c r="G2512" s="78"/>
    </row>
    <row r="2513" spans="1:7" x14ac:dyDescent="0.2">
      <c r="A2513" s="76"/>
      <c r="B2513" s="77"/>
      <c r="C2513" s="78"/>
      <c r="D2513" s="81"/>
      <c r="E2513" s="81"/>
      <c r="F2513" s="79">
        <f t="shared" si="50"/>
        <v>0</v>
      </c>
      <c r="G2513" s="78"/>
    </row>
    <row r="2514" spans="1:7" x14ac:dyDescent="0.2">
      <c r="A2514" s="76"/>
      <c r="B2514" s="77"/>
      <c r="C2514" s="78"/>
      <c r="D2514" s="81"/>
      <c r="E2514" s="81"/>
      <c r="F2514" s="79">
        <f t="shared" si="50"/>
        <v>0</v>
      </c>
      <c r="G2514" s="78"/>
    </row>
    <row r="2515" spans="1:7" x14ac:dyDescent="0.2">
      <c r="A2515" s="76"/>
      <c r="B2515" s="77"/>
      <c r="C2515" s="78"/>
      <c r="D2515" s="81"/>
      <c r="E2515" s="81"/>
      <c r="F2515" s="79">
        <f t="shared" si="50"/>
        <v>0</v>
      </c>
      <c r="G2515" s="78"/>
    </row>
    <row r="2516" spans="1:7" x14ac:dyDescent="0.2">
      <c r="A2516" s="76"/>
      <c r="B2516" s="77"/>
      <c r="C2516" s="78"/>
      <c r="D2516" s="81"/>
      <c r="E2516" s="81"/>
      <c r="F2516" s="79">
        <f t="shared" si="50"/>
        <v>0</v>
      </c>
      <c r="G2516" s="78"/>
    </row>
    <row r="2517" spans="1:7" x14ac:dyDescent="0.2">
      <c r="A2517" s="76"/>
      <c r="B2517" s="77"/>
      <c r="C2517" s="78"/>
      <c r="D2517" s="81"/>
      <c r="E2517" s="81"/>
      <c r="F2517" s="79">
        <f t="shared" si="50"/>
        <v>0</v>
      </c>
      <c r="G2517" s="78"/>
    </row>
    <row r="2518" spans="1:7" x14ac:dyDescent="0.2">
      <c r="A2518" s="76"/>
      <c r="B2518" s="77"/>
      <c r="C2518" s="78"/>
      <c r="D2518" s="81"/>
      <c r="E2518" s="81"/>
      <c r="F2518" s="79">
        <f t="shared" si="50"/>
        <v>0</v>
      </c>
      <c r="G2518" s="78"/>
    </row>
    <row r="2519" spans="1:7" x14ac:dyDescent="0.2">
      <c r="A2519" s="76"/>
      <c r="B2519" s="77"/>
      <c r="C2519" s="78"/>
      <c r="D2519" s="81"/>
      <c r="E2519" s="81"/>
      <c r="F2519" s="79">
        <f t="shared" si="50"/>
        <v>0</v>
      </c>
      <c r="G2519" s="78"/>
    </row>
    <row r="2520" spans="1:7" x14ac:dyDescent="0.2">
      <c r="A2520" s="76"/>
      <c r="B2520" s="77"/>
      <c r="C2520" s="78"/>
      <c r="D2520" s="81"/>
      <c r="E2520" s="81"/>
      <c r="F2520" s="79">
        <f t="shared" si="50"/>
        <v>0</v>
      </c>
      <c r="G2520" s="78"/>
    </row>
    <row r="2521" spans="1:7" x14ac:dyDescent="0.2">
      <c r="A2521" s="76"/>
      <c r="B2521" s="77"/>
      <c r="C2521" s="78"/>
      <c r="D2521" s="81"/>
      <c r="E2521" s="81"/>
      <c r="F2521" s="79">
        <f t="shared" si="50"/>
        <v>0</v>
      </c>
      <c r="G2521" s="78"/>
    </row>
    <row r="2522" spans="1:7" x14ac:dyDescent="0.2">
      <c r="A2522" s="76"/>
      <c r="B2522" s="77"/>
      <c r="C2522" s="78"/>
      <c r="D2522" s="81"/>
      <c r="E2522" s="81"/>
      <c r="F2522" s="79">
        <f t="shared" si="50"/>
        <v>0</v>
      </c>
      <c r="G2522" s="78"/>
    </row>
    <row r="2523" spans="1:7" x14ac:dyDescent="0.2">
      <c r="A2523" s="76"/>
      <c r="B2523" s="77"/>
      <c r="C2523" s="78"/>
      <c r="D2523" s="81"/>
      <c r="E2523" s="81"/>
      <c r="F2523" s="79">
        <f t="shared" si="50"/>
        <v>0</v>
      </c>
      <c r="G2523" s="78"/>
    </row>
    <row r="2524" spans="1:7" x14ac:dyDescent="0.2">
      <c r="A2524" s="76"/>
      <c r="B2524" s="77"/>
      <c r="C2524" s="78"/>
      <c r="D2524" s="81"/>
      <c r="E2524" s="81"/>
      <c r="F2524" s="79">
        <f t="shared" si="50"/>
        <v>0</v>
      </c>
      <c r="G2524" s="78"/>
    </row>
    <row r="2525" spans="1:7" x14ac:dyDescent="0.2">
      <c r="A2525" s="76"/>
      <c r="B2525" s="77"/>
      <c r="C2525" s="78"/>
      <c r="D2525" s="81"/>
      <c r="E2525" s="81"/>
      <c r="F2525" s="79">
        <f t="shared" ref="F2525:F2539" si="51">E2525-D2525</f>
        <v>0</v>
      </c>
      <c r="G2525" s="78"/>
    </row>
    <row r="2526" spans="1:7" x14ac:dyDescent="0.2">
      <c r="A2526" s="76"/>
      <c r="B2526" s="77"/>
      <c r="C2526" s="78"/>
      <c r="D2526" s="81"/>
      <c r="E2526" s="81"/>
      <c r="F2526" s="79">
        <f t="shared" si="51"/>
        <v>0</v>
      </c>
      <c r="G2526" s="78"/>
    </row>
    <row r="2527" spans="1:7" x14ac:dyDescent="0.2">
      <c r="A2527" s="76"/>
      <c r="B2527" s="77"/>
      <c r="C2527" s="78"/>
      <c r="D2527" s="81"/>
      <c r="E2527" s="81"/>
      <c r="F2527" s="79">
        <f t="shared" si="51"/>
        <v>0</v>
      </c>
      <c r="G2527" s="78"/>
    </row>
    <row r="2528" spans="1:7" x14ac:dyDescent="0.2">
      <c r="A2528" s="76"/>
      <c r="B2528" s="77"/>
      <c r="C2528" s="78"/>
      <c r="D2528" s="81"/>
      <c r="E2528" s="81"/>
      <c r="F2528" s="79">
        <f t="shared" si="51"/>
        <v>0</v>
      </c>
      <c r="G2528" s="78"/>
    </row>
    <row r="2529" spans="1:7" x14ac:dyDescent="0.2">
      <c r="A2529" s="76"/>
      <c r="B2529" s="77"/>
      <c r="C2529" s="78"/>
      <c r="D2529" s="81"/>
      <c r="E2529" s="81"/>
      <c r="F2529" s="79">
        <f t="shared" si="51"/>
        <v>0</v>
      </c>
      <c r="G2529" s="78"/>
    </row>
    <row r="2530" spans="1:7" x14ac:dyDescent="0.2">
      <c r="A2530" s="76"/>
      <c r="B2530" s="77"/>
      <c r="C2530" s="78"/>
      <c r="D2530" s="81"/>
      <c r="E2530" s="81"/>
      <c r="F2530" s="79">
        <f t="shared" si="51"/>
        <v>0</v>
      </c>
      <c r="G2530" s="78"/>
    </row>
    <row r="2531" spans="1:7" x14ac:dyDescent="0.2">
      <c r="A2531" s="76"/>
      <c r="B2531" s="77"/>
      <c r="C2531" s="78"/>
      <c r="D2531" s="81"/>
      <c r="E2531" s="81"/>
      <c r="F2531" s="79">
        <f t="shared" si="51"/>
        <v>0</v>
      </c>
      <c r="G2531" s="78"/>
    </row>
    <row r="2532" spans="1:7" x14ac:dyDescent="0.2">
      <c r="A2532" s="76"/>
      <c r="B2532" s="77"/>
      <c r="C2532" s="78"/>
      <c r="D2532" s="81"/>
      <c r="E2532" s="81"/>
      <c r="F2532" s="79">
        <f t="shared" si="51"/>
        <v>0</v>
      </c>
      <c r="G2532" s="78"/>
    </row>
    <row r="2533" spans="1:7" x14ac:dyDescent="0.2">
      <c r="A2533" s="76"/>
      <c r="B2533" s="77"/>
      <c r="C2533" s="78"/>
      <c r="D2533" s="81"/>
      <c r="E2533" s="81"/>
      <c r="F2533" s="79">
        <f t="shared" si="51"/>
        <v>0</v>
      </c>
      <c r="G2533" s="78"/>
    </row>
    <row r="2534" spans="1:7" x14ac:dyDescent="0.2">
      <c r="A2534" s="76"/>
      <c r="B2534" s="77"/>
      <c r="C2534" s="78"/>
      <c r="D2534" s="81"/>
      <c r="E2534" s="81"/>
      <c r="F2534" s="79">
        <f t="shared" si="51"/>
        <v>0</v>
      </c>
      <c r="G2534" s="78"/>
    </row>
    <row r="2535" spans="1:7" x14ac:dyDescent="0.2">
      <c r="A2535" s="76"/>
      <c r="B2535" s="77"/>
      <c r="C2535" s="78"/>
      <c r="D2535" s="81"/>
      <c r="E2535" s="81"/>
      <c r="F2535" s="79">
        <f t="shared" si="51"/>
        <v>0</v>
      </c>
      <c r="G2535" s="78"/>
    </row>
    <row r="2536" spans="1:7" x14ac:dyDescent="0.2">
      <c r="A2536" s="76"/>
      <c r="B2536" s="77"/>
      <c r="C2536" s="78"/>
      <c r="D2536" s="81"/>
      <c r="E2536" s="81"/>
      <c r="F2536" s="79">
        <f t="shared" si="51"/>
        <v>0</v>
      </c>
      <c r="G2536" s="78"/>
    </row>
    <row r="2537" spans="1:7" x14ac:dyDescent="0.2">
      <c r="A2537" s="76"/>
      <c r="B2537" s="77"/>
      <c r="C2537" s="78"/>
      <c r="D2537" s="81"/>
      <c r="E2537" s="81"/>
      <c r="F2537" s="79">
        <f t="shared" si="51"/>
        <v>0</v>
      </c>
      <c r="G2537" s="78"/>
    </row>
    <row r="2538" spans="1:7" x14ac:dyDescent="0.2">
      <c r="A2538" s="76"/>
      <c r="B2538" s="77"/>
      <c r="C2538" s="78"/>
      <c r="D2538" s="81"/>
      <c r="E2538" s="81"/>
      <c r="F2538" s="79">
        <f t="shared" si="51"/>
        <v>0</v>
      </c>
      <c r="G2538" s="78"/>
    </row>
    <row r="2539" spans="1:7" x14ac:dyDescent="0.2">
      <c r="A2539" s="76"/>
      <c r="B2539" s="77"/>
      <c r="C2539" s="78"/>
      <c r="D2539" s="81"/>
      <c r="E2539" s="81"/>
      <c r="F2539" s="79">
        <f t="shared" si="51"/>
        <v>0</v>
      </c>
      <c r="G2539" s="78"/>
    </row>
    <row r="2540" spans="1:7" x14ac:dyDescent="0.2">
      <c r="A2540" s="76"/>
      <c r="B2540" s="77"/>
      <c r="C2540" s="78"/>
      <c r="D2540" s="81"/>
      <c r="E2540" s="81"/>
      <c r="F2540" s="79">
        <f t="shared" ref="F2540:F2569" si="52">E2540-D2540</f>
        <v>0</v>
      </c>
      <c r="G2540" s="78"/>
    </row>
    <row r="2541" spans="1:7" x14ac:dyDescent="0.2">
      <c r="A2541" s="76"/>
      <c r="B2541" s="77"/>
      <c r="C2541" s="78"/>
      <c r="D2541" s="81"/>
      <c r="E2541" s="81"/>
      <c r="F2541" s="79">
        <f t="shared" si="52"/>
        <v>0</v>
      </c>
      <c r="G2541" s="78"/>
    </row>
    <row r="2542" spans="1:7" x14ac:dyDescent="0.2">
      <c r="A2542" s="76"/>
      <c r="B2542" s="77"/>
      <c r="C2542" s="78"/>
      <c r="D2542" s="81"/>
      <c r="E2542" s="81"/>
      <c r="F2542" s="79">
        <f t="shared" si="52"/>
        <v>0</v>
      </c>
      <c r="G2542" s="78"/>
    </row>
    <row r="2543" spans="1:7" x14ac:dyDescent="0.2">
      <c r="A2543" s="76"/>
      <c r="B2543" s="77"/>
      <c r="C2543" s="78"/>
      <c r="D2543" s="81"/>
      <c r="E2543" s="81"/>
      <c r="F2543" s="79">
        <f t="shared" si="52"/>
        <v>0</v>
      </c>
      <c r="G2543" s="78"/>
    </row>
    <row r="2544" spans="1:7" x14ac:dyDescent="0.2">
      <c r="A2544" s="76"/>
      <c r="B2544" s="77"/>
      <c r="C2544" s="78"/>
      <c r="D2544" s="81"/>
      <c r="E2544" s="81"/>
      <c r="F2544" s="79">
        <f t="shared" si="52"/>
        <v>0</v>
      </c>
      <c r="G2544" s="78"/>
    </row>
    <row r="2545" spans="1:7" x14ac:dyDescent="0.2">
      <c r="A2545" s="76"/>
      <c r="B2545" s="77"/>
      <c r="C2545" s="78"/>
      <c r="D2545" s="81"/>
      <c r="E2545" s="81"/>
      <c r="F2545" s="79">
        <f t="shared" si="52"/>
        <v>0</v>
      </c>
      <c r="G2545" s="78"/>
    </row>
    <row r="2546" spans="1:7" x14ac:dyDescent="0.2">
      <c r="A2546" s="76"/>
      <c r="B2546" s="77"/>
      <c r="C2546" s="78"/>
      <c r="D2546" s="81"/>
      <c r="E2546" s="81"/>
      <c r="F2546" s="79">
        <f t="shared" si="52"/>
        <v>0</v>
      </c>
      <c r="G2546" s="78"/>
    </row>
    <row r="2547" spans="1:7" x14ac:dyDescent="0.2">
      <c r="A2547" s="76"/>
      <c r="B2547" s="77"/>
      <c r="C2547" s="78"/>
      <c r="D2547" s="81"/>
      <c r="E2547" s="81"/>
      <c r="F2547" s="79">
        <f t="shared" si="52"/>
        <v>0</v>
      </c>
      <c r="G2547" s="78"/>
    </row>
    <row r="2548" spans="1:7" x14ac:dyDescent="0.2">
      <c r="A2548" s="76"/>
      <c r="B2548" s="77"/>
      <c r="C2548" s="78"/>
      <c r="D2548" s="81"/>
      <c r="E2548" s="81"/>
      <c r="F2548" s="79">
        <f t="shared" si="52"/>
        <v>0</v>
      </c>
      <c r="G2548" s="78"/>
    </row>
    <row r="2549" spans="1:7" x14ac:dyDescent="0.2">
      <c r="A2549" s="76"/>
      <c r="B2549" s="77"/>
      <c r="C2549" s="78"/>
      <c r="D2549" s="81"/>
      <c r="E2549" s="81"/>
      <c r="F2549" s="79">
        <f t="shared" si="52"/>
        <v>0</v>
      </c>
      <c r="G2549" s="78"/>
    </row>
    <row r="2550" spans="1:7" x14ac:dyDescent="0.2">
      <c r="A2550" s="76"/>
      <c r="B2550" s="77"/>
      <c r="C2550" s="78"/>
      <c r="D2550" s="81"/>
      <c r="E2550" s="81"/>
      <c r="F2550" s="79">
        <f t="shared" si="52"/>
        <v>0</v>
      </c>
      <c r="G2550" s="78"/>
    </row>
    <row r="2551" spans="1:7" x14ac:dyDescent="0.2">
      <c r="A2551" s="76"/>
      <c r="B2551" s="77"/>
      <c r="C2551" s="78"/>
      <c r="D2551" s="81"/>
      <c r="E2551" s="81"/>
      <c r="F2551" s="79">
        <f t="shared" si="52"/>
        <v>0</v>
      </c>
      <c r="G2551" s="78"/>
    </row>
    <row r="2552" spans="1:7" x14ac:dyDescent="0.2">
      <c r="A2552" s="76"/>
      <c r="B2552" s="77"/>
      <c r="C2552" s="78"/>
      <c r="D2552" s="81"/>
      <c r="E2552" s="81"/>
      <c r="F2552" s="79">
        <f t="shared" si="52"/>
        <v>0</v>
      </c>
      <c r="G2552" s="78"/>
    </row>
    <row r="2553" spans="1:7" x14ac:dyDescent="0.2">
      <c r="A2553" s="76"/>
      <c r="B2553" s="77"/>
      <c r="C2553" s="78"/>
      <c r="D2553" s="81"/>
      <c r="E2553" s="81"/>
      <c r="F2553" s="79">
        <f t="shared" si="52"/>
        <v>0</v>
      </c>
      <c r="G2553" s="78"/>
    </row>
    <row r="2554" spans="1:7" x14ac:dyDescent="0.2">
      <c r="A2554" s="76"/>
      <c r="B2554" s="77"/>
      <c r="C2554" s="78"/>
      <c r="D2554" s="81"/>
      <c r="E2554" s="81"/>
      <c r="F2554" s="79">
        <f t="shared" si="52"/>
        <v>0</v>
      </c>
      <c r="G2554" s="78"/>
    </row>
    <row r="2555" spans="1:7" x14ac:dyDescent="0.2">
      <c r="A2555" s="76"/>
      <c r="B2555" s="77"/>
      <c r="C2555" s="78"/>
      <c r="D2555" s="81"/>
      <c r="E2555" s="81"/>
      <c r="F2555" s="79">
        <f t="shared" si="52"/>
        <v>0</v>
      </c>
      <c r="G2555" s="78"/>
    </row>
    <row r="2556" spans="1:7" x14ac:dyDescent="0.2">
      <c r="A2556" s="76"/>
      <c r="B2556" s="77"/>
      <c r="C2556" s="78"/>
      <c r="D2556" s="81"/>
      <c r="E2556" s="81"/>
      <c r="F2556" s="79">
        <f t="shared" si="52"/>
        <v>0</v>
      </c>
      <c r="G2556" s="78"/>
    </row>
    <row r="2557" spans="1:7" x14ac:dyDescent="0.2">
      <c r="A2557" s="76"/>
      <c r="B2557" s="77"/>
      <c r="C2557" s="78"/>
      <c r="D2557" s="81"/>
      <c r="E2557" s="81"/>
      <c r="F2557" s="79">
        <f t="shared" si="52"/>
        <v>0</v>
      </c>
      <c r="G2557" s="78"/>
    </row>
    <row r="2558" spans="1:7" x14ac:dyDescent="0.2">
      <c r="A2558" s="76"/>
      <c r="B2558" s="77"/>
      <c r="C2558" s="78"/>
      <c r="D2558" s="81"/>
      <c r="E2558" s="81"/>
      <c r="F2558" s="79">
        <f t="shared" si="52"/>
        <v>0</v>
      </c>
      <c r="G2558" s="78"/>
    </row>
    <row r="2559" spans="1:7" x14ac:dyDescent="0.2">
      <c r="A2559" s="76"/>
      <c r="B2559" s="77"/>
      <c r="C2559" s="78"/>
      <c r="D2559" s="81"/>
      <c r="E2559" s="81"/>
      <c r="F2559" s="79">
        <f t="shared" si="52"/>
        <v>0</v>
      </c>
      <c r="G2559" s="78"/>
    </row>
    <row r="2560" spans="1:7" x14ac:dyDescent="0.2">
      <c r="A2560" s="76"/>
      <c r="B2560" s="77"/>
      <c r="C2560" s="78"/>
      <c r="D2560" s="81"/>
      <c r="E2560" s="81"/>
      <c r="F2560" s="79">
        <f t="shared" si="52"/>
        <v>0</v>
      </c>
      <c r="G2560" s="78"/>
    </row>
    <row r="2561" spans="1:7" x14ac:dyDescent="0.2">
      <c r="A2561" s="76"/>
      <c r="B2561" s="77"/>
      <c r="C2561" s="78"/>
      <c r="D2561" s="81"/>
      <c r="E2561" s="81"/>
      <c r="F2561" s="79">
        <f t="shared" si="52"/>
        <v>0</v>
      </c>
      <c r="G2561" s="78"/>
    </row>
    <row r="2562" spans="1:7" x14ac:dyDescent="0.2">
      <c r="A2562" s="76"/>
      <c r="B2562" s="77"/>
      <c r="C2562" s="78"/>
      <c r="D2562" s="81"/>
      <c r="E2562" s="81"/>
      <c r="F2562" s="79">
        <f t="shared" si="52"/>
        <v>0</v>
      </c>
      <c r="G2562" s="78"/>
    </row>
    <row r="2563" spans="1:7" x14ac:dyDescent="0.2">
      <c r="A2563" s="76"/>
      <c r="B2563" s="77"/>
      <c r="C2563" s="78"/>
      <c r="D2563" s="81"/>
      <c r="E2563" s="81"/>
      <c r="F2563" s="79">
        <f t="shared" si="52"/>
        <v>0</v>
      </c>
      <c r="G2563" s="78"/>
    </row>
    <row r="2564" spans="1:7" x14ac:dyDescent="0.2">
      <c r="A2564" s="76"/>
      <c r="B2564" s="77"/>
      <c r="C2564" s="78"/>
      <c r="D2564" s="81"/>
      <c r="E2564" s="81"/>
      <c r="F2564" s="79">
        <f t="shared" si="52"/>
        <v>0</v>
      </c>
      <c r="G2564" s="78"/>
    </row>
    <row r="2565" spans="1:7" x14ac:dyDescent="0.2">
      <c r="A2565" s="76"/>
      <c r="B2565" s="77"/>
      <c r="C2565" s="78"/>
      <c r="D2565" s="81"/>
      <c r="E2565" s="81"/>
      <c r="F2565" s="79">
        <f t="shared" si="52"/>
        <v>0</v>
      </c>
      <c r="G2565" s="78"/>
    </row>
    <row r="2566" spans="1:7" x14ac:dyDescent="0.2">
      <c r="A2566" s="76"/>
      <c r="B2566" s="77"/>
      <c r="C2566" s="78"/>
      <c r="D2566" s="81"/>
      <c r="E2566" s="81"/>
      <c r="F2566" s="79">
        <f t="shared" si="52"/>
        <v>0</v>
      </c>
      <c r="G2566" s="78"/>
    </row>
    <row r="2567" spans="1:7" x14ac:dyDescent="0.2">
      <c r="A2567" s="76"/>
      <c r="B2567" s="77"/>
      <c r="C2567" s="78"/>
      <c r="D2567" s="81"/>
      <c r="E2567" s="81"/>
      <c r="F2567" s="79">
        <f t="shared" si="52"/>
        <v>0</v>
      </c>
      <c r="G2567" s="78"/>
    </row>
    <row r="2568" spans="1:7" x14ac:dyDescent="0.2">
      <c r="A2568" s="76"/>
      <c r="B2568" s="77"/>
      <c r="C2568" s="78"/>
      <c r="D2568" s="81"/>
      <c r="E2568" s="81"/>
      <c r="F2568" s="79">
        <f t="shared" si="52"/>
        <v>0</v>
      </c>
      <c r="G2568" s="78"/>
    </row>
    <row r="2569" spans="1:7" x14ac:dyDescent="0.2">
      <c r="A2569" s="76"/>
      <c r="B2569" s="77"/>
      <c r="C2569" s="78"/>
      <c r="D2569" s="81"/>
      <c r="E2569" s="81"/>
      <c r="F2569" s="79">
        <f t="shared" si="52"/>
        <v>0</v>
      </c>
      <c r="G2569" s="78"/>
    </row>
    <row r="2570" spans="1:7" x14ac:dyDescent="0.2">
      <c r="A2570" s="76"/>
      <c r="B2570" s="77"/>
      <c r="C2570" s="78"/>
      <c r="D2570" s="81"/>
      <c r="E2570" s="81"/>
      <c r="F2570" s="79">
        <f t="shared" ref="F2570:F2611" si="53">E2570-D2570</f>
        <v>0</v>
      </c>
      <c r="G2570" s="78"/>
    </row>
    <row r="2571" spans="1:7" x14ac:dyDescent="0.2">
      <c r="A2571" s="76"/>
      <c r="B2571" s="77"/>
      <c r="C2571" s="78"/>
      <c r="D2571" s="81"/>
      <c r="E2571" s="81"/>
      <c r="F2571" s="79">
        <f t="shared" si="53"/>
        <v>0</v>
      </c>
      <c r="G2571" s="78"/>
    </row>
    <row r="2572" spans="1:7" x14ac:dyDescent="0.2">
      <c r="A2572" s="76"/>
      <c r="B2572" s="77"/>
      <c r="C2572" s="78"/>
      <c r="D2572" s="81"/>
      <c r="E2572" s="81"/>
      <c r="F2572" s="79">
        <f t="shared" si="53"/>
        <v>0</v>
      </c>
      <c r="G2572" s="78"/>
    </row>
    <row r="2573" spans="1:7" x14ac:dyDescent="0.2">
      <c r="A2573" s="76"/>
      <c r="B2573" s="77"/>
      <c r="C2573" s="78"/>
      <c r="D2573" s="81"/>
      <c r="E2573" s="81"/>
      <c r="F2573" s="79">
        <f t="shared" si="53"/>
        <v>0</v>
      </c>
      <c r="G2573" s="78"/>
    </row>
    <row r="2574" spans="1:7" x14ac:dyDescent="0.2">
      <c r="A2574" s="76"/>
      <c r="B2574" s="77"/>
      <c r="C2574" s="78"/>
      <c r="D2574" s="81"/>
      <c r="E2574" s="81"/>
      <c r="F2574" s="79">
        <f t="shared" si="53"/>
        <v>0</v>
      </c>
      <c r="G2574" s="78"/>
    </row>
    <row r="2575" spans="1:7" x14ac:dyDescent="0.2">
      <c r="A2575" s="76"/>
      <c r="B2575" s="77"/>
      <c r="C2575" s="78"/>
      <c r="D2575" s="81"/>
      <c r="E2575" s="81"/>
      <c r="F2575" s="79">
        <f t="shared" si="53"/>
        <v>0</v>
      </c>
      <c r="G2575" s="78"/>
    </row>
    <row r="2576" spans="1:7" x14ac:dyDescent="0.2">
      <c r="A2576" s="76"/>
      <c r="B2576" s="77"/>
      <c r="C2576" s="78"/>
      <c r="D2576" s="81"/>
      <c r="E2576" s="81"/>
      <c r="F2576" s="79">
        <f t="shared" si="53"/>
        <v>0</v>
      </c>
      <c r="G2576" s="78"/>
    </row>
    <row r="2577" spans="1:7" x14ac:dyDescent="0.2">
      <c r="A2577" s="76"/>
      <c r="B2577" s="77"/>
      <c r="C2577" s="78"/>
      <c r="D2577" s="81"/>
      <c r="E2577" s="81"/>
      <c r="F2577" s="79">
        <f t="shared" si="53"/>
        <v>0</v>
      </c>
      <c r="G2577" s="78"/>
    </row>
    <row r="2578" spans="1:7" x14ac:dyDescent="0.2">
      <c r="A2578" s="76"/>
      <c r="B2578" s="77"/>
      <c r="C2578" s="78"/>
      <c r="D2578" s="81"/>
      <c r="E2578" s="81"/>
      <c r="F2578" s="79">
        <f t="shared" si="53"/>
        <v>0</v>
      </c>
      <c r="G2578" s="78"/>
    </row>
    <row r="2579" spans="1:7" x14ac:dyDescent="0.2">
      <c r="A2579" s="76"/>
      <c r="B2579" s="77"/>
      <c r="C2579" s="78"/>
      <c r="D2579" s="81"/>
      <c r="E2579" s="81"/>
      <c r="F2579" s="79">
        <f t="shared" si="53"/>
        <v>0</v>
      </c>
      <c r="G2579" s="78"/>
    </row>
    <row r="2580" spans="1:7" x14ac:dyDescent="0.2">
      <c r="A2580" s="76"/>
      <c r="B2580" s="77"/>
      <c r="C2580" s="78"/>
      <c r="D2580" s="81"/>
      <c r="E2580" s="81"/>
      <c r="F2580" s="79">
        <f t="shared" si="53"/>
        <v>0</v>
      </c>
      <c r="G2580" s="78"/>
    </row>
    <row r="2581" spans="1:7" x14ac:dyDescent="0.2">
      <c r="A2581" s="76"/>
      <c r="B2581" s="77"/>
      <c r="C2581" s="78"/>
      <c r="D2581" s="81"/>
      <c r="E2581" s="81"/>
      <c r="F2581" s="79">
        <f t="shared" si="53"/>
        <v>0</v>
      </c>
      <c r="G2581" s="78"/>
    </row>
    <row r="2582" spans="1:7" x14ac:dyDescent="0.2">
      <c r="A2582" s="76"/>
      <c r="B2582" s="77"/>
      <c r="C2582" s="78"/>
      <c r="D2582" s="81"/>
      <c r="E2582" s="81"/>
      <c r="F2582" s="79">
        <f t="shared" si="53"/>
        <v>0</v>
      </c>
      <c r="G2582" s="78"/>
    </row>
    <row r="2583" spans="1:7" x14ac:dyDescent="0.2">
      <c r="A2583" s="76"/>
      <c r="B2583" s="77"/>
      <c r="C2583" s="78"/>
      <c r="D2583" s="81"/>
      <c r="E2583" s="81"/>
      <c r="F2583" s="79">
        <f t="shared" si="53"/>
        <v>0</v>
      </c>
      <c r="G2583" s="78"/>
    </row>
    <row r="2584" spans="1:7" x14ac:dyDescent="0.2">
      <c r="A2584" s="76"/>
      <c r="B2584" s="77"/>
      <c r="C2584" s="78"/>
      <c r="D2584" s="81"/>
      <c r="E2584" s="81"/>
      <c r="F2584" s="79">
        <f t="shared" si="53"/>
        <v>0</v>
      </c>
      <c r="G2584" s="78"/>
    </row>
    <row r="2585" spans="1:7" x14ac:dyDescent="0.2">
      <c r="A2585" s="76"/>
      <c r="B2585" s="77"/>
      <c r="C2585" s="78"/>
      <c r="D2585" s="81"/>
      <c r="E2585" s="81"/>
      <c r="F2585" s="79">
        <f t="shared" si="53"/>
        <v>0</v>
      </c>
      <c r="G2585" s="78"/>
    </row>
    <row r="2586" spans="1:7" x14ac:dyDescent="0.2">
      <c r="A2586" s="76"/>
      <c r="B2586" s="77"/>
      <c r="C2586" s="78"/>
      <c r="D2586" s="81"/>
      <c r="E2586" s="81"/>
      <c r="F2586" s="79">
        <f t="shared" si="53"/>
        <v>0</v>
      </c>
      <c r="G2586" s="78"/>
    </row>
    <row r="2587" spans="1:7" x14ac:dyDescent="0.2">
      <c r="A2587" s="76"/>
      <c r="B2587" s="77"/>
      <c r="C2587" s="78"/>
      <c r="D2587" s="81"/>
      <c r="E2587" s="81"/>
      <c r="F2587" s="79">
        <f t="shared" si="53"/>
        <v>0</v>
      </c>
      <c r="G2587" s="78"/>
    </row>
    <row r="2588" spans="1:7" x14ac:dyDescent="0.2">
      <c r="A2588" s="76"/>
      <c r="B2588" s="77"/>
      <c r="C2588" s="78"/>
      <c r="D2588" s="81"/>
      <c r="E2588" s="81"/>
      <c r="F2588" s="79">
        <f t="shared" si="53"/>
        <v>0</v>
      </c>
      <c r="G2588" s="78"/>
    </row>
    <row r="2589" spans="1:7" x14ac:dyDescent="0.2">
      <c r="A2589" s="76"/>
      <c r="B2589" s="77"/>
      <c r="C2589" s="78"/>
      <c r="D2589" s="81"/>
      <c r="E2589" s="81"/>
      <c r="F2589" s="79">
        <f t="shared" si="53"/>
        <v>0</v>
      </c>
      <c r="G2589" s="78"/>
    </row>
    <row r="2590" spans="1:7" x14ac:dyDescent="0.2">
      <c r="A2590" s="76"/>
      <c r="B2590" s="77"/>
      <c r="C2590" s="78"/>
      <c r="D2590" s="81"/>
      <c r="E2590" s="81"/>
      <c r="F2590" s="79">
        <f t="shared" si="53"/>
        <v>0</v>
      </c>
      <c r="G2590" s="78"/>
    </row>
    <row r="2591" spans="1:7" x14ac:dyDescent="0.2">
      <c r="A2591" s="76"/>
      <c r="B2591" s="77"/>
      <c r="C2591" s="78"/>
      <c r="D2591" s="81"/>
      <c r="E2591" s="81"/>
      <c r="F2591" s="79">
        <f t="shared" si="53"/>
        <v>0</v>
      </c>
      <c r="G2591" s="78"/>
    </row>
    <row r="2592" spans="1:7" x14ac:dyDescent="0.2">
      <c r="A2592" s="76"/>
      <c r="B2592" s="77"/>
      <c r="C2592" s="78"/>
      <c r="D2592" s="81"/>
      <c r="E2592" s="81"/>
      <c r="F2592" s="79">
        <f t="shared" si="53"/>
        <v>0</v>
      </c>
      <c r="G2592" s="78"/>
    </row>
    <row r="2593" spans="1:7" x14ac:dyDescent="0.2">
      <c r="A2593" s="76"/>
      <c r="B2593" s="77"/>
      <c r="C2593" s="78"/>
      <c r="D2593" s="81"/>
      <c r="E2593" s="81"/>
      <c r="F2593" s="79">
        <f t="shared" si="53"/>
        <v>0</v>
      </c>
      <c r="G2593" s="78"/>
    </row>
    <row r="2594" spans="1:7" x14ac:dyDescent="0.2">
      <c r="A2594" s="76"/>
      <c r="B2594" s="77"/>
      <c r="C2594" s="78"/>
      <c r="D2594" s="81"/>
      <c r="E2594" s="81"/>
      <c r="F2594" s="79">
        <f t="shared" si="53"/>
        <v>0</v>
      </c>
      <c r="G2594" s="78"/>
    </row>
    <row r="2595" spans="1:7" x14ac:dyDescent="0.2">
      <c r="A2595" s="76"/>
      <c r="B2595" s="77"/>
      <c r="C2595" s="78"/>
      <c r="D2595" s="81"/>
      <c r="E2595" s="81"/>
      <c r="F2595" s="79">
        <f t="shared" si="53"/>
        <v>0</v>
      </c>
      <c r="G2595" s="78"/>
    </row>
    <row r="2596" spans="1:7" x14ac:dyDescent="0.2">
      <c r="A2596" s="76"/>
      <c r="B2596" s="77"/>
      <c r="C2596" s="78"/>
      <c r="D2596" s="81"/>
      <c r="E2596" s="81"/>
      <c r="F2596" s="79">
        <f t="shared" si="53"/>
        <v>0</v>
      </c>
      <c r="G2596" s="78"/>
    </row>
    <row r="2597" spans="1:7" x14ac:dyDescent="0.2">
      <c r="A2597" s="76"/>
      <c r="B2597" s="77"/>
      <c r="C2597" s="78"/>
      <c r="D2597" s="81"/>
      <c r="E2597" s="81"/>
      <c r="F2597" s="79">
        <f t="shared" si="53"/>
        <v>0</v>
      </c>
      <c r="G2597" s="78"/>
    </row>
    <row r="2598" spans="1:7" x14ac:dyDescent="0.2">
      <c r="A2598" s="76"/>
      <c r="B2598" s="77"/>
      <c r="C2598" s="78"/>
      <c r="D2598" s="81"/>
      <c r="E2598" s="81"/>
      <c r="F2598" s="79">
        <f t="shared" si="53"/>
        <v>0</v>
      </c>
      <c r="G2598" s="78"/>
    </row>
    <row r="2599" spans="1:7" x14ac:dyDescent="0.2">
      <c r="A2599" s="76"/>
      <c r="B2599" s="77"/>
      <c r="C2599" s="78"/>
      <c r="D2599" s="81"/>
      <c r="E2599" s="81"/>
      <c r="F2599" s="79">
        <f t="shared" si="53"/>
        <v>0</v>
      </c>
      <c r="G2599" s="78"/>
    </row>
    <row r="2600" spans="1:7" x14ac:dyDescent="0.2">
      <c r="A2600" s="76"/>
      <c r="B2600" s="77"/>
      <c r="C2600" s="78"/>
      <c r="D2600" s="81"/>
      <c r="E2600" s="81"/>
      <c r="F2600" s="79">
        <f t="shared" si="53"/>
        <v>0</v>
      </c>
      <c r="G2600" s="78"/>
    </row>
    <row r="2601" spans="1:7" x14ac:dyDescent="0.2">
      <c r="A2601" s="76"/>
      <c r="B2601" s="77"/>
      <c r="C2601" s="78"/>
      <c r="D2601" s="81"/>
      <c r="E2601" s="81"/>
      <c r="F2601" s="79">
        <f t="shared" si="53"/>
        <v>0</v>
      </c>
      <c r="G2601" s="78"/>
    </row>
    <row r="2602" spans="1:7" x14ac:dyDescent="0.2">
      <c r="A2602" s="76"/>
      <c r="B2602" s="77"/>
      <c r="C2602" s="78"/>
      <c r="D2602" s="81"/>
      <c r="E2602" s="81"/>
      <c r="F2602" s="79">
        <f t="shared" si="53"/>
        <v>0</v>
      </c>
      <c r="G2602" s="78"/>
    </row>
    <row r="2603" spans="1:7" x14ac:dyDescent="0.2">
      <c r="A2603" s="76"/>
      <c r="B2603" s="77"/>
      <c r="C2603" s="78"/>
      <c r="D2603" s="81"/>
      <c r="E2603" s="81"/>
      <c r="F2603" s="79">
        <f t="shared" si="53"/>
        <v>0</v>
      </c>
      <c r="G2603" s="78"/>
    </row>
    <row r="2604" spans="1:7" x14ac:dyDescent="0.2">
      <c r="A2604" s="76"/>
      <c r="B2604" s="77"/>
      <c r="C2604" s="78"/>
      <c r="D2604" s="81"/>
      <c r="E2604" s="81"/>
      <c r="F2604" s="79">
        <f t="shared" si="53"/>
        <v>0</v>
      </c>
      <c r="G2604" s="78"/>
    </row>
    <row r="2605" spans="1:7" x14ac:dyDescent="0.2">
      <c r="A2605" s="76"/>
      <c r="B2605" s="77"/>
      <c r="C2605" s="78"/>
      <c r="D2605" s="81"/>
      <c r="E2605" s="81"/>
      <c r="F2605" s="79">
        <f t="shared" si="53"/>
        <v>0</v>
      </c>
      <c r="G2605" s="78"/>
    </row>
    <row r="2606" spans="1:7" x14ac:dyDescent="0.2">
      <c r="A2606" s="76"/>
      <c r="B2606" s="77"/>
      <c r="C2606" s="78"/>
      <c r="D2606" s="81"/>
      <c r="E2606" s="81"/>
      <c r="F2606" s="79">
        <f t="shared" si="53"/>
        <v>0</v>
      </c>
      <c r="G2606" s="78"/>
    </row>
    <row r="2607" spans="1:7" x14ac:dyDescent="0.2">
      <c r="A2607" s="76"/>
      <c r="B2607" s="77"/>
      <c r="C2607" s="78"/>
      <c r="D2607" s="81"/>
      <c r="E2607" s="81"/>
      <c r="F2607" s="79">
        <f t="shared" si="53"/>
        <v>0</v>
      </c>
      <c r="G2607" s="78"/>
    </row>
    <row r="2608" spans="1:7" x14ac:dyDescent="0.2">
      <c r="A2608" s="76"/>
      <c r="B2608" s="77"/>
      <c r="C2608" s="78"/>
      <c r="D2608" s="81"/>
      <c r="E2608" s="81"/>
      <c r="F2608" s="79">
        <f t="shared" si="53"/>
        <v>0</v>
      </c>
      <c r="G2608" s="78"/>
    </row>
    <row r="2609" spans="1:7" x14ac:dyDescent="0.2">
      <c r="A2609" s="76"/>
      <c r="B2609" s="77"/>
      <c r="C2609" s="78"/>
      <c r="D2609" s="81"/>
      <c r="E2609" s="81"/>
      <c r="F2609" s="79">
        <f t="shared" si="53"/>
        <v>0</v>
      </c>
      <c r="G2609" s="78"/>
    </row>
    <row r="2610" spans="1:7" x14ac:dyDescent="0.2">
      <c r="A2610" s="76"/>
      <c r="B2610" s="77"/>
      <c r="C2610" s="78"/>
      <c r="D2610" s="81"/>
      <c r="E2610" s="81"/>
      <c r="F2610" s="79">
        <f t="shared" si="53"/>
        <v>0</v>
      </c>
      <c r="G2610" s="78"/>
    </row>
    <row r="2611" spans="1:7" x14ac:dyDescent="0.2">
      <c r="A2611" s="76"/>
      <c r="B2611" s="77"/>
      <c r="C2611" s="78"/>
      <c r="D2611" s="81"/>
      <c r="E2611" s="81"/>
      <c r="F2611" s="79">
        <f t="shared" si="53"/>
        <v>0</v>
      </c>
      <c r="G2611" s="78"/>
    </row>
    <row r="1048570" spans="1:1" x14ac:dyDescent="0.2">
      <c r="A1048570" s="76"/>
    </row>
  </sheetData>
  <autoFilter ref="A12:G2526" xr:uid="{00000000-0009-0000-0000-000000000000}"/>
  <mergeCells count="4">
    <mergeCell ref="A1:G5"/>
    <mergeCell ref="A7:G7"/>
    <mergeCell ref="C8:G9"/>
    <mergeCell ref="A11:G11"/>
  </mergeCells>
  <conditionalFormatting sqref="G13:G14 G16:G17 G21:G22 G25:G65 G70:G72 G76:G91 G93:G101 G106:G235 G498:G542 G544:G572 G574:G578 G580:G806 G808:G931 G933:G1750 G237:G496">
    <cfRule type="cellIs" dxfId="2545" priority="2530" operator="equal">
      <formula>"Baixo"</formula>
    </cfRule>
    <cfRule type="cellIs" dxfId="2544" priority="2531" operator="equal">
      <formula>"Médio"</formula>
    </cfRule>
    <cfRule type="cellIs" dxfId="2543" priority="2532" operator="equal">
      <formula>"Alto"</formula>
    </cfRule>
  </conditionalFormatting>
  <conditionalFormatting sqref="G15">
    <cfRule type="cellIs" dxfId="2542" priority="2527" operator="equal">
      <formula>"Baixo"</formula>
    </cfRule>
    <cfRule type="cellIs" dxfId="2541" priority="2528" operator="equal">
      <formula>"Médio"</formula>
    </cfRule>
    <cfRule type="cellIs" dxfId="2540" priority="2529" operator="equal">
      <formula>"Alto"</formula>
    </cfRule>
  </conditionalFormatting>
  <conditionalFormatting sqref="G18">
    <cfRule type="cellIs" dxfId="2539" priority="2524" operator="equal">
      <formula>"Baixo"</formula>
    </cfRule>
    <cfRule type="cellIs" dxfId="2538" priority="2525" operator="equal">
      <formula>"Médio"</formula>
    </cfRule>
    <cfRule type="cellIs" dxfId="2537" priority="2526" operator="equal">
      <formula>"Alto"</formula>
    </cfRule>
  </conditionalFormatting>
  <conditionalFormatting sqref="G19">
    <cfRule type="cellIs" dxfId="2536" priority="2521" operator="equal">
      <formula>"Baixo"</formula>
    </cfRule>
    <cfRule type="cellIs" dxfId="2535" priority="2522" operator="equal">
      <formula>"Médio"</formula>
    </cfRule>
    <cfRule type="cellIs" dxfId="2534" priority="2523" operator="equal">
      <formula>"Alto"</formula>
    </cfRule>
  </conditionalFormatting>
  <conditionalFormatting sqref="G20">
    <cfRule type="cellIs" dxfId="2533" priority="2518" operator="equal">
      <formula>"Baixo"</formula>
    </cfRule>
    <cfRule type="cellIs" dxfId="2532" priority="2519" operator="equal">
      <formula>"Médio"</formula>
    </cfRule>
    <cfRule type="cellIs" dxfId="2531" priority="2520" operator="equal">
      <formula>"Alto"</formula>
    </cfRule>
  </conditionalFormatting>
  <conditionalFormatting sqref="G23">
    <cfRule type="cellIs" dxfId="2518" priority="2503" operator="equal">
      <formula>"Baixo"</formula>
    </cfRule>
    <cfRule type="cellIs" dxfId="2517" priority="2504" operator="equal">
      <formula>"Médio"</formula>
    </cfRule>
    <cfRule type="cellIs" dxfId="2516" priority="2505" operator="equal">
      <formula>"Alto"</formula>
    </cfRule>
  </conditionalFormatting>
  <conditionalFormatting sqref="G24">
    <cfRule type="cellIs" dxfId="2515" priority="2500" operator="equal">
      <formula>"Baixo"</formula>
    </cfRule>
    <cfRule type="cellIs" dxfId="2514" priority="2501" operator="equal">
      <formula>"Médio"</formula>
    </cfRule>
    <cfRule type="cellIs" dxfId="2513" priority="2502" operator="equal">
      <formula>"Alto"</formula>
    </cfRule>
  </conditionalFormatting>
  <conditionalFormatting sqref="G68">
    <cfRule type="cellIs" dxfId="2512" priority="2497" operator="equal">
      <formula>"Baixo"</formula>
    </cfRule>
    <cfRule type="cellIs" dxfId="2511" priority="2498" operator="equal">
      <formula>"Médio"</formula>
    </cfRule>
    <cfRule type="cellIs" dxfId="2510" priority="2499" operator="equal">
      <formula>"Alto"</formula>
    </cfRule>
  </conditionalFormatting>
  <conditionalFormatting sqref="G66">
    <cfRule type="cellIs" dxfId="2509" priority="2494" operator="equal">
      <formula>"Baixo"</formula>
    </cfRule>
    <cfRule type="cellIs" dxfId="2508" priority="2495" operator="equal">
      <formula>"Médio"</formula>
    </cfRule>
    <cfRule type="cellIs" dxfId="2507" priority="2496" operator="equal">
      <formula>"Alto"</formula>
    </cfRule>
  </conditionalFormatting>
  <conditionalFormatting sqref="G67">
    <cfRule type="cellIs" dxfId="2506" priority="2491" operator="equal">
      <formula>"Baixo"</formula>
    </cfRule>
    <cfRule type="cellIs" dxfId="2505" priority="2492" operator="equal">
      <formula>"Médio"</formula>
    </cfRule>
    <cfRule type="cellIs" dxfId="2504" priority="2493" operator="equal">
      <formula>"Alto"</formula>
    </cfRule>
  </conditionalFormatting>
  <conditionalFormatting sqref="G69">
    <cfRule type="cellIs" dxfId="2503" priority="2488" operator="equal">
      <formula>"Baixo"</formula>
    </cfRule>
    <cfRule type="cellIs" dxfId="2502" priority="2489" operator="equal">
      <formula>"Médio"</formula>
    </cfRule>
    <cfRule type="cellIs" dxfId="2501" priority="2490" operator="equal">
      <formula>"Alto"</formula>
    </cfRule>
  </conditionalFormatting>
  <conditionalFormatting sqref="G73:G74">
    <cfRule type="cellIs" dxfId="2500" priority="2485" operator="equal">
      <formula>"Baixo"</formula>
    </cfRule>
    <cfRule type="cellIs" dxfId="2499" priority="2486" operator="equal">
      <formula>"Médio"</formula>
    </cfRule>
    <cfRule type="cellIs" dxfId="2498" priority="2487" operator="equal">
      <formula>"Alto"</formula>
    </cfRule>
  </conditionalFormatting>
  <conditionalFormatting sqref="G75">
    <cfRule type="cellIs" dxfId="2497" priority="2482" operator="equal">
      <formula>"Baixo"</formula>
    </cfRule>
    <cfRule type="cellIs" dxfId="2496" priority="2483" operator="equal">
      <formula>"Médio"</formula>
    </cfRule>
    <cfRule type="cellIs" dxfId="2495" priority="2484" operator="equal">
      <formula>"Alto"</formula>
    </cfRule>
  </conditionalFormatting>
  <conditionalFormatting sqref="G92">
    <cfRule type="cellIs" dxfId="2494" priority="2479" operator="equal">
      <formula>"Baixo"</formula>
    </cfRule>
    <cfRule type="cellIs" dxfId="2493" priority="2480" operator="equal">
      <formula>"Médio"</formula>
    </cfRule>
    <cfRule type="cellIs" dxfId="2492" priority="2481" operator="equal">
      <formula>"Alto"</formula>
    </cfRule>
  </conditionalFormatting>
  <conditionalFormatting sqref="G102:G103">
    <cfRule type="cellIs" dxfId="2491" priority="2476" operator="equal">
      <formula>"Baixo"</formula>
    </cfRule>
    <cfRule type="cellIs" dxfId="2490" priority="2477" operator="equal">
      <formula>"Médio"</formula>
    </cfRule>
    <cfRule type="cellIs" dxfId="2489" priority="2478" operator="equal">
      <formula>"Alto"</formula>
    </cfRule>
  </conditionalFormatting>
  <conditionalFormatting sqref="G104:G105">
    <cfRule type="cellIs" dxfId="2488" priority="2473" operator="equal">
      <formula>"Baixo"</formula>
    </cfRule>
    <cfRule type="cellIs" dxfId="2487" priority="2474" operator="equal">
      <formula>"Médio"</formula>
    </cfRule>
    <cfRule type="cellIs" dxfId="2486" priority="2475" operator="equal">
      <formula>"Alto"</formula>
    </cfRule>
  </conditionalFormatting>
  <conditionalFormatting sqref="G236">
    <cfRule type="cellIs" dxfId="2485" priority="2470" operator="equal">
      <formula>"Baixo"</formula>
    </cfRule>
    <cfRule type="cellIs" dxfId="2484" priority="2471" operator="equal">
      <formula>"Médio"</formula>
    </cfRule>
    <cfRule type="cellIs" dxfId="2483" priority="2472" operator="equal">
      <formula>"Alto"</formula>
    </cfRule>
  </conditionalFormatting>
  <conditionalFormatting sqref="G497">
    <cfRule type="cellIs" dxfId="2482" priority="2467" operator="equal">
      <formula>"Baixo"</formula>
    </cfRule>
    <cfRule type="cellIs" dxfId="2481" priority="2468" operator="equal">
      <formula>"Médio"</formula>
    </cfRule>
    <cfRule type="cellIs" dxfId="2480" priority="2469" operator="equal">
      <formula>"Alto"</formula>
    </cfRule>
  </conditionalFormatting>
  <conditionalFormatting sqref="G543">
    <cfRule type="cellIs" dxfId="2479" priority="2464" operator="equal">
      <formula>"Baixo"</formula>
    </cfRule>
    <cfRule type="cellIs" dxfId="2478" priority="2465" operator="equal">
      <formula>"Médio"</formula>
    </cfRule>
    <cfRule type="cellIs" dxfId="2477" priority="2466" operator="equal">
      <formula>"Alto"</formula>
    </cfRule>
  </conditionalFormatting>
  <conditionalFormatting sqref="G573">
    <cfRule type="cellIs" dxfId="2476" priority="2461" operator="equal">
      <formula>"Baixo"</formula>
    </cfRule>
    <cfRule type="cellIs" dxfId="2475" priority="2462" operator="equal">
      <formula>"Médio"</formula>
    </cfRule>
    <cfRule type="cellIs" dxfId="2474" priority="2463" operator="equal">
      <formula>"Alto"</formula>
    </cfRule>
  </conditionalFormatting>
  <conditionalFormatting sqref="G579">
    <cfRule type="cellIs" dxfId="2473" priority="2458" operator="equal">
      <formula>"Baixo"</formula>
    </cfRule>
    <cfRule type="cellIs" dxfId="2472" priority="2459" operator="equal">
      <formula>"Médio"</formula>
    </cfRule>
    <cfRule type="cellIs" dxfId="2471" priority="2460" operator="equal">
      <formula>"Alto"</formula>
    </cfRule>
  </conditionalFormatting>
  <conditionalFormatting sqref="G932">
    <cfRule type="cellIs" dxfId="2470" priority="2455" operator="equal">
      <formula>"Baixo"</formula>
    </cfRule>
    <cfRule type="cellIs" dxfId="2469" priority="2456" operator="equal">
      <formula>"Médio"</formula>
    </cfRule>
    <cfRule type="cellIs" dxfId="2468" priority="2457" operator="equal">
      <formula>"Alto"</formula>
    </cfRule>
  </conditionalFormatting>
  <conditionalFormatting sqref="G1751:G1783">
    <cfRule type="cellIs" dxfId="2467" priority="2452" operator="equal">
      <formula>"Baixo"</formula>
    </cfRule>
    <cfRule type="cellIs" dxfId="2466" priority="2453" operator="equal">
      <formula>"Médio"</formula>
    </cfRule>
    <cfRule type="cellIs" dxfId="2465" priority="2454" operator="equal">
      <formula>"Alto"</formula>
    </cfRule>
  </conditionalFormatting>
  <conditionalFormatting sqref="G1784:G1804">
    <cfRule type="cellIs" dxfId="2464" priority="2449" operator="equal">
      <formula>"Baixo"</formula>
    </cfRule>
    <cfRule type="cellIs" dxfId="2463" priority="2450" operator="equal">
      <formula>"Médio"</formula>
    </cfRule>
    <cfRule type="cellIs" dxfId="2462" priority="2451" operator="equal">
      <formula>"Alto"</formula>
    </cfRule>
  </conditionalFormatting>
  <conditionalFormatting sqref="G1805">
    <cfRule type="cellIs" dxfId="2461" priority="2446" operator="equal">
      <formula>"Baixo"</formula>
    </cfRule>
    <cfRule type="cellIs" dxfId="2460" priority="2447" operator="equal">
      <formula>"Médio"</formula>
    </cfRule>
    <cfRule type="cellIs" dxfId="2459" priority="2448" operator="equal">
      <formula>"Alto"</formula>
    </cfRule>
  </conditionalFormatting>
  <conditionalFormatting sqref="G1806:G1826">
    <cfRule type="cellIs" dxfId="2458" priority="2443" operator="equal">
      <formula>"Baixo"</formula>
    </cfRule>
    <cfRule type="cellIs" dxfId="2457" priority="2444" operator="equal">
      <formula>"Médio"</formula>
    </cfRule>
    <cfRule type="cellIs" dxfId="2456" priority="2445" operator="equal">
      <formula>"Alto"</formula>
    </cfRule>
  </conditionalFormatting>
  <conditionalFormatting sqref="G1827:G1831">
    <cfRule type="cellIs" dxfId="2455" priority="2440" operator="equal">
      <formula>"Baixo"</formula>
    </cfRule>
    <cfRule type="cellIs" dxfId="2454" priority="2441" operator="equal">
      <formula>"Médio"</formula>
    </cfRule>
    <cfRule type="cellIs" dxfId="2453" priority="2442" operator="equal">
      <formula>"Alto"</formula>
    </cfRule>
  </conditionalFormatting>
  <conditionalFormatting sqref="G1832:G1836">
    <cfRule type="cellIs" dxfId="2452" priority="2437" operator="equal">
      <formula>"Baixo"</formula>
    </cfRule>
    <cfRule type="cellIs" dxfId="2451" priority="2438" operator="equal">
      <formula>"Médio"</formula>
    </cfRule>
    <cfRule type="cellIs" dxfId="2450" priority="2439" operator="equal">
      <formula>"Alto"</formula>
    </cfRule>
  </conditionalFormatting>
  <conditionalFormatting sqref="G1837:G1841">
    <cfRule type="cellIs" dxfId="2449" priority="2434" operator="equal">
      <formula>"Baixo"</formula>
    </cfRule>
    <cfRule type="cellIs" dxfId="2448" priority="2435" operator="equal">
      <formula>"Médio"</formula>
    </cfRule>
    <cfRule type="cellIs" dxfId="2447" priority="2436" operator="equal">
      <formula>"Alto"</formula>
    </cfRule>
  </conditionalFormatting>
  <conditionalFormatting sqref="G1842:G1846">
    <cfRule type="cellIs" dxfId="2446" priority="2431" operator="equal">
      <formula>"Baixo"</formula>
    </cfRule>
    <cfRule type="cellIs" dxfId="2445" priority="2432" operator="equal">
      <formula>"Médio"</formula>
    </cfRule>
    <cfRule type="cellIs" dxfId="2444" priority="2433" operator="equal">
      <formula>"Alto"</formula>
    </cfRule>
  </conditionalFormatting>
  <conditionalFormatting sqref="G1847:G1851">
    <cfRule type="cellIs" dxfId="2443" priority="2428" operator="equal">
      <formula>"Baixo"</formula>
    </cfRule>
    <cfRule type="cellIs" dxfId="2442" priority="2429" operator="equal">
      <formula>"Médio"</formula>
    </cfRule>
    <cfRule type="cellIs" dxfId="2441" priority="2430" operator="equal">
      <formula>"Alto"</formula>
    </cfRule>
  </conditionalFormatting>
  <conditionalFormatting sqref="G1852:G1856">
    <cfRule type="cellIs" dxfId="2440" priority="2425" operator="equal">
      <formula>"Baixo"</formula>
    </cfRule>
    <cfRule type="cellIs" dxfId="2439" priority="2426" operator="equal">
      <formula>"Médio"</formula>
    </cfRule>
    <cfRule type="cellIs" dxfId="2438" priority="2427" operator="equal">
      <formula>"Alto"</formula>
    </cfRule>
  </conditionalFormatting>
  <conditionalFormatting sqref="G1857:G1861">
    <cfRule type="cellIs" dxfId="2437" priority="2422" operator="equal">
      <formula>"Baixo"</formula>
    </cfRule>
    <cfRule type="cellIs" dxfId="2436" priority="2423" operator="equal">
      <formula>"Médio"</formula>
    </cfRule>
    <cfRule type="cellIs" dxfId="2435" priority="2424" operator="equal">
      <formula>"Alto"</formula>
    </cfRule>
  </conditionalFormatting>
  <conditionalFormatting sqref="G1862:G1869">
    <cfRule type="cellIs" dxfId="2434" priority="2419" operator="equal">
      <formula>"Baixo"</formula>
    </cfRule>
    <cfRule type="cellIs" dxfId="2433" priority="2420" operator="equal">
      <formula>"Médio"</formula>
    </cfRule>
    <cfRule type="cellIs" dxfId="2432" priority="2421" operator="equal">
      <formula>"Alto"</formula>
    </cfRule>
  </conditionalFormatting>
  <conditionalFormatting sqref="G1867:G1871">
    <cfRule type="cellIs" dxfId="2431" priority="2416" operator="equal">
      <formula>"Baixo"</formula>
    </cfRule>
    <cfRule type="cellIs" dxfId="2430" priority="2417" operator="equal">
      <formula>"Médio"</formula>
    </cfRule>
    <cfRule type="cellIs" dxfId="2429" priority="2418" operator="equal">
      <formula>"Alto"</formula>
    </cfRule>
  </conditionalFormatting>
  <conditionalFormatting sqref="G1872">
    <cfRule type="cellIs" dxfId="2428" priority="2413" operator="equal">
      <formula>"Baixo"</formula>
    </cfRule>
    <cfRule type="cellIs" dxfId="2427" priority="2414" operator="equal">
      <formula>"Médio"</formula>
    </cfRule>
    <cfRule type="cellIs" dxfId="2426" priority="2415" operator="equal">
      <formula>"Alto"</formula>
    </cfRule>
  </conditionalFormatting>
  <conditionalFormatting sqref="G1873">
    <cfRule type="cellIs" dxfId="2425" priority="2410" operator="equal">
      <formula>"Baixo"</formula>
    </cfRule>
    <cfRule type="cellIs" dxfId="2424" priority="2411" operator="equal">
      <formula>"Médio"</formula>
    </cfRule>
    <cfRule type="cellIs" dxfId="2423" priority="2412" operator="equal">
      <formula>"Alto"</formula>
    </cfRule>
  </conditionalFormatting>
  <conditionalFormatting sqref="G1874">
    <cfRule type="cellIs" dxfId="2422" priority="2407" operator="equal">
      <formula>"Baixo"</formula>
    </cfRule>
    <cfRule type="cellIs" dxfId="2421" priority="2408" operator="equal">
      <formula>"Médio"</formula>
    </cfRule>
    <cfRule type="cellIs" dxfId="2420" priority="2409" operator="equal">
      <formula>"Alto"</formula>
    </cfRule>
  </conditionalFormatting>
  <conditionalFormatting sqref="G1875">
    <cfRule type="cellIs" dxfId="2419" priority="2404" operator="equal">
      <formula>"Baixo"</formula>
    </cfRule>
    <cfRule type="cellIs" dxfId="2418" priority="2405" operator="equal">
      <formula>"Médio"</formula>
    </cfRule>
    <cfRule type="cellIs" dxfId="2417" priority="2406" operator="equal">
      <formula>"Alto"</formula>
    </cfRule>
  </conditionalFormatting>
  <conditionalFormatting sqref="G1876">
    <cfRule type="cellIs" dxfId="2416" priority="2401" operator="equal">
      <formula>"Baixo"</formula>
    </cfRule>
    <cfRule type="cellIs" dxfId="2415" priority="2402" operator="equal">
      <formula>"Médio"</formula>
    </cfRule>
    <cfRule type="cellIs" dxfId="2414" priority="2403" operator="equal">
      <formula>"Alto"</formula>
    </cfRule>
  </conditionalFormatting>
  <conditionalFormatting sqref="G1877">
    <cfRule type="cellIs" dxfId="2413" priority="2398" operator="equal">
      <formula>"Baixo"</formula>
    </cfRule>
    <cfRule type="cellIs" dxfId="2412" priority="2399" operator="equal">
      <formula>"Médio"</formula>
    </cfRule>
    <cfRule type="cellIs" dxfId="2411" priority="2400" operator="equal">
      <formula>"Alto"</formula>
    </cfRule>
  </conditionalFormatting>
  <conditionalFormatting sqref="G1878">
    <cfRule type="cellIs" dxfId="2410" priority="2395" operator="equal">
      <formula>"Baixo"</formula>
    </cfRule>
    <cfRule type="cellIs" dxfId="2409" priority="2396" operator="equal">
      <formula>"Médio"</formula>
    </cfRule>
    <cfRule type="cellIs" dxfId="2408" priority="2397" operator="equal">
      <formula>"Alto"</formula>
    </cfRule>
  </conditionalFormatting>
  <conditionalFormatting sqref="G1879">
    <cfRule type="cellIs" dxfId="2407" priority="2392" operator="equal">
      <formula>"Baixo"</formula>
    </cfRule>
    <cfRule type="cellIs" dxfId="2406" priority="2393" operator="equal">
      <formula>"Médio"</formula>
    </cfRule>
    <cfRule type="cellIs" dxfId="2405" priority="2394" operator="equal">
      <formula>"Alto"</formula>
    </cfRule>
  </conditionalFormatting>
  <conditionalFormatting sqref="G1880">
    <cfRule type="cellIs" dxfId="2404" priority="2389" operator="equal">
      <formula>"Baixo"</formula>
    </cfRule>
    <cfRule type="cellIs" dxfId="2403" priority="2390" operator="equal">
      <formula>"Médio"</formula>
    </cfRule>
    <cfRule type="cellIs" dxfId="2402" priority="2391" operator="equal">
      <formula>"Alto"</formula>
    </cfRule>
  </conditionalFormatting>
  <conditionalFormatting sqref="G1881">
    <cfRule type="cellIs" dxfId="2401" priority="2386" operator="equal">
      <formula>"Baixo"</formula>
    </cfRule>
    <cfRule type="cellIs" dxfId="2400" priority="2387" operator="equal">
      <formula>"Médio"</formula>
    </cfRule>
    <cfRule type="cellIs" dxfId="2399" priority="2388" operator="equal">
      <formula>"Alto"</formula>
    </cfRule>
  </conditionalFormatting>
  <conditionalFormatting sqref="G1882">
    <cfRule type="cellIs" dxfId="2398" priority="2383" operator="equal">
      <formula>"Baixo"</formula>
    </cfRule>
    <cfRule type="cellIs" dxfId="2397" priority="2384" operator="equal">
      <formula>"Médio"</formula>
    </cfRule>
    <cfRule type="cellIs" dxfId="2396" priority="2385" operator="equal">
      <formula>"Alto"</formula>
    </cfRule>
  </conditionalFormatting>
  <conditionalFormatting sqref="G1883">
    <cfRule type="cellIs" dxfId="2395" priority="2380" operator="equal">
      <formula>"Baixo"</formula>
    </cfRule>
    <cfRule type="cellIs" dxfId="2394" priority="2381" operator="equal">
      <formula>"Médio"</formula>
    </cfRule>
    <cfRule type="cellIs" dxfId="2393" priority="2382" operator="equal">
      <formula>"Alto"</formula>
    </cfRule>
  </conditionalFormatting>
  <conditionalFormatting sqref="G1884">
    <cfRule type="cellIs" dxfId="2392" priority="2377" operator="equal">
      <formula>"Baixo"</formula>
    </cfRule>
    <cfRule type="cellIs" dxfId="2391" priority="2378" operator="equal">
      <formula>"Médio"</formula>
    </cfRule>
    <cfRule type="cellIs" dxfId="2390" priority="2379" operator="equal">
      <formula>"Alto"</formula>
    </cfRule>
  </conditionalFormatting>
  <conditionalFormatting sqref="G1885">
    <cfRule type="cellIs" dxfId="2389" priority="2374" operator="equal">
      <formula>"Baixo"</formula>
    </cfRule>
    <cfRule type="cellIs" dxfId="2388" priority="2375" operator="equal">
      <formula>"Médio"</formula>
    </cfRule>
    <cfRule type="cellIs" dxfId="2387" priority="2376" operator="equal">
      <formula>"Alto"</formula>
    </cfRule>
  </conditionalFormatting>
  <conditionalFormatting sqref="G1886">
    <cfRule type="cellIs" dxfId="2386" priority="2371" operator="equal">
      <formula>"Baixo"</formula>
    </cfRule>
    <cfRule type="cellIs" dxfId="2385" priority="2372" operator="equal">
      <formula>"Médio"</formula>
    </cfRule>
    <cfRule type="cellIs" dxfId="2384" priority="2373" operator="equal">
      <formula>"Alto"</formula>
    </cfRule>
  </conditionalFormatting>
  <conditionalFormatting sqref="G1887">
    <cfRule type="cellIs" dxfId="2383" priority="2368" operator="equal">
      <formula>"Baixo"</formula>
    </cfRule>
    <cfRule type="cellIs" dxfId="2382" priority="2369" operator="equal">
      <formula>"Médio"</formula>
    </cfRule>
    <cfRule type="cellIs" dxfId="2381" priority="2370" operator="equal">
      <formula>"Alto"</formula>
    </cfRule>
  </conditionalFormatting>
  <conditionalFormatting sqref="G1888">
    <cfRule type="cellIs" dxfId="2380" priority="2365" operator="equal">
      <formula>"Baixo"</formula>
    </cfRule>
    <cfRule type="cellIs" dxfId="2379" priority="2366" operator="equal">
      <formula>"Médio"</formula>
    </cfRule>
    <cfRule type="cellIs" dxfId="2378" priority="2367" operator="equal">
      <formula>"Alto"</formula>
    </cfRule>
  </conditionalFormatting>
  <conditionalFormatting sqref="G1889">
    <cfRule type="cellIs" dxfId="2377" priority="2362" operator="equal">
      <formula>"Baixo"</formula>
    </cfRule>
    <cfRule type="cellIs" dxfId="2376" priority="2363" operator="equal">
      <formula>"Médio"</formula>
    </cfRule>
    <cfRule type="cellIs" dxfId="2375" priority="2364" operator="equal">
      <formula>"Alto"</formula>
    </cfRule>
  </conditionalFormatting>
  <conditionalFormatting sqref="G1890">
    <cfRule type="cellIs" dxfId="2374" priority="2359" operator="equal">
      <formula>"Baixo"</formula>
    </cfRule>
    <cfRule type="cellIs" dxfId="2373" priority="2360" operator="equal">
      <formula>"Médio"</formula>
    </cfRule>
    <cfRule type="cellIs" dxfId="2372" priority="2361" operator="equal">
      <formula>"Alto"</formula>
    </cfRule>
  </conditionalFormatting>
  <conditionalFormatting sqref="G1891">
    <cfRule type="cellIs" dxfId="2371" priority="2356" operator="equal">
      <formula>"Baixo"</formula>
    </cfRule>
    <cfRule type="cellIs" dxfId="2370" priority="2357" operator="equal">
      <formula>"Médio"</formula>
    </cfRule>
    <cfRule type="cellIs" dxfId="2369" priority="2358" operator="equal">
      <formula>"Alto"</formula>
    </cfRule>
  </conditionalFormatting>
  <conditionalFormatting sqref="G1892">
    <cfRule type="cellIs" dxfId="2368" priority="2353" operator="equal">
      <formula>"Baixo"</formula>
    </cfRule>
    <cfRule type="cellIs" dxfId="2367" priority="2354" operator="equal">
      <formula>"Médio"</formula>
    </cfRule>
    <cfRule type="cellIs" dxfId="2366" priority="2355" operator="equal">
      <formula>"Alto"</formula>
    </cfRule>
  </conditionalFormatting>
  <conditionalFormatting sqref="G1893">
    <cfRule type="cellIs" dxfId="2365" priority="2350" operator="equal">
      <formula>"Baixo"</formula>
    </cfRule>
    <cfRule type="cellIs" dxfId="2364" priority="2351" operator="equal">
      <formula>"Médio"</formula>
    </cfRule>
    <cfRule type="cellIs" dxfId="2363" priority="2352" operator="equal">
      <formula>"Alto"</formula>
    </cfRule>
  </conditionalFormatting>
  <conditionalFormatting sqref="G1894">
    <cfRule type="cellIs" dxfId="2362" priority="2347" operator="equal">
      <formula>"Baixo"</formula>
    </cfRule>
    <cfRule type="cellIs" dxfId="2361" priority="2348" operator="equal">
      <formula>"Médio"</formula>
    </cfRule>
    <cfRule type="cellIs" dxfId="2360" priority="2349" operator="equal">
      <formula>"Alto"</formula>
    </cfRule>
  </conditionalFormatting>
  <conditionalFormatting sqref="G1895">
    <cfRule type="cellIs" dxfId="2359" priority="2344" operator="equal">
      <formula>"Baixo"</formula>
    </cfRule>
    <cfRule type="cellIs" dxfId="2358" priority="2345" operator="equal">
      <formula>"Médio"</formula>
    </cfRule>
    <cfRule type="cellIs" dxfId="2357" priority="2346" operator="equal">
      <formula>"Alto"</formula>
    </cfRule>
  </conditionalFormatting>
  <conditionalFormatting sqref="G1896">
    <cfRule type="cellIs" dxfId="2356" priority="2341" operator="equal">
      <formula>"Baixo"</formula>
    </cfRule>
    <cfRule type="cellIs" dxfId="2355" priority="2342" operator="equal">
      <formula>"Médio"</formula>
    </cfRule>
    <cfRule type="cellIs" dxfId="2354" priority="2343" operator="equal">
      <formula>"Alto"</formula>
    </cfRule>
  </conditionalFormatting>
  <conditionalFormatting sqref="G1897">
    <cfRule type="cellIs" dxfId="2353" priority="2338" operator="equal">
      <formula>"Baixo"</formula>
    </cfRule>
    <cfRule type="cellIs" dxfId="2352" priority="2339" operator="equal">
      <formula>"Médio"</formula>
    </cfRule>
    <cfRule type="cellIs" dxfId="2351" priority="2340" operator="equal">
      <formula>"Alto"</formula>
    </cfRule>
  </conditionalFormatting>
  <conditionalFormatting sqref="G1898">
    <cfRule type="cellIs" dxfId="2350" priority="2335" operator="equal">
      <formula>"Baixo"</formula>
    </cfRule>
    <cfRule type="cellIs" dxfId="2349" priority="2336" operator="equal">
      <formula>"Médio"</formula>
    </cfRule>
    <cfRule type="cellIs" dxfId="2348" priority="2337" operator="equal">
      <formula>"Alto"</formula>
    </cfRule>
  </conditionalFormatting>
  <conditionalFormatting sqref="G1899">
    <cfRule type="cellIs" dxfId="2347" priority="2332" operator="equal">
      <formula>"Baixo"</formula>
    </cfRule>
    <cfRule type="cellIs" dxfId="2346" priority="2333" operator="equal">
      <formula>"Médio"</formula>
    </cfRule>
    <cfRule type="cellIs" dxfId="2345" priority="2334" operator="equal">
      <formula>"Alto"</formula>
    </cfRule>
  </conditionalFormatting>
  <conditionalFormatting sqref="G1900">
    <cfRule type="cellIs" dxfId="2344" priority="2329" operator="equal">
      <formula>"Baixo"</formula>
    </cfRule>
    <cfRule type="cellIs" dxfId="2343" priority="2330" operator="equal">
      <formula>"Médio"</formula>
    </cfRule>
    <cfRule type="cellIs" dxfId="2342" priority="2331" operator="equal">
      <formula>"Alto"</formula>
    </cfRule>
  </conditionalFormatting>
  <conditionalFormatting sqref="G1901">
    <cfRule type="cellIs" dxfId="2341" priority="2326" operator="equal">
      <formula>"Baixo"</formula>
    </cfRule>
    <cfRule type="cellIs" dxfId="2340" priority="2327" operator="equal">
      <formula>"Médio"</formula>
    </cfRule>
    <cfRule type="cellIs" dxfId="2339" priority="2328" operator="equal">
      <formula>"Alto"</formula>
    </cfRule>
  </conditionalFormatting>
  <conditionalFormatting sqref="G1902">
    <cfRule type="cellIs" dxfId="2338" priority="2323" operator="equal">
      <formula>"Baixo"</formula>
    </cfRule>
    <cfRule type="cellIs" dxfId="2337" priority="2324" operator="equal">
      <formula>"Médio"</formula>
    </cfRule>
    <cfRule type="cellIs" dxfId="2336" priority="2325" operator="equal">
      <formula>"Alto"</formula>
    </cfRule>
  </conditionalFormatting>
  <conditionalFormatting sqref="G1903">
    <cfRule type="cellIs" dxfId="2335" priority="2320" operator="equal">
      <formula>"Baixo"</formula>
    </cfRule>
    <cfRule type="cellIs" dxfId="2334" priority="2321" operator="equal">
      <formula>"Médio"</formula>
    </cfRule>
    <cfRule type="cellIs" dxfId="2333" priority="2322" operator="equal">
      <formula>"Alto"</formula>
    </cfRule>
  </conditionalFormatting>
  <conditionalFormatting sqref="G1904">
    <cfRule type="cellIs" dxfId="2332" priority="2317" operator="equal">
      <formula>"Baixo"</formula>
    </cfRule>
    <cfRule type="cellIs" dxfId="2331" priority="2318" operator="equal">
      <formula>"Médio"</formula>
    </cfRule>
    <cfRule type="cellIs" dxfId="2330" priority="2319" operator="equal">
      <formula>"Alto"</formula>
    </cfRule>
  </conditionalFormatting>
  <conditionalFormatting sqref="G1905">
    <cfRule type="cellIs" dxfId="2329" priority="2314" operator="equal">
      <formula>"Baixo"</formula>
    </cfRule>
    <cfRule type="cellIs" dxfId="2328" priority="2315" operator="equal">
      <formula>"Médio"</formula>
    </cfRule>
    <cfRule type="cellIs" dxfId="2327" priority="2316" operator="equal">
      <formula>"Alto"</formula>
    </cfRule>
  </conditionalFormatting>
  <conditionalFormatting sqref="G1906">
    <cfRule type="cellIs" dxfId="2326" priority="2311" operator="equal">
      <formula>"Baixo"</formula>
    </cfRule>
    <cfRule type="cellIs" dxfId="2325" priority="2312" operator="equal">
      <formula>"Médio"</formula>
    </cfRule>
    <cfRule type="cellIs" dxfId="2324" priority="2313" operator="equal">
      <formula>"Alto"</formula>
    </cfRule>
  </conditionalFormatting>
  <conditionalFormatting sqref="G1907">
    <cfRule type="cellIs" dxfId="2323" priority="2308" operator="equal">
      <formula>"Baixo"</formula>
    </cfRule>
    <cfRule type="cellIs" dxfId="2322" priority="2309" operator="equal">
      <formula>"Médio"</formula>
    </cfRule>
    <cfRule type="cellIs" dxfId="2321" priority="2310" operator="equal">
      <formula>"Alto"</formula>
    </cfRule>
  </conditionalFormatting>
  <conditionalFormatting sqref="G1908">
    <cfRule type="cellIs" dxfId="2320" priority="2305" operator="equal">
      <formula>"Baixo"</formula>
    </cfRule>
    <cfRule type="cellIs" dxfId="2319" priority="2306" operator="equal">
      <formula>"Médio"</formula>
    </cfRule>
    <cfRule type="cellIs" dxfId="2318" priority="2307" operator="equal">
      <formula>"Alto"</formula>
    </cfRule>
  </conditionalFormatting>
  <conditionalFormatting sqref="G1909">
    <cfRule type="cellIs" dxfId="2317" priority="2302" operator="equal">
      <formula>"Baixo"</formula>
    </cfRule>
    <cfRule type="cellIs" dxfId="2316" priority="2303" operator="equal">
      <formula>"Médio"</formula>
    </cfRule>
    <cfRule type="cellIs" dxfId="2315" priority="2304" operator="equal">
      <formula>"Alto"</formula>
    </cfRule>
  </conditionalFormatting>
  <conditionalFormatting sqref="G1910">
    <cfRule type="cellIs" dxfId="2314" priority="2299" operator="equal">
      <formula>"Baixo"</formula>
    </cfRule>
    <cfRule type="cellIs" dxfId="2313" priority="2300" operator="equal">
      <formula>"Médio"</formula>
    </cfRule>
    <cfRule type="cellIs" dxfId="2312" priority="2301" operator="equal">
      <formula>"Alto"</formula>
    </cfRule>
  </conditionalFormatting>
  <conditionalFormatting sqref="G1911">
    <cfRule type="cellIs" dxfId="2311" priority="2296" operator="equal">
      <formula>"Baixo"</formula>
    </cfRule>
    <cfRule type="cellIs" dxfId="2310" priority="2297" operator="equal">
      <formula>"Médio"</formula>
    </cfRule>
    <cfRule type="cellIs" dxfId="2309" priority="2298" operator="equal">
      <formula>"Alto"</formula>
    </cfRule>
  </conditionalFormatting>
  <conditionalFormatting sqref="G1912">
    <cfRule type="cellIs" dxfId="2308" priority="2293" operator="equal">
      <formula>"Baixo"</formula>
    </cfRule>
    <cfRule type="cellIs" dxfId="2307" priority="2294" operator="equal">
      <formula>"Médio"</formula>
    </cfRule>
    <cfRule type="cellIs" dxfId="2306" priority="2295" operator="equal">
      <formula>"Alto"</formula>
    </cfRule>
  </conditionalFormatting>
  <conditionalFormatting sqref="G1913">
    <cfRule type="cellIs" dxfId="2305" priority="2290" operator="equal">
      <formula>"Baixo"</formula>
    </cfRule>
    <cfRule type="cellIs" dxfId="2304" priority="2291" operator="equal">
      <formula>"Médio"</formula>
    </cfRule>
    <cfRule type="cellIs" dxfId="2303" priority="2292" operator="equal">
      <formula>"Alto"</formula>
    </cfRule>
  </conditionalFormatting>
  <conditionalFormatting sqref="G1914">
    <cfRule type="cellIs" dxfId="2302" priority="2287" operator="equal">
      <formula>"Baixo"</formula>
    </cfRule>
    <cfRule type="cellIs" dxfId="2301" priority="2288" operator="equal">
      <formula>"Médio"</formula>
    </cfRule>
    <cfRule type="cellIs" dxfId="2300" priority="2289" operator="equal">
      <formula>"Alto"</formula>
    </cfRule>
  </conditionalFormatting>
  <conditionalFormatting sqref="G1915">
    <cfRule type="cellIs" dxfId="2299" priority="2284" operator="equal">
      <formula>"Baixo"</formula>
    </cfRule>
    <cfRule type="cellIs" dxfId="2298" priority="2285" operator="equal">
      <formula>"Médio"</formula>
    </cfRule>
    <cfRule type="cellIs" dxfId="2297" priority="2286" operator="equal">
      <formula>"Alto"</formula>
    </cfRule>
  </conditionalFormatting>
  <conditionalFormatting sqref="G1916">
    <cfRule type="cellIs" dxfId="2296" priority="2281" operator="equal">
      <formula>"Baixo"</formula>
    </cfRule>
    <cfRule type="cellIs" dxfId="2295" priority="2282" operator="equal">
      <formula>"Médio"</formula>
    </cfRule>
    <cfRule type="cellIs" dxfId="2294" priority="2283" operator="equal">
      <formula>"Alto"</formula>
    </cfRule>
  </conditionalFormatting>
  <conditionalFormatting sqref="G1917">
    <cfRule type="cellIs" dxfId="2293" priority="2278" operator="equal">
      <formula>"Baixo"</formula>
    </cfRule>
    <cfRule type="cellIs" dxfId="2292" priority="2279" operator="equal">
      <formula>"Médio"</formula>
    </cfRule>
    <cfRule type="cellIs" dxfId="2291" priority="2280" operator="equal">
      <formula>"Alto"</formula>
    </cfRule>
  </conditionalFormatting>
  <conditionalFormatting sqref="G1918">
    <cfRule type="cellIs" dxfId="2290" priority="2275" operator="equal">
      <formula>"Baixo"</formula>
    </cfRule>
    <cfRule type="cellIs" dxfId="2289" priority="2276" operator="equal">
      <formula>"Médio"</formula>
    </cfRule>
    <cfRule type="cellIs" dxfId="2288" priority="2277" operator="equal">
      <formula>"Alto"</formula>
    </cfRule>
  </conditionalFormatting>
  <conditionalFormatting sqref="G1919">
    <cfRule type="cellIs" dxfId="2287" priority="2272" operator="equal">
      <formula>"Baixo"</formula>
    </cfRule>
    <cfRule type="cellIs" dxfId="2286" priority="2273" operator="equal">
      <formula>"Médio"</formula>
    </cfRule>
    <cfRule type="cellIs" dxfId="2285" priority="2274" operator="equal">
      <formula>"Alto"</formula>
    </cfRule>
  </conditionalFormatting>
  <conditionalFormatting sqref="G1920">
    <cfRule type="cellIs" dxfId="2284" priority="2269" operator="equal">
      <formula>"Baixo"</formula>
    </cfRule>
    <cfRule type="cellIs" dxfId="2283" priority="2270" operator="equal">
      <formula>"Médio"</formula>
    </cfRule>
    <cfRule type="cellIs" dxfId="2282" priority="2271" operator="equal">
      <formula>"Alto"</formula>
    </cfRule>
  </conditionalFormatting>
  <conditionalFormatting sqref="G1921">
    <cfRule type="cellIs" dxfId="2281" priority="2266" operator="equal">
      <formula>"Baixo"</formula>
    </cfRule>
    <cfRule type="cellIs" dxfId="2280" priority="2267" operator="equal">
      <formula>"Médio"</formula>
    </cfRule>
    <cfRule type="cellIs" dxfId="2279" priority="2268" operator="equal">
      <formula>"Alto"</formula>
    </cfRule>
  </conditionalFormatting>
  <conditionalFormatting sqref="G1922">
    <cfRule type="cellIs" dxfId="2278" priority="2263" operator="equal">
      <formula>"Baixo"</formula>
    </cfRule>
    <cfRule type="cellIs" dxfId="2277" priority="2264" operator="equal">
      <formula>"Médio"</formula>
    </cfRule>
    <cfRule type="cellIs" dxfId="2276" priority="2265" operator="equal">
      <formula>"Alto"</formula>
    </cfRule>
  </conditionalFormatting>
  <conditionalFormatting sqref="G1923">
    <cfRule type="cellIs" dxfId="2275" priority="2260" operator="equal">
      <formula>"Baixo"</formula>
    </cfRule>
    <cfRule type="cellIs" dxfId="2274" priority="2261" operator="equal">
      <formula>"Médio"</formula>
    </cfRule>
    <cfRule type="cellIs" dxfId="2273" priority="2262" operator="equal">
      <formula>"Alto"</formula>
    </cfRule>
  </conditionalFormatting>
  <conditionalFormatting sqref="G1924">
    <cfRule type="cellIs" dxfId="2272" priority="2257" operator="equal">
      <formula>"Baixo"</formula>
    </cfRule>
    <cfRule type="cellIs" dxfId="2271" priority="2258" operator="equal">
      <formula>"Médio"</formula>
    </cfRule>
    <cfRule type="cellIs" dxfId="2270" priority="2259" operator="equal">
      <formula>"Alto"</formula>
    </cfRule>
  </conditionalFormatting>
  <conditionalFormatting sqref="G1925">
    <cfRule type="cellIs" dxfId="2269" priority="2254" operator="equal">
      <formula>"Baixo"</formula>
    </cfRule>
    <cfRule type="cellIs" dxfId="2268" priority="2255" operator="equal">
      <formula>"Médio"</formula>
    </cfRule>
    <cfRule type="cellIs" dxfId="2267" priority="2256" operator="equal">
      <formula>"Alto"</formula>
    </cfRule>
  </conditionalFormatting>
  <conditionalFormatting sqref="G1926">
    <cfRule type="cellIs" dxfId="2266" priority="2251" operator="equal">
      <formula>"Baixo"</formula>
    </cfRule>
    <cfRule type="cellIs" dxfId="2265" priority="2252" operator="equal">
      <formula>"Médio"</formula>
    </cfRule>
    <cfRule type="cellIs" dxfId="2264" priority="2253" operator="equal">
      <formula>"Alto"</formula>
    </cfRule>
  </conditionalFormatting>
  <conditionalFormatting sqref="G1927">
    <cfRule type="cellIs" dxfId="2263" priority="2248" operator="equal">
      <formula>"Baixo"</formula>
    </cfRule>
    <cfRule type="cellIs" dxfId="2262" priority="2249" operator="equal">
      <formula>"Médio"</formula>
    </cfRule>
    <cfRule type="cellIs" dxfId="2261" priority="2250" operator="equal">
      <formula>"Alto"</formula>
    </cfRule>
  </conditionalFormatting>
  <conditionalFormatting sqref="G1928">
    <cfRule type="cellIs" dxfId="2260" priority="2245" operator="equal">
      <formula>"Baixo"</formula>
    </cfRule>
    <cfRule type="cellIs" dxfId="2259" priority="2246" operator="equal">
      <formula>"Médio"</formula>
    </cfRule>
    <cfRule type="cellIs" dxfId="2258" priority="2247" operator="equal">
      <formula>"Alto"</formula>
    </cfRule>
  </conditionalFormatting>
  <conditionalFormatting sqref="G1929">
    <cfRule type="cellIs" dxfId="2257" priority="2242" operator="equal">
      <formula>"Baixo"</formula>
    </cfRule>
    <cfRule type="cellIs" dxfId="2256" priority="2243" operator="equal">
      <formula>"Médio"</formula>
    </cfRule>
    <cfRule type="cellIs" dxfId="2255" priority="2244" operator="equal">
      <formula>"Alto"</formula>
    </cfRule>
  </conditionalFormatting>
  <conditionalFormatting sqref="G1930">
    <cfRule type="cellIs" dxfId="2254" priority="2239" operator="equal">
      <formula>"Baixo"</formula>
    </cfRule>
    <cfRule type="cellIs" dxfId="2253" priority="2240" operator="equal">
      <formula>"Médio"</formula>
    </cfRule>
    <cfRule type="cellIs" dxfId="2252" priority="2241" operator="equal">
      <formula>"Alto"</formula>
    </cfRule>
  </conditionalFormatting>
  <conditionalFormatting sqref="G1931">
    <cfRule type="cellIs" dxfId="2251" priority="2236" operator="equal">
      <formula>"Baixo"</formula>
    </cfRule>
    <cfRule type="cellIs" dxfId="2250" priority="2237" operator="equal">
      <formula>"Médio"</formula>
    </cfRule>
    <cfRule type="cellIs" dxfId="2249" priority="2238" operator="equal">
      <formula>"Alto"</formula>
    </cfRule>
  </conditionalFormatting>
  <conditionalFormatting sqref="G1932">
    <cfRule type="cellIs" dxfId="2248" priority="2233" operator="equal">
      <formula>"Baixo"</formula>
    </cfRule>
    <cfRule type="cellIs" dxfId="2247" priority="2234" operator="equal">
      <formula>"Médio"</formula>
    </cfRule>
    <cfRule type="cellIs" dxfId="2246" priority="2235" operator="equal">
      <formula>"Alto"</formula>
    </cfRule>
  </conditionalFormatting>
  <conditionalFormatting sqref="G1933">
    <cfRule type="cellIs" dxfId="2245" priority="2230" operator="equal">
      <formula>"Baixo"</formula>
    </cfRule>
    <cfRule type="cellIs" dxfId="2244" priority="2231" operator="equal">
      <formula>"Médio"</formula>
    </cfRule>
    <cfRule type="cellIs" dxfId="2243" priority="2232" operator="equal">
      <formula>"Alto"</formula>
    </cfRule>
  </conditionalFormatting>
  <conditionalFormatting sqref="G1934">
    <cfRule type="cellIs" dxfId="2242" priority="2227" operator="equal">
      <formula>"Baixo"</formula>
    </cfRule>
    <cfRule type="cellIs" dxfId="2241" priority="2228" operator="equal">
      <formula>"Médio"</formula>
    </cfRule>
    <cfRule type="cellIs" dxfId="2240" priority="2229" operator="equal">
      <formula>"Alto"</formula>
    </cfRule>
  </conditionalFormatting>
  <conditionalFormatting sqref="G1935">
    <cfRule type="cellIs" dxfId="2239" priority="2224" operator="equal">
      <formula>"Baixo"</formula>
    </cfRule>
    <cfRule type="cellIs" dxfId="2238" priority="2225" operator="equal">
      <formula>"Médio"</formula>
    </cfRule>
    <cfRule type="cellIs" dxfId="2237" priority="2226" operator="equal">
      <formula>"Alto"</formula>
    </cfRule>
  </conditionalFormatting>
  <conditionalFormatting sqref="G1936">
    <cfRule type="cellIs" dxfId="2236" priority="2221" operator="equal">
      <formula>"Baixo"</formula>
    </cfRule>
    <cfRule type="cellIs" dxfId="2235" priority="2222" operator="equal">
      <formula>"Médio"</formula>
    </cfRule>
    <cfRule type="cellIs" dxfId="2234" priority="2223" operator="equal">
      <formula>"Alto"</formula>
    </cfRule>
  </conditionalFormatting>
  <conditionalFormatting sqref="G1937">
    <cfRule type="cellIs" dxfId="2233" priority="2218" operator="equal">
      <formula>"Baixo"</formula>
    </cfRule>
    <cfRule type="cellIs" dxfId="2232" priority="2219" operator="equal">
      <formula>"Médio"</formula>
    </cfRule>
    <cfRule type="cellIs" dxfId="2231" priority="2220" operator="equal">
      <formula>"Alto"</formula>
    </cfRule>
  </conditionalFormatting>
  <conditionalFormatting sqref="G1938">
    <cfRule type="cellIs" dxfId="2230" priority="2215" operator="equal">
      <formula>"Baixo"</formula>
    </cfRule>
    <cfRule type="cellIs" dxfId="2229" priority="2216" operator="equal">
      <formula>"Médio"</formula>
    </cfRule>
    <cfRule type="cellIs" dxfId="2228" priority="2217" operator="equal">
      <formula>"Alto"</formula>
    </cfRule>
  </conditionalFormatting>
  <conditionalFormatting sqref="G1939">
    <cfRule type="cellIs" dxfId="2227" priority="2212" operator="equal">
      <formula>"Baixo"</formula>
    </cfRule>
    <cfRule type="cellIs" dxfId="2226" priority="2213" operator="equal">
      <formula>"Médio"</formula>
    </cfRule>
    <cfRule type="cellIs" dxfId="2225" priority="2214" operator="equal">
      <formula>"Alto"</formula>
    </cfRule>
  </conditionalFormatting>
  <conditionalFormatting sqref="G1940">
    <cfRule type="cellIs" dxfId="2224" priority="2209" operator="equal">
      <formula>"Baixo"</formula>
    </cfRule>
    <cfRule type="cellIs" dxfId="2223" priority="2210" operator="equal">
      <formula>"Médio"</formula>
    </cfRule>
    <cfRule type="cellIs" dxfId="2222" priority="2211" operator="equal">
      <formula>"Alto"</formula>
    </cfRule>
  </conditionalFormatting>
  <conditionalFormatting sqref="G1941">
    <cfRule type="cellIs" dxfId="2221" priority="2206" operator="equal">
      <formula>"Baixo"</formula>
    </cfRule>
    <cfRule type="cellIs" dxfId="2220" priority="2207" operator="equal">
      <formula>"Médio"</formula>
    </cfRule>
    <cfRule type="cellIs" dxfId="2219" priority="2208" operator="equal">
      <formula>"Alto"</formula>
    </cfRule>
  </conditionalFormatting>
  <conditionalFormatting sqref="G1942">
    <cfRule type="cellIs" dxfId="2218" priority="2203" operator="equal">
      <formula>"Baixo"</formula>
    </cfRule>
    <cfRule type="cellIs" dxfId="2217" priority="2204" operator="equal">
      <formula>"Médio"</formula>
    </cfRule>
    <cfRule type="cellIs" dxfId="2216" priority="2205" operator="equal">
      <formula>"Alto"</formula>
    </cfRule>
  </conditionalFormatting>
  <conditionalFormatting sqref="G1943">
    <cfRule type="cellIs" dxfId="2215" priority="2200" operator="equal">
      <formula>"Baixo"</formula>
    </cfRule>
    <cfRule type="cellIs" dxfId="2214" priority="2201" operator="equal">
      <formula>"Médio"</formula>
    </cfRule>
    <cfRule type="cellIs" dxfId="2213" priority="2202" operator="equal">
      <formula>"Alto"</formula>
    </cfRule>
  </conditionalFormatting>
  <conditionalFormatting sqref="G1944">
    <cfRule type="cellIs" dxfId="2212" priority="2197" operator="equal">
      <formula>"Baixo"</formula>
    </cfRule>
    <cfRule type="cellIs" dxfId="2211" priority="2198" operator="equal">
      <formula>"Médio"</formula>
    </cfRule>
    <cfRule type="cellIs" dxfId="2210" priority="2199" operator="equal">
      <formula>"Alto"</formula>
    </cfRule>
  </conditionalFormatting>
  <conditionalFormatting sqref="G1945">
    <cfRule type="cellIs" dxfId="2209" priority="2194" operator="equal">
      <formula>"Baixo"</formula>
    </cfRule>
    <cfRule type="cellIs" dxfId="2208" priority="2195" operator="equal">
      <formula>"Médio"</formula>
    </cfRule>
    <cfRule type="cellIs" dxfId="2207" priority="2196" operator="equal">
      <formula>"Alto"</formula>
    </cfRule>
  </conditionalFormatting>
  <conditionalFormatting sqref="G1946">
    <cfRule type="cellIs" dxfId="2206" priority="2191" operator="equal">
      <formula>"Baixo"</formula>
    </cfRule>
    <cfRule type="cellIs" dxfId="2205" priority="2192" operator="equal">
      <formula>"Médio"</formula>
    </cfRule>
    <cfRule type="cellIs" dxfId="2204" priority="2193" operator="equal">
      <formula>"Alto"</formula>
    </cfRule>
  </conditionalFormatting>
  <conditionalFormatting sqref="G1947">
    <cfRule type="cellIs" dxfId="2203" priority="2188" operator="equal">
      <formula>"Baixo"</formula>
    </cfRule>
    <cfRule type="cellIs" dxfId="2202" priority="2189" operator="equal">
      <formula>"Médio"</formula>
    </cfRule>
    <cfRule type="cellIs" dxfId="2201" priority="2190" operator="equal">
      <formula>"Alto"</formula>
    </cfRule>
  </conditionalFormatting>
  <conditionalFormatting sqref="G1948">
    <cfRule type="cellIs" dxfId="2200" priority="2185" operator="equal">
      <formula>"Baixo"</formula>
    </cfRule>
    <cfRule type="cellIs" dxfId="2199" priority="2186" operator="equal">
      <formula>"Médio"</formula>
    </cfRule>
    <cfRule type="cellIs" dxfId="2198" priority="2187" operator="equal">
      <formula>"Alto"</formula>
    </cfRule>
  </conditionalFormatting>
  <conditionalFormatting sqref="G1949">
    <cfRule type="cellIs" dxfId="2197" priority="2182" operator="equal">
      <formula>"Baixo"</formula>
    </cfRule>
    <cfRule type="cellIs" dxfId="2196" priority="2183" operator="equal">
      <formula>"Médio"</formula>
    </cfRule>
    <cfRule type="cellIs" dxfId="2195" priority="2184" operator="equal">
      <formula>"Alto"</formula>
    </cfRule>
  </conditionalFormatting>
  <conditionalFormatting sqref="G1950">
    <cfRule type="cellIs" dxfId="2194" priority="2179" operator="equal">
      <formula>"Baixo"</formula>
    </cfRule>
    <cfRule type="cellIs" dxfId="2193" priority="2180" operator="equal">
      <formula>"Médio"</formula>
    </cfRule>
    <cfRule type="cellIs" dxfId="2192" priority="2181" operator="equal">
      <formula>"Alto"</formula>
    </cfRule>
  </conditionalFormatting>
  <conditionalFormatting sqref="G1951">
    <cfRule type="cellIs" dxfId="2191" priority="2176" operator="equal">
      <formula>"Baixo"</formula>
    </cfRule>
    <cfRule type="cellIs" dxfId="2190" priority="2177" operator="equal">
      <formula>"Médio"</formula>
    </cfRule>
    <cfRule type="cellIs" dxfId="2189" priority="2178" operator="equal">
      <formula>"Alto"</formula>
    </cfRule>
  </conditionalFormatting>
  <conditionalFormatting sqref="G1952">
    <cfRule type="cellIs" dxfId="2188" priority="2173" operator="equal">
      <formula>"Baixo"</formula>
    </cfRule>
    <cfRule type="cellIs" dxfId="2187" priority="2174" operator="equal">
      <formula>"Médio"</formula>
    </cfRule>
    <cfRule type="cellIs" dxfId="2186" priority="2175" operator="equal">
      <formula>"Alto"</formula>
    </cfRule>
  </conditionalFormatting>
  <conditionalFormatting sqref="G1953">
    <cfRule type="cellIs" dxfId="2185" priority="2170" operator="equal">
      <formula>"Baixo"</formula>
    </cfRule>
    <cfRule type="cellIs" dxfId="2184" priority="2171" operator="equal">
      <formula>"Médio"</formula>
    </cfRule>
    <cfRule type="cellIs" dxfId="2183" priority="2172" operator="equal">
      <formula>"Alto"</formula>
    </cfRule>
  </conditionalFormatting>
  <conditionalFormatting sqref="G1954">
    <cfRule type="cellIs" dxfId="2182" priority="2167" operator="equal">
      <formula>"Baixo"</formula>
    </cfRule>
    <cfRule type="cellIs" dxfId="2181" priority="2168" operator="equal">
      <formula>"Médio"</formula>
    </cfRule>
    <cfRule type="cellIs" dxfId="2180" priority="2169" operator="equal">
      <formula>"Alto"</formula>
    </cfRule>
  </conditionalFormatting>
  <conditionalFormatting sqref="G1955">
    <cfRule type="cellIs" dxfId="2179" priority="2164" operator="equal">
      <formula>"Baixo"</formula>
    </cfRule>
    <cfRule type="cellIs" dxfId="2178" priority="2165" operator="equal">
      <formula>"Médio"</formula>
    </cfRule>
    <cfRule type="cellIs" dxfId="2177" priority="2166" operator="equal">
      <formula>"Alto"</formula>
    </cfRule>
  </conditionalFormatting>
  <conditionalFormatting sqref="G1956">
    <cfRule type="cellIs" dxfId="2176" priority="2161" operator="equal">
      <formula>"Baixo"</formula>
    </cfRule>
    <cfRule type="cellIs" dxfId="2175" priority="2162" operator="equal">
      <formula>"Médio"</formula>
    </cfRule>
    <cfRule type="cellIs" dxfId="2174" priority="2163" operator="equal">
      <formula>"Alto"</formula>
    </cfRule>
  </conditionalFormatting>
  <conditionalFormatting sqref="G1957">
    <cfRule type="cellIs" dxfId="2173" priority="2158" operator="equal">
      <formula>"Baixo"</formula>
    </cfRule>
    <cfRule type="cellIs" dxfId="2172" priority="2159" operator="equal">
      <formula>"Médio"</formula>
    </cfRule>
    <cfRule type="cellIs" dxfId="2171" priority="2160" operator="equal">
      <formula>"Alto"</formula>
    </cfRule>
  </conditionalFormatting>
  <conditionalFormatting sqref="G1958">
    <cfRule type="cellIs" dxfId="2170" priority="2155" operator="equal">
      <formula>"Baixo"</formula>
    </cfRule>
    <cfRule type="cellIs" dxfId="2169" priority="2156" operator="equal">
      <formula>"Médio"</formula>
    </cfRule>
    <cfRule type="cellIs" dxfId="2168" priority="2157" operator="equal">
      <formula>"Alto"</formula>
    </cfRule>
  </conditionalFormatting>
  <conditionalFormatting sqref="G1959">
    <cfRule type="cellIs" dxfId="2167" priority="2152" operator="equal">
      <formula>"Baixo"</formula>
    </cfRule>
    <cfRule type="cellIs" dxfId="2166" priority="2153" operator="equal">
      <formula>"Médio"</formula>
    </cfRule>
    <cfRule type="cellIs" dxfId="2165" priority="2154" operator="equal">
      <formula>"Alto"</formula>
    </cfRule>
  </conditionalFormatting>
  <conditionalFormatting sqref="G1960">
    <cfRule type="cellIs" dxfId="2164" priority="2149" operator="equal">
      <formula>"Baixo"</formula>
    </cfRule>
    <cfRule type="cellIs" dxfId="2163" priority="2150" operator="equal">
      <formula>"Médio"</formula>
    </cfRule>
    <cfRule type="cellIs" dxfId="2162" priority="2151" operator="equal">
      <formula>"Alto"</formula>
    </cfRule>
  </conditionalFormatting>
  <conditionalFormatting sqref="G1961">
    <cfRule type="cellIs" dxfId="2161" priority="2146" operator="equal">
      <formula>"Baixo"</formula>
    </cfRule>
    <cfRule type="cellIs" dxfId="2160" priority="2147" operator="equal">
      <formula>"Médio"</formula>
    </cfRule>
    <cfRule type="cellIs" dxfId="2159" priority="2148" operator="equal">
      <formula>"Alto"</formula>
    </cfRule>
  </conditionalFormatting>
  <conditionalFormatting sqref="G1962">
    <cfRule type="cellIs" dxfId="2158" priority="2143" operator="equal">
      <formula>"Baixo"</formula>
    </cfRule>
    <cfRule type="cellIs" dxfId="2157" priority="2144" operator="equal">
      <formula>"Médio"</formula>
    </cfRule>
    <cfRule type="cellIs" dxfId="2156" priority="2145" operator="equal">
      <formula>"Alto"</formula>
    </cfRule>
  </conditionalFormatting>
  <conditionalFormatting sqref="G1963">
    <cfRule type="cellIs" dxfId="2155" priority="2140" operator="equal">
      <formula>"Baixo"</formula>
    </cfRule>
    <cfRule type="cellIs" dxfId="2154" priority="2141" operator="equal">
      <formula>"Médio"</formula>
    </cfRule>
    <cfRule type="cellIs" dxfId="2153" priority="2142" operator="equal">
      <formula>"Alto"</formula>
    </cfRule>
  </conditionalFormatting>
  <conditionalFormatting sqref="G1964">
    <cfRule type="cellIs" dxfId="2152" priority="2137" operator="equal">
      <formula>"Baixo"</formula>
    </cfRule>
    <cfRule type="cellIs" dxfId="2151" priority="2138" operator="equal">
      <formula>"Médio"</formula>
    </cfRule>
    <cfRule type="cellIs" dxfId="2150" priority="2139" operator="equal">
      <formula>"Alto"</formula>
    </cfRule>
  </conditionalFormatting>
  <conditionalFormatting sqref="G1965">
    <cfRule type="cellIs" dxfId="2149" priority="2134" operator="equal">
      <formula>"Baixo"</formula>
    </cfRule>
    <cfRule type="cellIs" dxfId="2148" priority="2135" operator="equal">
      <formula>"Médio"</formula>
    </cfRule>
    <cfRule type="cellIs" dxfId="2147" priority="2136" operator="equal">
      <formula>"Alto"</formula>
    </cfRule>
  </conditionalFormatting>
  <conditionalFormatting sqref="G1966">
    <cfRule type="cellIs" dxfId="2146" priority="2131" operator="equal">
      <formula>"Baixo"</formula>
    </cfRule>
    <cfRule type="cellIs" dxfId="2145" priority="2132" operator="equal">
      <formula>"Médio"</formula>
    </cfRule>
    <cfRule type="cellIs" dxfId="2144" priority="2133" operator="equal">
      <formula>"Alto"</formula>
    </cfRule>
  </conditionalFormatting>
  <conditionalFormatting sqref="G1967">
    <cfRule type="cellIs" dxfId="2143" priority="2128" operator="equal">
      <formula>"Baixo"</formula>
    </cfRule>
    <cfRule type="cellIs" dxfId="2142" priority="2129" operator="equal">
      <formula>"Médio"</formula>
    </cfRule>
    <cfRule type="cellIs" dxfId="2141" priority="2130" operator="equal">
      <formula>"Alto"</formula>
    </cfRule>
  </conditionalFormatting>
  <conditionalFormatting sqref="G1968">
    <cfRule type="cellIs" dxfId="2140" priority="2125" operator="equal">
      <formula>"Baixo"</formula>
    </cfRule>
    <cfRule type="cellIs" dxfId="2139" priority="2126" operator="equal">
      <formula>"Médio"</formula>
    </cfRule>
    <cfRule type="cellIs" dxfId="2138" priority="2127" operator="equal">
      <formula>"Alto"</formula>
    </cfRule>
  </conditionalFormatting>
  <conditionalFormatting sqref="G1969">
    <cfRule type="cellIs" dxfId="2137" priority="2122" operator="equal">
      <formula>"Baixo"</formula>
    </cfRule>
    <cfRule type="cellIs" dxfId="2136" priority="2123" operator="equal">
      <formula>"Médio"</formula>
    </cfRule>
    <cfRule type="cellIs" dxfId="2135" priority="2124" operator="equal">
      <formula>"Alto"</formula>
    </cfRule>
  </conditionalFormatting>
  <conditionalFormatting sqref="G1970">
    <cfRule type="cellIs" dxfId="2134" priority="2119" operator="equal">
      <formula>"Baixo"</formula>
    </cfRule>
    <cfRule type="cellIs" dxfId="2133" priority="2120" operator="equal">
      <formula>"Médio"</formula>
    </cfRule>
    <cfRule type="cellIs" dxfId="2132" priority="2121" operator="equal">
      <formula>"Alto"</formula>
    </cfRule>
  </conditionalFormatting>
  <conditionalFormatting sqref="G1971">
    <cfRule type="cellIs" dxfId="2131" priority="2116" operator="equal">
      <formula>"Baixo"</formula>
    </cfRule>
    <cfRule type="cellIs" dxfId="2130" priority="2117" operator="equal">
      <formula>"Médio"</formula>
    </cfRule>
    <cfRule type="cellIs" dxfId="2129" priority="2118" operator="equal">
      <formula>"Alto"</formula>
    </cfRule>
  </conditionalFormatting>
  <conditionalFormatting sqref="G1972">
    <cfRule type="cellIs" dxfId="2128" priority="2113" operator="equal">
      <formula>"Baixo"</formula>
    </cfRule>
    <cfRule type="cellIs" dxfId="2127" priority="2114" operator="equal">
      <formula>"Médio"</formula>
    </cfRule>
    <cfRule type="cellIs" dxfId="2126" priority="2115" operator="equal">
      <formula>"Alto"</formula>
    </cfRule>
  </conditionalFormatting>
  <conditionalFormatting sqref="G1973">
    <cfRule type="cellIs" dxfId="2125" priority="2110" operator="equal">
      <formula>"Baixo"</formula>
    </cfRule>
    <cfRule type="cellIs" dxfId="2124" priority="2111" operator="equal">
      <formula>"Médio"</formula>
    </cfRule>
    <cfRule type="cellIs" dxfId="2123" priority="2112" operator="equal">
      <formula>"Alto"</formula>
    </cfRule>
  </conditionalFormatting>
  <conditionalFormatting sqref="G1974">
    <cfRule type="cellIs" dxfId="2122" priority="2107" operator="equal">
      <formula>"Baixo"</formula>
    </cfRule>
    <cfRule type="cellIs" dxfId="2121" priority="2108" operator="equal">
      <formula>"Médio"</formula>
    </cfRule>
    <cfRule type="cellIs" dxfId="2120" priority="2109" operator="equal">
      <formula>"Alto"</formula>
    </cfRule>
  </conditionalFormatting>
  <conditionalFormatting sqref="G1975">
    <cfRule type="cellIs" dxfId="2119" priority="2104" operator="equal">
      <formula>"Baixo"</formula>
    </cfRule>
    <cfRule type="cellIs" dxfId="2118" priority="2105" operator="equal">
      <formula>"Médio"</formula>
    </cfRule>
    <cfRule type="cellIs" dxfId="2117" priority="2106" operator="equal">
      <formula>"Alto"</formula>
    </cfRule>
  </conditionalFormatting>
  <conditionalFormatting sqref="G1976">
    <cfRule type="cellIs" dxfId="2116" priority="2101" operator="equal">
      <formula>"Baixo"</formula>
    </cfRule>
    <cfRule type="cellIs" dxfId="2115" priority="2102" operator="equal">
      <formula>"Médio"</formula>
    </cfRule>
    <cfRule type="cellIs" dxfId="2114" priority="2103" operator="equal">
      <formula>"Alto"</formula>
    </cfRule>
  </conditionalFormatting>
  <conditionalFormatting sqref="G1977">
    <cfRule type="cellIs" dxfId="2113" priority="2098" operator="equal">
      <formula>"Baixo"</formula>
    </cfRule>
    <cfRule type="cellIs" dxfId="2112" priority="2099" operator="equal">
      <formula>"Médio"</formula>
    </cfRule>
    <cfRule type="cellIs" dxfId="2111" priority="2100" operator="equal">
      <formula>"Alto"</formula>
    </cfRule>
  </conditionalFormatting>
  <conditionalFormatting sqref="G1978">
    <cfRule type="cellIs" dxfId="2110" priority="2095" operator="equal">
      <formula>"Baixo"</formula>
    </cfRule>
    <cfRule type="cellIs" dxfId="2109" priority="2096" operator="equal">
      <formula>"Médio"</formula>
    </cfRule>
    <cfRule type="cellIs" dxfId="2108" priority="2097" operator="equal">
      <formula>"Alto"</formula>
    </cfRule>
  </conditionalFormatting>
  <conditionalFormatting sqref="G1979">
    <cfRule type="cellIs" dxfId="2107" priority="2092" operator="equal">
      <formula>"Baixo"</formula>
    </cfRule>
    <cfRule type="cellIs" dxfId="2106" priority="2093" operator="equal">
      <formula>"Médio"</formula>
    </cfRule>
    <cfRule type="cellIs" dxfId="2105" priority="2094" operator="equal">
      <formula>"Alto"</formula>
    </cfRule>
  </conditionalFormatting>
  <conditionalFormatting sqref="G1980">
    <cfRule type="cellIs" dxfId="2104" priority="2089" operator="equal">
      <formula>"Baixo"</formula>
    </cfRule>
    <cfRule type="cellIs" dxfId="2103" priority="2090" operator="equal">
      <formula>"Médio"</formula>
    </cfRule>
    <cfRule type="cellIs" dxfId="2102" priority="2091" operator="equal">
      <formula>"Alto"</formula>
    </cfRule>
  </conditionalFormatting>
  <conditionalFormatting sqref="G1981">
    <cfRule type="cellIs" dxfId="2101" priority="2086" operator="equal">
      <formula>"Baixo"</formula>
    </cfRule>
    <cfRule type="cellIs" dxfId="2100" priority="2087" operator="equal">
      <formula>"Médio"</formula>
    </cfRule>
    <cfRule type="cellIs" dxfId="2099" priority="2088" operator="equal">
      <formula>"Alto"</formula>
    </cfRule>
  </conditionalFormatting>
  <conditionalFormatting sqref="G1982">
    <cfRule type="cellIs" dxfId="2098" priority="2083" operator="equal">
      <formula>"Baixo"</formula>
    </cfRule>
    <cfRule type="cellIs" dxfId="2097" priority="2084" operator="equal">
      <formula>"Médio"</formula>
    </cfRule>
    <cfRule type="cellIs" dxfId="2096" priority="2085" operator="equal">
      <formula>"Alto"</formula>
    </cfRule>
  </conditionalFormatting>
  <conditionalFormatting sqref="G1983">
    <cfRule type="cellIs" dxfId="2095" priority="2080" operator="equal">
      <formula>"Baixo"</formula>
    </cfRule>
    <cfRule type="cellIs" dxfId="2094" priority="2081" operator="equal">
      <formula>"Médio"</formula>
    </cfRule>
    <cfRule type="cellIs" dxfId="2093" priority="2082" operator="equal">
      <formula>"Alto"</formula>
    </cfRule>
  </conditionalFormatting>
  <conditionalFormatting sqref="G1984">
    <cfRule type="cellIs" dxfId="2092" priority="2077" operator="equal">
      <formula>"Baixo"</formula>
    </cfRule>
    <cfRule type="cellIs" dxfId="2091" priority="2078" operator="equal">
      <formula>"Médio"</formula>
    </cfRule>
    <cfRule type="cellIs" dxfId="2090" priority="2079" operator="equal">
      <formula>"Alto"</formula>
    </cfRule>
  </conditionalFormatting>
  <conditionalFormatting sqref="G1985">
    <cfRule type="cellIs" dxfId="2089" priority="2074" operator="equal">
      <formula>"Baixo"</formula>
    </cfRule>
    <cfRule type="cellIs" dxfId="2088" priority="2075" operator="equal">
      <formula>"Médio"</formula>
    </cfRule>
    <cfRule type="cellIs" dxfId="2087" priority="2076" operator="equal">
      <formula>"Alto"</formula>
    </cfRule>
  </conditionalFormatting>
  <conditionalFormatting sqref="G1986">
    <cfRule type="cellIs" dxfId="2086" priority="2071" operator="equal">
      <formula>"Baixo"</formula>
    </cfRule>
    <cfRule type="cellIs" dxfId="2085" priority="2072" operator="equal">
      <formula>"Médio"</formula>
    </cfRule>
    <cfRule type="cellIs" dxfId="2084" priority="2073" operator="equal">
      <formula>"Alto"</formula>
    </cfRule>
  </conditionalFormatting>
  <conditionalFormatting sqref="G1987">
    <cfRule type="cellIs" dxfId="2083" priority="2068" operator="equal">
      <formula>"Baixo"</formula>
    </cfRule>
    <cfRule type="cellIs" dxfId="2082" priority="2069" operator="equal">
      <formula>"Médio"</formula>
    </cfRule>
    <cfRule type="cellIs" dxfId="2081" priority="2070" operator="equal">
      <formula>"Alto"</formula>
    </cfRule>
  </conditionalFormatting>
  <conditionalFormatting sqref="G1988">
    <cfRule type="cellIs" dxfId="2080" priority="2065" operator="equal">
      <formula>"Baixo"</formula>
    </cfRule>
    <cfRule type="cellIs" dxfId="2079" priority="2066" operator="equal">
      <formula>"Médio"</formula>
    </cfRule>
    <cfRule type="cellIs" dxfId="2078" priority="2067" operator="equal">
      <formula>"Alto"</formula>
    </cfRule>
  </conditionalFormatting>
  <conditionalFormatting sqref="G1989">
    <cfRule type="cellIs" dxfId="2077" priority="2062" operator="equal">
      <formula>"Baixo"</formula>
    </cfRule>
    <cfRule type="cellIs" dxfId="2076" priority="2063" operator="equal">
      <formula>"Médio"</formula>
    </cfRule>
    <cfRule type="cellIs" dxfId="2075" priority="2064" operator="equal">
      <formula>"Alto"</formula>
    </cfRule>
  </conditionalFormatting>
  <conditionalFormatting sqref="G1990">
    <cfRule type="cellIs" dxfId="2074" priority="2059" operator="equal">
      <formula>"Baixo"</formula>
    </cfRule>
    <cfRule type="cellIs" dxfId="2073" priority="2060" operator="equal">
      <formula>"Médio"</formula>
    </cfRule>
    <cfRule type="cellIs" dxfId="2072" priority="2061" operator="equal">
      <formula>"Alto"</formula>
    </cfRule>
  </conditionalFormatting>
  <conditionalFormatting sqref="G1991">
    <cfRule type="cellIs" dxfId="2071" priority="2056" operator="equal">
      <formula>"Baixo"</formula>
    </cfRule>
    <cfRule type="cellIs" dxfId="2070" priority="2057" operator="equal">
      <formula>"Médio"</formula>
    </cfRule>
    <cfRule type="cellIs" dxfId="2069" priority="2058" operator="equal">
      <formula>"Alto"</formula>
    </cfRule>
  </conditionalFormatting>
  <conditionalFormatting sqref="G1992">
    <cfRule type="cellIs" dxfId="2068" priority="2053" operator="equal">
      <formula>"Baixo"</formula>
    </cfRule>
    <cfRule type="cellIs" dxfId="2067" priority="2054" operator="equal">
      <formula>"Médio"</formula>
    </cfRule>
    <cfRule type="cellIs" dxfId="2066" priority="2055" operator="equal">
      <formula>"Alto"</formula>
    </cfRule>
  </conditionalFormatting>
  <conditionalFormatting sqref="G1993">
    <cfRule type="cellIs" dxfId="2065" priority="2050" operator="equal">
      <formula>"Baixo"</formula>
    </cfRule>
    <cfRule type="cellIs" dxfId="2064" priority="2051" operator="equal">
      <formula>"Médio"</formula>
    </cfRule>
    <cfRule type="cellIs" dxfId="2063" priority="2052" operator="equal">
      <formula>"Alto"</formula>
    </cfRule>
  </conditionalFormatting>
  <conditionalFormatting sqref="G1994">
    <cfRule type="cellIs" dxfId="2062" priority="2047" operator="equal">
      <formula>"Baixo"</formula>
    </cfRule>
    <cfRule type="cellIs" dxfId="2061" priority="2048" operator="equal">
      <formula>"Médio"</formula>
    </cfRule>
    <cfRule type="cellIs" dxfId="2060" priority="2049" operator="equal">
      <formula>"Alto"</formula>
    </cfRule>
  </conditionalFormatting>
  <conditionalFormatting sqref="G1995">
    <cfRule type="cellIs" dxfId="2059" priority="2044" operator="equal">
      <formula>"Baixo"</formula>
    </cfRule>
    <cfRule type="cellIs" dxfId="2058" priority="2045" operator="equal">
      <formula>"Médio"</formula>
    </cfRule>
    <cfRule type="cellIs" dxfId="2057" priority="2046" operator="equal">
      <formula>"Alto"</formula>
    </cfRule>
  </conditionalFormatting>
  <conditionalFormatting sqref="G1996">
    <cfRule type="cellIs" dxfId="2056" priority="2041" operator="equal">
      <formula>"Baixo"</formula>
    </cfRule>
    <cfRule type="cellIs" dxfId="2055" priority="2042" operator="equal">
      <formula>"Médio"</formula>
    </cfRule>
    <cfRule type="cellIs" dxfId="2054" priority="2043" operator="equal">
      <formula>"Alto"</formula>
    </cfRule>
  </conditionalFormatting>
  <conditionalFormatting sqref="G1997">
    <cfRule type="cellIs" dxfId="2053" priority="2038" operator="equal">
      <formula>"Baixo"</formula>
    </cfRule>
    <cfRule type="cellIs" dxfId="2052" priority="2039" operator="equal">
      <formula>"Médio"</formula>
    </cfRule>
    <cfRule type="cellIs" dxfId="2051" priority="2040" operator="equal">
      <formula>"Alto"</formula>
    </cfRule>
  </conditionalFormatting>
  <conditionalFormatting sqref="G1998">
    <cfRule type="cellIs" dxfId="2050" priority="2035" operator="equal">
      <formula>"Baixo"</formula>
    </cfRule>
    <cfRule type="cellIs" dxfId="2049" priority="2036" operator="equal">
      <formula>"Médio"</formula>
    </cfRule>
    <cfRule type="cellIs" dxfId="2048" priority="2037" operator="equal">
      <formula>"Alto"</formula>
    </cfRule>
  </conditionalFormatting>
  <conditionalFormatting sqref="G1999">
    <cfRule type="cellIs" dxfId="2047" priority="2032" operator="equal">
      <formula>"Baixo"</formula>
    </cfRule>
    <cfRule type="cellIs" dxfId="2046" priority="2033" operator="equal">
      <formula>"Médio"</formula>
    </cfRule>
    <cfRule type="cellIs" dxfId="2045" priority="2034" operator="equal">
      <formula>"Alto"</formula>
    </cfRule>
  </conditionalFormatting>
  <conditionalFormatting sqref="G2000">
    <cfRule type="cellIs" dxfId="2044" priority="2029" operator="equal">
      <formula>"Baixo"</formula>
    </cfRule>
    <cfRule type="cellIs" dxfId="2043" priority="2030" operator="equal">
      <formula>"Médio"</formula>
    </cfRule>
    <cfRule type="cellIs" dxfId="2042" priority="2031" operator="equal">
      <formula>"Alto"</formula>
    </cfRule>
  </conditionalFormatting>
  <conditionalFormatting sqref="G2001">
    <cfRule type="cellIs" dxfId="2041" priority="2026" operator="equal">
      <formula>"Baixo"</formula>
    </cfRule>
    <cfRule type="cellIs" dxfId="2040" priority="2027" operator="equal">
      <formula>"Médio"</formula>
    </cfRule>
    <cfRule type="cellIs" dxfId="2039" priority="2028" operator="equal">
      <formula>"Alto"</formula>
    </cfRule>
  </conditionalFormatting>
  <conditionalFormatting sqref="G2002">
    <cfRule type="cellIs" dxfId="2038" priority="2023" operator="equal">
      <formula>"Baixo"</formula>
    </cfRule>
    <cfRule type="cellIs" dxfId="2037" priority="2024" operator="equal">
      <formula>"Médio"</formula>
    </cfRule>
    <cfRule type="cellIs" dxfId="2036" priority="2025" operator="equal">
      <formula>"Alto"</formula>
    </cfRule>
  </conditionalFormatting>
  <conditionalFormatting sqref="G2003">
    <cfRule type="cellIs" dxfId="2035" priority="2020" operator="equal">
      <formula>"Baixo"</formula>
    </cfRule>
    <cfRule type="cellIs" dxfId="2034" priority="2021" operator="equal">
      <formula>"Médio"</formula>
    </cfRule>
    <cfRule type="cellIs" dxfId="2033" priority="2022" operator="equal">
      <formula>"Alto"</formula>
    </cfRule>
  </conditionalFormatting>
  <conditionalFormatting sqref="G2004">
    <cfRule type="cellIs" dxfId="2032" priority="2017" operator="equal">
      <formula>"Baixo"</formula>
    </cfRule>
    <cfRule type="cellIs" dxfId="2031" priority="2018" operator="equal">
      <formula>"Médio"</formula>
    </cfRule>
    <cfRule type="cellIs" dxfId="2030" priority="2019" operator="equal">
      <formula>"Alto"</formula>
    </cfRule>
  </conditionalFormatting>
  <conditionalFormatting sqref="G2005">
    <cfRule type="cellIs" dxfId="2029" priority="2014" operator="equal">
      <formula>"Baixo"</formula>
    </cfRule>
    <cfRule type="cellIs" dxfId="2028" priority="2015" operator="equal">
      <formula>"Médio"</formula>
    </cfRule>
    <cfRule type="cellIs" dxfId="2027" priority="2016" operator="equal">
      <formula>"Alto"</formula>
    </cfRule>
  </conditionalFormatting>
  <conditionalFormatting sqref="G2006">
    <cfRule type="cellIs" dxfId="2026" priority="2011" operator="equal">
      <formula>"Baixo"</formula>
    </cfRule>
    <cfRule type="cellIs" dxfId="2025" priority="2012" operator="equal">
      <formula>"Médio"</formula>
    </cfRule>
    <cfRule type="cellIs" dxfId="2024" priority="2013" operator="equal">
      <formula>"Alto"</formula>
    </cfRule>
  </conditionalFormatting>
  <conditionalFormatting sqref="G2007">
    <cfRule type="cellIs" dxfId="2023" priority="2008" operator="equal">
      <formula>"Baixo"</formula>
    </cfRule>
    <cfRule type="cellIs" dxfId="2022" priority="2009" operator="equal">
      <formula>"Médio"</formula>
    </cfRule>
    <cfRule type="cellIs" dxfId="2021" priority="2010" operator="equal">
      <formula>"Alto"</formula>
    </cfRule>
  </conditionalFormatting>
  <conditionalFormatting sqref="G2008">
    <cfRule type="cellIs" dxfId="2020" priority="2005" operator="equal">
      <formula>"Baixo"</formula>
    </cfRule>
    <cfRule type="cellIs" dxfId="2019" priority="2006" operator="equal">
      <formula>"Médio"</formula>
    </cfRule>
    <cfRule type="cellIs" dxfId="2018" priority="2007" operator="equal">
      <formula>"Alto"</formula>
    </cfRule>
  </conditionalFormatting>
  <conditionalFormatting sqref="G2009">
    <cfRule type="cellIs" dxfId="2017" priority="2002" operator="equal">
      <formula>"Baixo"</formula>
    </cfRule>
    <cfRule type="cellIs" dxfId="2016" priority="2003" operator="equal">
      <formula>"Médio"</formula>
    </cfRule>
    <cfRule type="cellIs" dxfId="2015" priority="2004" operator="equal">
      <formula>"Alto"</formula>
    </cfRule>
  </conditionalFormatting>
  <conditionalFormatting sqref="G2010">
    <cfRule type="cellIs" dxfId="2014" priority="1999" operator="equal">
      <formula>"Baixo"</formula>
    </cfRule>
    <cfRule type="cellIs" dxfId="2013" priority="2000" operator="equal">
      <formula>"Médio"</formula>
    </cfRule>
    <cfRule type="cellIs" dxfId="2012" priority="2001" operator="equal">
      <formula>"Alto"</formula>
    </cfRule>
  </conditionalFormatting>
  <conditionalFormatting sqref="G2011">
    <cfRule type="cellIs" dxfId="2011" priority="1996" operator="equal">
      <formula>"Baixo"</formula>
    </cfRule>
    <cfRule type="cellIs" dxfId="2010" priority="1997" operator="equal">
      <formula>"Médio"</formula>
    </cfRule>
    <cfRule type="cellIs" dxfId="2009" priority="1998" operator="equal">
      <formula>"Alto"</formula>
    </cfRule>
  </conditionalFormatting>
  <conditionalFormatting sqref="G2012">
    <cfRule type="cellIs" dxfId="2008" priority="1993" operator="equal">
      <formula>"Baixo"</formula>
    </cfRule>
    <cfRule type="cellIs" dxfId="2007" priority="1994" operator="equal">
      <formula>"Médio"</formula>
    </cfRule>
    <cfRule type="cellIs" dxfId="2006" priority="1995" operator="equal">
      <formula>"Alto"</formula>
    </cfRule>
  </conditionalFormatting>
  <conditionalFormatting sqref="G2013">
    <cfRule type="cellIs" dxfId="2005" priority="1990" operator="equal">
      <formula>"Baixo"</formula>
    </cfRule>
    <cfRule type="cellIs" dxfId="2004" priority="1991" operator="equal">
      <formula>"Médio"</formula>
    </cfRule>
    <cfRule type="cellIs" dxfId="2003" priority="1992" operator="equal">
      <formula>"Alto"</formula>
    </cfRule>
  </conditionalFormatting>
  <conditionalFormatting sqref="G2014">
    <cfRule type="cellIs" dxfId="2002" priority="1987" operator="equal">
      <formula>"Baixo"</formula>
    </cfRule>
    <cfRule type="cellIs" dxfId="2001" priority="1988" operator="equal">
      <formula>"Médio"</formula>
    </cfRule>
    <cfRule type="cellIs" dxfId="2000" priority="1989" operator="equal">
      <formula>"Alto"</formula>
    </cfRule>
  </conditionalFormatting>
  <conditionalFormatting sqref="G2015">
    <cfRule type="cellIs" dxfId="1999" priority="1984" operator="equal">
      <formula>"Baixo"</formula>
    </cfRule>
    <cfRule type="cellIs" dxfId="1998" priority="1985" operator="equal">
      <formula>"Médio"</formula>
    </cfRule>
    <cfRule type="cellIs" dxfId="1997" priority="1986" operator="equal">
      <formula>"Alto"</formula>
    </cfRule>
  </conditionalFormatting>
  <conditionalFormatting sqref="G2016">
    <cfRule type="cellIs" dxfId="1996" priority="1981" operator="equal">
      <formula>"Baixo"</formula>
    </cfRule>
    <cfRule type="cellIs" dxfId="1995" priority="1982" operator="equal">
      <formula>"Médio"</formula>
    </cfRule>
    <cfRule type="cellIs" dxfId="1994" priority="1983" operator="equal">
      <formula>"Alto"</formula>
    </cfRule>
  </conditionalFormatting>
  <conditionalFormatting sqref="G2017">
    <cfRule type="cellIs" dxfId="1993" priority="1978" operator="equal">
      <formula>"Baixo"</formula>
    </cfRule>
    <cfRule type="cellIs" dxfId="1992" priority="1979" operator="equal">
      <formula>"Médio"</formula>
    </cfRule>
    <cfRule type="cellIs" dxfId="1991" priority="1980" operator="equal">
      <formula>"Alto"</formula>
    </cfRule>
  </conditionalFormatting>
  <conditionalFormatting sqref="G2018">
    <cfRule type="cellIs" dxfId="1990" priority="1975" operator="equal">
      <formula>"Baixo"</formula>
    </cfRule>
    <cfRule type="cellIs" dxfId="1989" priority="1976" operator="equal">
      <formula>"Médio"</formula>
    </cfRule>
    <cfRule type="cellIs" dxfId="1988" priority="1977" operator="equal">
      <formula>"Alto"</formula>
    </cfRule>
  </conditionalFormatting>
  <conditionalFormatting sqref="G2019">
    <cfRule type="cellIs" dxfId="1987" priority="1972" operator="equal">
      <formula>"Baixo"</formula>
    </cfRule>
    <cfRule type="cellIs" dxfId="1986" priority="1973" operator="equal">
      <formula>"Médio"</formula>
    </cfRule>
    <cfRule type="cellIs" dxfId="1985" priority="1974" operator="equal">
      <formula>"Alto"</formula>
    </cfRule>
  </conditionalFormatting>
  <conditionalFormatting sqref="G2020">
    <cfRule type="cellIs" dxfId="1984" priority="1969" operator="equal">
      <formula>"Baixo"</formula>
    </cfRule>
    <cfRule type="cellIs" dxfId="1983" priority="1970" operator="equal">
      <formula>"Médio"</formula>
    </cfRule>
    <cfRule type="cellIs" dxfId="1982" priority="1971" operator="equal">
      <formula>"Alto"</formula>
    </cfRule>
  </conditionalFormatting>
  <conditionalFormatting sqref="G2021">
    <cfRule type="cellIs" dxfId="1981" priority="1966" operator="equal">
      <formula>"Baixo"</formula>
    </cfRule>
    <cfRule type="cellIs" dxfId="1980" priority="1967" operator="equal">
      <formula>"Médio"</formula>
    </cfRule>
    <cfRule type="cellIs" dxfId="1979" priority="1968" operator="equal">
      <formula>"Alto"</formula>
    </cfRule>
  </conditionalFormatting>
  <conditionalFormatting sqref="G2022">
    <cfRule type="cellIs" dxfId="1978" priority="1963" operator="equal">
      <formula>"Baixo"</formula>
    </cfRule>
    <cfRule type="cellIs" dxfId="1977" priority="1964" operator="equal">
      <formula>"Médio"</formula>
    </cfRule>
    <cfRule type="cellIs" dxfId="1976" priority="1965" operator="equal">
      <formula>"Alto"</formula>
    </cfRule>
  </conditionalFormatting>
  <conditionalFormatting sqref="G2023">
    <cfRule type="cellIs" dxfId="1975" priority="1960" operator="equal">
      <formula>"Baixo"</formula>
    </cfRule>
    <cfRule type="cellIs" dxfId="1974" priority="1961" operator="equal">
      <formula>"Médio"</formula>
    </cfRule>
    <cfRule type="cellIs" dxfId="1973" priority="1962" operator="equal">
      <formula>"Alto"</formula>
    </cfRule>
  </conditionalFormatting>
  <conditionalFormatting sqref="G2024">
    <cfRule type="cellIs" dxfId="1972" priority="1957" operator="equal">
      <formula>"Baixo"</formula>
    </cfRule>
    <cfRule type="cellIs" dxfId="1971" priority="1958" operator="equal">
      <formula>"Médio"</formula>
    </cfRule>
    <cfRule type="cellIs" dxfId="1970" priority="1959" operator="equal">
      <formula>"Alto"</formula>
    </cfRule>
  </conditionalFormatting>
  <conditionalFormatting sqref="G2025">
    <cfRule type="cellIs" dxfId="1969" priority="1954" operator="equal">
      <formula>"Baixo"</formula>
    </cfRule>
    <cfRule type="cellIs" dxfId="1968" priority="1955" operator="equal">
      <formula>"Médio"</formula>
    </cfRule>
    <cfRule type="cellIs" dxfId="1967" priority="1956" operator="equal">
      <formula>"Alto"</formula>
    </cfRule>
  </conditionalFormatting>
  <conditionalFormatting sqref="G2026">
    <cfRule type="cellIs" dxfId="1966" priority="1951" operator="equal">
      <formula>"Baixo"</formula>
    </cfRule>
    <cfRule type="cellIs" dxfId="1965" priority="1952" operator="equal">
      <formula>"Médio"</formula>
    </cfRule>
    <cfRule type="cellIs" dxfId="1964" priority="1953" operator="equal">
      <formula>"Alto"</formula>
    </cfRule>
  </conditionalFormatting>
  <conditionalFormatting sqref="G2027">
    <cfRule type="cellIs" dxfId="1963" priority="1948" operator="equal">
      <formula>"Baixo"</formula>
    </cfRule>
    <cfRule type="cellIs" dxfId="1962" priority="1949" operator="equal">
      <formula>"Médio"</formula>
    </cfRule>
    <cfRule type="cellIs" dxfId="1961" priority="1950" operator="equal">
      <formula>"Alto"</formula>
    </cfRule>
  </conditionalFormatting>
  <conditionalFormatting sqref="G2028">
    <cfRule type="cellIs" dxfId="1960" priority="1945" operator="equal">
      <formula>"Baixo"</formula>
    </cfRule>
    <cfRule type="cellIs" dxfId="1959" priority="1946" operator="equal">
      <formula>"Médio"</formula>
    </cfRule>
    <cfRule type="cellIs" dxfId="1958" priority="1947" operator="equal">
      <formula>"Alto"</formula>
    </cfRule>
  </conditionalFormatting>
  <conditionalFormatting sqref="G2029">
    <cfRule type="cellIs" dxfId="1957" priority="1942" operator="equal">
      <formula>"Baixo"</formula>
    </cfRule>
    <cfRule type="cellIs" dxfId="1956" priority="1943" operator="equal">
      <formula>"Médio"</formula>
    </cfRule>
    <cfRule type="cellIs" dxfId="1955" priority="1944" operator="equal">
      <formula>"Alto"</formula>
    </cfRule>
  </conditionalFormatting>
  <conditionalFormatting sqref="G2030">
    <cfRule type="cellIs" dxfId="1954" priority="1939" operator="equal">
      <formula>"Baixo"</formula>
    </cfRule>
    <cfRule type="cellIs" dxfId="1953" priority="1940" operator="equal">
      <formula>"Médio"</formula>
    </cfRule>
    <cfRule type="cellIs" dxfId="1952" priority="1941" operator="equal">
      <formula>"Alto"</formula>
    </cfRule>
  </conditionalFormatting>
  <conditionalFormatting sqref="G2031">
    <cfRule type="cellIs" dxfId="1951" priority="1936" operator="equal">
      <formula>"Baixo"</formula>
    </cfRule>
    <cfRule type="cellIs" dxfId="1950" priority="1937" operator="equal">
      <formula>"Médio"</formula>
    </cfRule>
    <cfRule type="cellIs" dxfId="1949" priority="1938" operator="equal">
      <formula>"Alto"</formula>
    </cfRule>
  </conditionalFormatting>
  <conditionalFormatting sqref="G2032">
    <cfRule type="cellIs" dxfId="1948" priority="1933" operator="equal">
      <formula>"Baixo"</formula>
    </cfRule>
    <cfRule type="cellIs" dxfId="1947" priority="1934" operator="equal">
      <formula>"Médio"</formula>
    </cfRule>
    <cfRule type="cellIs" dxfId="1946" priority="1935" operator="equal">
      <formula>"Alto"</formula>
    </cfRule>
  </conditionalFormatting>
  <conditionalFormatting sqref="G2033">
    <cfRule type="cellIs" dxfId="1945" priority="1930" operator="equal">
      <formula>"Baixo"</formula>
    </cfRule>
    <cfRule type="cellIs" dxfId="1944" priority="1931" operator="equal">
      <formula>"Médio"</formula>
    </cfRule>
    <cfRule type="cellIs" dxfId="1943" priority="1932" operator="equal">
      <formula>"Alto"</formula>
    </cfRule>
  </conditionalFormatting>
  <conditionalFormatting sqref="G2034">
    <cfRule type="cellIs" dxfId="1942" priority="1927" operator="equal">
      <formula>"Baixo"</formula>
    </cfRule>
    <cfRule type="cellIs" dxfId="1941" priority="1928" operator="equal">
      <formula>"Médio"</formula>
    </cfRule>
    <cfRule type="cellIs" dxfId="1940" priority="1929" operator="equal">
      <formula>"Alto"</formula>
    </cfRule>
  </conditionalFormatting>
  <conditionalFormatting sqref="G2035">
    <cfRule type="cellIs" dxfId="1939" priority="1924" operator="equal">
      <formula>"Baixo"</formula>
    </cfRule>
    <cfRule type="cellIs" dxfId="1938" priority="1925" operator="equal">
      <formula>"Médio"</formula>
    </cfRule>
    <cfRule type="cellIs" dxfId="1937" priority="1926" operator="equal">
      <formula>"Alto"</formula>
    </cfRule>
  </conditionalFormatting>
  <conditionalFormatting sqref="G2036">
    <cfRule type="cellIs" dxfId="1936" priority="1921" operator="equal">
      <formula>"Baixo"</formula>
    </cfRule>
    <cfRule type="cellIs" dxfId="1935" priority="1922" operator="equal">
      <formula>"Médio"</formula>
    </cfRule>
    <cfRule type="cellIs" dxfId="1934" priority="1923" operator="equal">
      <formula>"Alto"</formula>
    </cfRule>
  </conditionalFormatting>
  <conditionalFormatting sqref="G2037">
    <cfRule type="cellIs" dxfId="1933" priority="1918" operator="equal">
      <formula>"Baixo"</formula>
    </cfRule>
    <cfRule type="cellIs" dxfId="1932" priority="1919" operator="equal">
      <formula>"Médio"</formula>
    </cfRule>
    <cfRule type="cellIs" dxfId="1931" priority="1920" operator="equal">
      <formula>"Alto"</formula>
    </cfRule>
  </conditionalFormatting>
  <conditionalFormatting sqref="G2038">
    <cfRule type="cellIs" dxfId="1930" priority="1915" operator="equal">
      <formula>"Baixo"</formula>
    </cfRule>
    <cfRule type="cellIs" dxfId="1929" priority="1916" operator="equal">
      <formula>"Médio"</formula>
    </cfRule>
    <cfRule type="cellIs" dxfId="1928" priority="1917" operator="equal">
      <formula>"Alto"</formula>
    </cfRule>
  </conditionalFormatting>
  <conditionalFormatting sqref="G2039">
    <cfRule type="cellIs" dxfId="1927" priority="1912" operator="equal">
      <formula>"Baixo"</formula>
    </cfRule>
    <cfRule type="cellIs" dxfId="1926" priority="1913" operator="equal">
      <formula>"Médio"</formula>
    </cfRule>
    <cfRule type="cellIs" dxfId="1925" priority="1914" operator="equal">
      <formula>"Alto"</formula>
    </cfRule>
  </conditionalFormatting>
  <conditionalFormatting sqref="G2040">
    <cfRule type="cellIs" dxfId="1924" priority="1909" operator="equal">
      <formula>"Baixo"</formula>
    </cfRule>
    <cfRule type="cellIs" dxfId="1923" priority="1910" operator="equal">
      <formula>"Médio"</formula>
    </cfRule>
    <cfRule type="cellIs" dxfId="1922" priority="1911" operator="equal">
      <formula>"Alto"</formula>
    </cfRule>
  </conditionalFormatting>
  <conditionalFormatting sqref="G2041">
    <cfRule type="cellIs" dxfId="1921" priority="1906" operator="equal">
      <formula>"Baixo"</formula>
    </cfRule>
    <cfRule type="cellIs" dxfId="1920" priority="1907" operator="equal">
      <formula>"Médio"</formula>
    </cfRule>
    <cfRule type="cellIs" dxfId="1919" priority="1908" operator="equal">
      <formula>"Alto"</formula>
    </cfRule>
  </conditionalFormatting>
  <conditionalFormatting sqref="G2042">
    <cfRule type="cellIs" dxfId="1918" priority="1903" operator="equal">
      <formula>"Baixo"</formula>
    </cfRule>
    <cfRule type="cellIs" dxfId="1917" priority="1904" operator="equal">
      <formula>"Médio"</formula>
    </cfRule>
    <cfRule type="cellIs" dxfId="1916" priority="1905" operator="equal">
      <formula>"Alto"</formula>
    </cfRule>
  </conditionalFormatting>
  <conditionalFormatting sqref="G2043">
    <cfRule type="cellIs" dxfId="1915" priority="1900" operator="equal">
      <formula>"Baixo"</formula>
    </cfRule>
    <cfRule type="cellIs" dxfId="1914" priority="1901" operator="equal">
      <formula>"Médio"</formula>
    </cfRule>
    <cfRule type="cellIs" dxfId="1913" priority="1902" operator="equal">
      <formula>"Alto"</formula>
    </cfRule>
  </conditionalFormatting>
  <conditionalFormatting sqref="G2044">
    <cfRule type="cellIs" dxfId="1912" priority="1897" operator="equal">
      <formula>"Baixo"</formula>
    </cfRule>
    <cfRule type="cellIs" dxfId="1911" priority="1898" operator="equal">
      <formula>"Médio"</formula>
    </cfRule>
    <cfRule type="cellIs" dxfId="1910" priority="1899" operator="equal">
      <formula>"Alto"</formula>
    </cfRule>
  </conditionalFormatting>
  <conditionalFormatting sqref="G2045">
    <cfRule type="cellIs" dxfId="1909" priority="1894" operator="equal">
      <formula>"Baixo"</formula>
    </cfRule>
    <cfRule type="cellIs" dxfId="1908" priority="1895" operator="equal">
      <formula>"Médio"</formula>
    </cfRule>
    <cfRule type="cellIs" dxfId="1907" priority="1896" operator="equal">
      <formula>"Alto"</formula>
    </cfRule>
  </conditionalFormatting>
  <conditionalFormatting sqref="G2046">
    <cfRule type="cellIs" dxfId="1906" priority="1891" operator="equal">
      <formula>"Baixo"</formula>
    </cfRule>
    <cfRule type="cellIs" dxfId="1905" priority="1892" operator="equal">
      <formula>"Médio"</formula>
    </cfRule>
    <cfRule type="cellIs" dxfId="1904" priority="1893" operator="equal">
      <formula>"Alto"</formula>
    </cfRule>
  </conditionalFormatting>
  <conditionalFormatting sqref="G2047">
    <cfRule type="cellIs" dxfId="1903" priority="1888" operator="equal">
      <formula>"Baixo"</formula>
    </cfRule>
    <cfRule type="cellIs" dxfId="1902" priority="1889" operator="equal">
      <formula>"Médio"</formula>
    </cfRule>
    <cfRule type="cellIs" dxfId="1901" priority="1890" operator="equal">
      <formula>"Alto"</formula>
    </cfRule>
  </conditionalFormatting>
  <conditionalFormatting sqref="G2048">
    <cfRule type="cellIs" dxfId="1900" priority="1885" operator="equal">
      <formula>"Baixo"</formula>
    </cfRule>
    <cfRule type="cellIs" dxfId="1899" priority="1886" operator="equal">
      <formula>"Médio"</formula>
    </cfRule>
    <cfRule type="cellIs" dxfId="1898" priority="1887" operator="equal">
      <formula>"Alto"</formula>
    </cfRule>
  </conditionalFormatting>
  <conditionalFormatting sqref="G2049">
    <cfRule type="cellIs" dxfId="1897" priority="1882" operator="equal">
      <formula>"Baixo"</formula>
    </cfRule>
    <cfRule type="cellIs" dxfId="1896" priority="1883" operator="equal">
      <formula>"Médio"</formula>
    </cfRule>
    <cfRule type="cellIs" dxfId="1895" priority="1884" operator="equal">
      <formula>"Alto"</formula>
    </cfRule>
  </conditionalFormatting>
  <conditionalFormatting sqref="G2050">
    <cfRule type="cellIs" dxfId="1894" priority="1879" operator="equal">
      <formula>"Baixo"</formula>
    </cfRule>
    <cfRule type="cellIs" dxfId="1893" priority="1880" operator="equal">
      <formula>"Médio"</formula>
    </cfRule>
    <cfRule type="cellIs" dxfId="1892" priority="1881" operator="equal">
      <formula>"Alto"</formula>
    </cfRule>
  </conditionalFormatting>
  <conditionalFormatting sqref="G2051">
    <cfRule type="cellIs" dxfId="1891" priority="1876" operator="equal">
      <formula>"Baixo"</formula>
    </cfRule>
    <cfRule type="cellIs" dxfId="1890" priority="1877" operator="equal">
      <formula>"Médio"</formula>
    </cfRule>
    <cfRule type="cellIs" dxfId="1889" priority="1878" operator="equal">
      <formula>"Alto"</formula>
    </cfRule>
  </conditionalFormatting>
  <conditionalFormatting sqref="G2052">
    <cfRule type="cellIs" dxfId="1888" priority="1873" operator="equal">
      <formula>"Baixo"</formula>
    </cfRule>
    <cfRule type="cellIs" dxfId="1887" priority="1874" operator="equal">
      <formula>"Médio"</formula>
    </cfRule>
    <cfRule type="cellIs" dxfId="1886" priority="1875" operator="equal">
      <formula>"Alto"</formula>
    </cfRule>
  </conditionalFormatting>
  <conditionalFormatting sqref="G2053">
    <cfRule type="cellIs" dxfId="1885" priority="1870" operator="equal">
      <formula>"Baixo"</formula>
    </cfRule>
    <cfRule type="cellIs" dxfId="1884" priority="1871" operator="equal">
      <formula>"Médio"</formula>
    </cfRule>
    <cfRule type="cellIs" dxfId="1883" priority="1872" operator="equal">
      <formula>"Alto"</formula>
    </cfRule>
  </conditionalFormatting>
  <conditionalFormatting sqref="G2054">
    <cfRule type="cellIs" dxfId="1882" priority="1867" operator="equal">
      <formula>"Baixo"</formula>
    </cfRule>
    <cfRule type="cellIs" dxfId="1881" priority="1868" operator="equal">
      <formula>"Médio"</formula>
    </cfRule>
    <cfRule type="cellIs" dxfId="1880" priority="1869" operator="equal">
      <formula>"Alto"</formula>
    </cfRule>
  </conditionalFormatting>
  <conditionalFormatting sqref="G2055">
    <cfRule type="cellIs" dxfId="1879" priority="1864" operator="equal">
      <formula>"Baixo"</formula>
    </cfRule>
    <cfRule type="cellIs" dxfId="1878" priority="1865" operator="equal">
      <formula>"Médio"</formula>
    </cfRule>
    <cfRule type="cellIs" dxfId="1877" priority="1866" operator="equal">
      <formula>"Alto"</formula>
    </cfRule>
  </conditionalFormatting>
  <conditionalFormatting sqref="G2056">
    <cfRule type="cellIs" dxfId="1876" priority="1861" operator="equal">
      <formula>"Baixo"</formula>
    </cfRule>
    <cfRule type="cellIs" dxfId="1875" priority="1862" operator="equal">
      <formula>"Médio"</formula>
    </cfRule>
    <cfRule type="cellIs" dxfId="1874" priority="1863" operator="equal">
      <formula>"Alto"</formula>
    </cfRule>
  </conditionalFormatting>
  <conditionalFormatting sqref="G2057">
    <cfRule type="cellIs" dxfId="1873" priority="1858" operator="equal">
      <formula>"Baixo"</formula>
    </cfRule>
    <cfRule type="cellIs" dxfId="1872" priority="1859" operator="equal">
      <formula>"Médio"</formula>
    </cfRule>
    <cfRule type="cellIs" dxfId="1871" priority="1860" operator="equal">
      <formula>"Alto"</formula>
    </cfRule>
  </conditionalFormatting>
  <conditionalFormatting sqref="G2058">
    <cfRule type="cellIs" dxfId="1870" priority="1855" operator="equal">
      <formula>"Baixo"</formula>
    </cfRule>
    <cfRule type="cellIs" dxfId="1869" priority="1856" operator="equal">
      <formula>"Médio"</formula>
    </cfRule>
    <cfRule type="cellIs" dxfId="1868" priority="1857" operator="equal">
      <formula>"Alto"</formula>
    </cfRule>
  </conditionalFormatting>
  <conditionalFormatting sqref="G2059">
    <cfRule type="cellIs" dxfId="1867" priority="1852" operator="equal">
      <formula>"Baixo"</formula>
    </cfRule>
    <cfRule type="cellIs" dxfId="1866" priority="1853" operator="equal">
      <formula>"Médio"</formula>
    </cfRule>
    <cfRule type="cellIs" dxfId="1865" priority="1854" operator="equal">
      <formula>"Alto"</formula>
    </cfRule>
  </conditionalFormatting>
  <conditionalFormatting sqref="G2060">
    <cfRule type="cellIs" dxfId="1864" priority="1849" operator="equal">
      <formula>"Baixo"</formula>
    </cfRule>
    <cfRule type="cellIs" dxfId="1863" priority="1850" operator="equal">
      <formula>"Médio"</formula>
    </cfRule>
    <cfRule type="cellIs" dxfId="1862" priority="1851" operator="equal">
      <formula>"Alto"</formula>
    </cfRule>
  </conditionalFormatting>
  <conditionalFormatting sqref="G2061">
    <cfRule type="cellIs" dxfId="1861" priority="1846" operator="equal">
      <formula>"Baixo"</formula>
    </cfRule>
    <cfRule type="cellIs" dxfId="1860" priority="1847" operator="equal">
      <formula>"Médio"</formula>
    </cfRule>
    <cfRule type="cellIs" dxfId="1859" priority="1848" operator="equal">
      <formula>"Alto"</formula>
    </cfRule>
  </conditionalFormatting>
  <conditionalFormatting sqref="G2062">
    <cfRule type="cellIs" dxfId="1858" priority="1843" operator="equal">
      <formula>"Baixo"</formula>
    </cfRule>
    <cfRule type="cellIs" dxfId="1857" priority="1844" operator="equal">
      <formula>"Médio"</formula>
    </cfRule>
    <cfRule type="cellIs" dxfId="1856" priority="1845" operator="equal">
      <formula>"Alto"</formula>
    </cfRule>
  </conditionalFormatting>
  <conditionalFormatting sqref="G2063">
    <cfRule type="cellIs" dxfId="1855" priority="1840" operator="equal">
      <formula>"Baixo"</formula>
    </cfRule>
    <cfRule type="cellIs" dxfId="1854" priority="1841" operator="equal">
      <formula>"Médio"</formula>
    </cfRule>
    <cfRule type="cellIs" dxfId="1853" priority="1842" operator="equal">
      <formula>"Alto"</formula>
    </cfRule>
  </conditionalFormatting>
  <conditionalFormatting sqref="G2064">
    <cfRule type="cellIs" dxfId="1852" priority="1837" operator="equal">
      <formula>"Baixo"</formula>
    </cfRule>
    <cfRule type="cellIs" dxfId="1851" priority="1838" operator="equal">
      <formula>"Médio"</formula>
    </cfRule>
    <cfRule type="cellIs" dxfId="1850" priority="1839" operator="equal">
      <formula>"Alto"</formula>
    </cfRule>
  </conditionalFormatting>
  <conditionalFormatting sqref="G2065">
    <cfRule type="cellIs" dxfId="1849" priority="1834" operator="equal">
      <formula>"Baixo"</formula>
    </cfRule>
    <cfRule type="cellIs" dxfId="1848" priority="1835" operator="equal">
      <formula>"Médio"</formula>
    </cfRule>
    <cfRule type="cellIs" dxfId="1847" priority="1836" operator="equal">
      <formula>"Alto"</formula>
    </cfRule>
  </conditionalFormatting>
  <conditionalFormatting sqref="G2066">
    <cfRule type="cellIs" dxfId="1846" priority="1831" operator="equal">
      <formula>"Baixo"</formula>
    </cfRule>
    <cfRule type="cellIs" dxfId="1845" priority="1832" operator="equal">
      <formula>"Médio"</formula>
    </cfRule>
    <cfRule type="cellIs" dxfId="1844" priority="1833" operator="equal">
      <formula>"Alto"</formula>
    </cfRule>
  </conditionalFormatting>
  <conditionalFormatting sqref="G2067">
    <cfRule type="cellIs" dxfId="1843" priority="1828" operator="equal">
      <formula>"Baixo"</formula>
    </cfRule>
    <cfRule type="cellIs" dxfId="1842" priority="1829" operator="equal">
      <formula>"Médio"</formula>
    </cfRule>
    <cfRule type="cellIs" dxfId="1841" priority="1830" operator="equal">
      <formula>"Alto"</formula>
    </cfRule>
  </conditionalFormatting>
  <conditionalFormatting sqref="G2068">
    <cfRule type="cellIs" dxfId="1840" priority="1825" operator="equal">
      <formula>"Baixo"</formula>
    </cfRule>
    <cfRule type="cellIs" dxfId="1839" priority="1826" operator="equal">
      <formula>"Médio"</formula>
    </cfRule>
    <cfRule type="cellIs" dxfId="1838" priority="1827" operator="equal">
      <formula>"Alto"</formula>
    </cfRule>
  </conditionalFormatting>
  <conditionalFormatting sqref="G2069">
    <cfRule type="cellIs" dxfId="1837" priority="1822" operator="equal">
      <formula>"Baixo"</formula>
    </cfRule>
    <cfRule type="cellIs" dxfId="1836" priority="1823" operator="equal">
      <formula>"Médio"</formula>
    </cfRule>
    <cfRule type="cellIs" dxfId="1835" priority="1824" operator="equal">
      <formula>"Alto"</formula>
    </cfRule>
  </conditionalFormatting>
  <conditionalFormatting sqref="G2070">
    <cfRule type="cellIs" dxfId="1834" priority="1819" operator="equal">
      <formula>"Baixo"</formula>
    </cfRule>
    <cfRule type="cellIs" dxfId="1833" priority="1820" operator="equal">
      <formula>"Médio"</formula>
    </cfRule>
    <cfRule type="cellIs" dxfId="1832" priority="1821" operator="equal">
      <formula>"Alto"</formula>
    </cfRule>
  </conditionalFormatting>
  <conditionalFormatting sqref="G2071">
    <cfRule type="cellIs" dxfId="1831" priority="1816" operator="equal">
      <formula>"Baixo"</formula>
    </cfRule>
    <cfRule type="cellIs" dxfId="1830" priority="1817" operator="equal">
      <formula>"Médio"</formula>
    </cfRule>
    <cfRule type="cellIs" dxfId="1829" priority="1818" operator="equal">
      <formula>"Alto"</formula>
    </cfRule>
  </conditionalFormatting>
  <conditionalFormatting sqref="G2072">
    <cfRule type="cellIs" dxfId="1828" priority="1813" operator="equal">
      <formula>"Baixo"</formula>
    </cfRule>
    <cfRule type="cellIs" dxfId="1827" priority="1814" operator="equal">
      <formula>"Médio"</formula>
    </cfRule>
    <cfRule type="cellIs" dxfId="1826" priority="1815" operator="equal">
      <formula>"Alto"</formula>
    </cfRule>
  </conditionalFormatting>
  <conditionalFormatting sqref="G2073">
    <cfRule type="cellIs" dxfId="1825" priority="1810" operator="equal">
      <formula>"Baixo"</formula>
    </cfRule>
    <cfRule type="cellIs" dxfId="1824" priority="1811" operator="equal">
      <formula>"Médio"</formula>
    </cfRule>
    <cfRule type="cellIs" dxfId="1823" priority="1812" operator="equal">
      <formula>"Alto"</formula>
    </cfRule>
  </conditionalFormatting>
  <conditionalFormatting sqref="G2074">
    <cfRule type="cellIs" dxfId="1822" priority="1807" operator="equal">
      <formula>"Baixo"</formula>
    </cfRule>
    <cfRule type="cellIs" dxfId="1821" priority="1808" operator="equal">
      <formula>"Médio"</formula>
    </cfRule>
    <cfRule type="cellIs" dxfId="1820" priority="1809" operator="equal">
      <formula>"Alto"</formula>
    </cfRule>
  </conditionalFormatting>
  <conditionalFormatting sqref="G2075">
    <cfRule type="cellIs" dxfId="1819" priority="1804" operator="equal">
      <formula>"Baixo"</formula>
    </cfRule>
    <cfRule type="cellIs" dxfId="1818" priority="1805" operator="equal">
      <formula>"Médio"</formula>
    </cfRule>
    <cfRule type="cellIs" dxfId="1817" priority="1806" operator="equal">
      <formula>"Alto"</formula>
    </cfRule>
  </conditionalFormatting>
  <conditionalFormatting sqref="G2076">
    <cfRule type="cellIs" dxfId="1816" priority="1801" operator="equal">
      <formula>"Baixo"</formula>
    </cfRule>
    <cfRule type="cellIs" dxfId="1815" priority="1802" operator="equal">
      <formula>"Médio"</formula>
    </cfRule>
    <cfRule type="cellIs" dxfId="1814" priority="1803" operator="equal">
      <formula>"Alto"</formula>
    </cfRule>
  </conditionalFormatting>
  <conditionalFormatting sqref="G2077">
    <cfRule type="cellIs" dxfId="1813" priority="1798" operator="equal">
      <formula>"Baixo"</formula>
    </cfRule>
    <cfRule type="cellIs" dxfId="1812" priority="1799" operator="equal">
      <formula>"Médio"</formula>
    </cfRule>
    <cfRule type="cellIs" dxfId="1811" priority="1800" operator="equal">
      <formula>"Alto"</formula>
    </cfRule>
  </conditionalFormatting>
  <conditionalFormatting sqref="G2078">
    <cfRule type="cellIs" dxfId="1810" priority="1795" operator="equal">
      <formula>"Baixo"</formula>
    </cfRule>
    <cfRule type="cellIs" dxfId="1809" priority="1796" operator="equal">
      <formula>"Médio"</formula>
    </cfRule>
    <cfRule type="cellIs" dxfId="1808" priority="1797" operator="equal">
      <formula>"Alto"</formula>
    </cfRule>
  </conditionalFormatting>
  <conditionalFormatting sqref="G2079">
    <cfRule type="cellIs" dxfId="1807" priority="1792" operator="equal">
      <formula>"Baixo"</formula>
    </cfRule>
    <cfRule type="cellIs" dxfId="1806" priority="1793" operator="equal">
      <formula>"Médio"</formula>
    </cfRule>
    <cfRule type="cellIs" dxfId="1805" priority="1794" operator="equal">
      <formula>"Alto"</formula>
    </cfRule>
  </conditionalFormatting>
  <conditionalFormatting sqref="G2080">
    <cfRule type="cellIs" dxfId="1804" priority="1789" operator="equal">
      <formula>"Baixo"</formula>
    </cfRule>
    <cfRule type="cellIs" dxfId="1803" priority="1790" operator="equal">
      <formula>"Médio"</formula>
    </cfRule>
    <cfRule type="cellIs" dxfId="1802" priority="1791" operator="equal">
      <formula>"Alto"</formula>
    </cfRule>
  </conditionalFormatting>
  <conditionalFormatting sqref="G2081">
    <cfRule type="cellIs" dxfId="1801" priority="1786" operator="equal">
      <formula>"Baixo"</formula>
    </cfRule>
    <cfRule type="cellIs" dxfId="1800" priority="1787" operator="equal">
      <formula>"Médio"</formula>
    </cfRule>
    <cfRule type="cellIs" dxfId="1799" priority="1788" operator="equal">
      <formula>"Alto"</formula>
    </cfRule>
  </conditionalFormatting>
  <conditionalFormatting sqref="G2082">
    <cfRule type="cellIs" dxfId="1798" priority="1783" operator="equal">
      <formula>"Baixo"</formula>
    </cfRule>
    <cfRule type="cellIs" dxfId="1797" priority="1784" operator="equal">
      <formula>"Médio"</formula>
    </cfRule>
    <cfRule type="cellIs" dxfId="1796" priority="1785" operator="equal">
      <formula>"Alto"</formula>
    </cfRule>
  </conditionalFormatting>
  <conditionalFormatting sqref="G2083">
    <cfRule type="cellIs" dxfId="1795" priority="1780" operator="equal">
      <formula>"Baixo"</formula>
    </cfRule>
    <cfRule type="cellIs" dxfId="1794" priority="1781" operator="equal">
      <formula>"Médio"</formula>
    </cfRule>
    <cfRule type="cellIs" dxfId="1793" priority="1782" operator="equal">
      <formula>"Alto"</formula>
    </cfRule>
  </conditionalFormatting>
  <conditionalFormatting sqref="G2084">
    <cfRule type="cellIs" dxfId="1792" priority="1777" operator="equal">
      <formula>"Baixo"</formula>
    </cfRule>
    <cfRule type="cellIs" dxfId="1791" priority="1778" operator="equal">
      <formula>"Médio"</formula>
    </cfRule>
    <cfRule type="cellIs" dxfId="1790" priority="1779" operator="equal">
      <formula>"Alto"</formula>
    </cfRule>
  </conditionalFormatting>
  <conditionalFormatting sqref="G2085">
    <cfRule type="cellIs" dxfId="1789" priority="1774" operator="equal">
      <formula>"Baixo"</formula>
    </cfRule>
    <cfRule type="cellIs" dxfId="1788" priority="1775" operator="equal">
      <formula>"Médio"</formula>
    </cfRule>
    <cfRule type="cellIs" dxfId="1787" priority="1776" operator="equal">
      <formula>"Alto"</formula>
    </cfRule>
  </conditionalFormatting>
  <conditionalFormatting sqref="G2086">
    <cfRule type="cellIs" dxfId="1786" priority="1771" operator="equal">
      <formula>"Baixo"</formula>
    </cfRule>
    <cfRule type="cellIs" dxfId="1785" priority="1772" operator="equal">
      <formula>"Médio"</formula>
    </cfRule>
    <cfRule type="cellIs" dxfId="1784" priority="1773" operator="equal">
      <formula>"Alto"</formula>
    </cfRule>
  </conditionalFormatting>
  <conditionalFormatting sqref="G2087">
    <cfRule type="cellIs" dxfId="1783" priority="1768" operator="equal">
      <formula>"Baixo"</formula>
    </cfRule>
    <cfRule type="cellIs" dxfId="1782" priority="1769" operator="equal">
      <formula>"Médio"</formula>
    </cfRule>
    <cfRule type="cellIs" dxfId="1781" priority="1770" operator="equal">
      <formula>"Alto"</formula>
    </cfRule>
  </conditionalFormatting>
  <conditionalFormatting sqref="G2088">
    <cfRule type="cellIs" dxfId="1780" priority="1765" operator="equal">
      <formula>"Baixo"</formula>
    </cfRule>
    <cfRule type="cellIs" dxfId="1779" priority="1766" operator="equal">
      <formula>"Médio"</formula>
    </cfRule>
    <cfRule type="cellIs" dxfId="1778" priority="1767" operator="equal">
      <formula>"Alto"</formula>
    </cfRule>
  </conditionalFormatting>
  <conditionalFormatting sqref="G2089">
    <cfRule type="cellIs" dxfId="1777" priority="1762" operator="equal">
      <formula>"Baixo"</formula>
    </cfRule>
    <cfRule type="cellIs" dxfId="1776" priority="1763" operator="equal">
      <formula>"Médio"</formula>
    </cfRule>
    <cfRule type="cellIs" dxfId="1775" priority="1764" operator="equal">
      <formula>"Alto"</formula>
    </cfRule>
  </conditionalFormatting>
  <conditionalFormatting sqref="G2090">
    <cfRule type="cellIs" dxfId="1774" priority="1759" operator="equal">
      <formula>"Baixo"</formula>
    </cfRule>
    <cfRule type="cellIs" dxfId="1773" priority="1760" operator="equal">
      <formula>"Médio"</formula>
    </cfRule>
    <cfRule type="cellIs" dxfId="1772" priority="1761" operator="equal">
      <formula>"Alto"</formula>
    </cfRule>
  </conditionalFormatting>
  <conditionalFormatting sqref="G2091">
    <cfRule type="cellIs" dxfId="1771" priority="1756" operator="equal">
      <formula>"Baixo"</formula>
    </cfRule>
    <cfRule type="cellIs" dxfId="1770" priority="1757" operator="equal">
      <formula>"Médio"</formula>
    </cfRule>
    <cfRule type="cellIs" dxfId="1769" priority="1758" operator="equal">
      <formula>"Alto"</formula>
    </cfRule>
  </conditionalFormatting>
  <conditionalFormatting sqref="G2092">
    <cfRule type="cellIs" dxfId="1768" priority="1753" operator="equal">
      <formula>"Baixo"</formula>
    </cfRule>
    <cfRule type="cellIs" dxfId="1767" priority="1754" operator="equal">
      <formula>"Médio"</formula>
    </cfRule>
    <cfRule type="cellIs" dxfId="1766" priority="1755" operator="equal">
      <formula>"Alto"</formula>
    </cfRule>
  </conditionalFormatting>
  <conditionalFormatting sqref="G2093">
    <cfRule type="cellIs" dxfId="1765" priority="1750" operator="equal">
      <formula>"Baixo"</formula>
    </cfRule>
    <cfRule type="cellIs" dxfId="1764" priority="1751" operator="equal">
      <formula>"Médio"</formula>
    </cfRule>
    <cfRule type="cellIs" dxfId="1763" priority="1752" operator="equal">
      <formula>"Alto"</formula>
    </cfRule>
  </conditionalFormatting>
  <conditionalFormatting sqref="G2094">
    <cfRule type="cellIs" dxfId="1762" priority="1747" operator="equal">
      <formula>"Baixo"</formula>
    </cfRule>
    <cfRule type="cellIs" dxfId="1761" priority="1748" operator="equal">
      <formula>"Médio"</formula>
    </cfRule>
    <cfRule type="cellIs" dxfId="1760" priority="1749" operator="equal">
      <formula>"Alto"</formula>
    </cfRule>
  </conditionalFormatting>
  <conditionalFormatting sqref="G2095">
    <cfRule type="cellIs" dxfId="1759" priority="1744" operator="equal">
      <formula>"Baixo"</formula>
    </cfRule>
    <cfRule type="cellIs" dxfId="1758" priority="1745" operator="equal">
      <formula>"Médio"</formula>
    </cfRule>
    <cfRule type="cellIs" dxfId="1757" priority="1746" operator="equal">
      <formula>"Alto"</formula>
    </cfRule>
  </conditionalFormatting>
  <conditionalFormatting sqref="G2096">
    <cfRule type="cellIs" dxfId="1756" priority="1741" operator="equal">
      <formula>"Baixo"</formula>
    </cfRule>
    <cfRule type="cellIs" dxfId="1755" priority="1742" operator="equal">
      <formula>"Médio"</formula>
    </cfRule>
    <cfRule type="cellIs" dxfId="1754" priority="1743" operator="equal">
      <formula>"Alto"</formula>
    </cfRule>
  </conditionalFormatting>
  <conditionalFormatting sqref="G2097">
    <cfRule type="cellIs" dxfId="1753" priority="1738" operator="equal">
      <formula>"Baixo"</formula>
    </cfRule>
    <cfRule type="cellIs" dxfId="1752" priority="1739" operator="equal">
      <formula>"Médio"</formula>
    </cfRule>
    <cfRule type="cellIs" dxfId="1751" priority="1740" operator="equal">
      <formula>"Alto"</formula>
    </cfRule>
  </conditionalFormatting>
  <conditionalFormatting sqref="G2098">
    <cfRule type="cellIs" dxfId="1750" priority="1735" operator="equal">
      <formula>"Baixo"</formula>
    </cfRule>
    <cfRule type="cellIs" dxfId="1749" priority="1736" operator="equal">
      <formula>"Médio"</formula>
    </cfRule>
    <cfRule type="cellIs" dxfId="1748" priority="1737" operator="equal">
      <formula>"Alto"</formula>
    </cfRule>
  </conditionalFormatting>
  <conditionalFormatting sqref="G2099">
    <cfRule type="cellIs" dxfId="1747" priority="1732" operator="equal">
      <formula>"Baixo"</formula>
    </cfRule>
    <cfRule type="cellIs" dxfId="1746" priority="1733" operator="equal">
      <formula>"Médio"</formula>
    </cfRule>
    <cfRule type="cellIs" dxfId="1745" priority="1734" operator="equal">
      <formula>"Alto"</formula>
    </cfRule>
  </conditionalFormatting>
  <conditionalFormatting sqref="G2100">
    <cfRule type="cellIs" dxfId="1744" priority="1729" operator="equal">
      <formula>"Baixo"</formula>
    </cfRule>
    <cfRule type="cellIs" dxfId="1743" priority="1730" operator="equal">
      <formula>"Médio"</formula>
    </cfRule>
    <cfRule type="cellIs" dxfId="1742" priority="1731" operator="equal">
      <formula>"Alto"</formula>
    </cfRule>
  </conditionalFormatting>
  <conditionalFormatting sqref="G2101">
    <cfRule type="cellIs" dxfId="1741" priority="1726" operator="equal">
      <formula>"Baixo"</formula>
    </cfRule>
    <cfRule type="cellIs" dxfId="1740" priority="1727" operator="equal">
      <formula>"Médio"</formula>
    </cfRule>
    <cfRule type="cellIs" dxfId="1739" priority="1728" operator="equal">
      <formula>"Alto"</formula>
    </cfRule>
  </conditionalFormatting>
  <conditionalFormatting sqref="G2102">
    <cfRule type="cellIs" dxfId="1738" priority="1723" operator="equal">
      <formula>"Baixo"</formula>
    </cfRule>
    <cfRule type="cellIs" dxfId="1737" priority="1724" operator="equal">
      <formula>"Médio"</formula>
    </cfRule>
    <cfRule type="cellIs" dxfId="1736" priority="1725" operator="equal">
      <formula>"Alto"</formula>
    </cfRule>
  </conditionalFormatting>
  <conditionalFormatting sqref="G2103">
    <cfRule type="cellIs" dxfId="1735" priority="1720" operator="equal">
      <formula>"Baixo"</formula>
    </cfRule>
    <cfRule type="cellIs" dxfId="1734" priority="1721" operator="equal">
      <formula>"Médio"</formula>
    </cfRule>
    <cfRule type="cellIs" dxfId="1733" priority="1722" operator="equal">
      <formula>"Alto"</formula>
    </cfRule>
  </conditionalFormatting>
  <conditionalFormatting sqref="G2104">
    <cfRule type="cellIs" dxfId="1732" priority="1717" operator="equal">
      <formula>"Baixo"</formula>
    </cfRule>
    <cfRule type="cellIs" dxfId="1731" priority="1718" operator="equal">
      <formula>"Médio"</formula>
    </cfRule>
    <cfRule type="cellIs" dxfId="1730" priority="1719" operator="equal">
      <formula>"Alto"</formula>
    </cfRule>
  </conditionalFormatting>
  <conditionalFormatting sqref="G2105">
    <cfRule type="cellIs" dxfId="1729" priority="1714" operator="equal">
      <formula>"Baixo"</formula>
    </cfRule>
    <cfRule type="cellIs" dxfId="1728" priority="1715" operator="equal">
      <formula>"Médio"</formula>
    </cfRule>
    <cfRule type="cellIs" dxfId="1727" priority="1716" operator="equal">
      <formula>"Alto"</formula>
    </cfRule>
  </conditionalFormatting>
  <conditionalFormatting sqref="G2106">
    <cfRule type="cellIs" dxfId="1726" priority="1711" operator="equal">
      <formula>"Baixo"</formula>
    </cfRule>
    <cfRule type="cellIs" dxfId="1725" priority="1712" operator="equal">
      <formula>"Médio"</formula>
    </cfRule>
    <cfRule type="cellIs" dxfId="1724" priority="1713" operator="equal">
      <formula>"Alto"</formula>
    </cfRule>
  </conditionalFormatting>
  <conditionalFormatting sqref="G2107">
    <cfRule type="cellIs" dxfId="1723" priority="1708" operator="equal">
      <formula>"Baixo"</formula>
    </cfRule>
    <cfRule type="cellIs" dxfId="1722" priority="1709" operator="equal">
      <formula>"Médio"</formula>
    </cfRule>
    <cfRule type="cellIs" dxfId="1721" priority="1710" operator="equal">
      <formula>"Alto"</formula>
    </cfRule>
  </conditionalFormatting>
  <conditionalFormatting sqref="G2108">
    <cfRule type="cellIs" dxfId="1720" priority="1705" operator="equal">
      <formula>"Baixo"</formula>
    </cfRule>
    <cfRule type="cellIs" dxfId="1719" priority="1706" operator="equal">
      <formula>"Médio"</formula>
    </cfRule>
    <cfRule type="cellIs" dxfId="1718" priority="1707" operator="equal">
      <formula>"Alto"</formula>
    </cfRule>
  </conditionalFormatting>
  <conditionalFormatting sqref="G2109">
    <cfRule type="cellIs" dxfId="1717" priority="1702" operator="equal">
      <formula>"Baixo"</formula>
    </cfRule>
    <cfRule type="cellIs" dxfId="1716" priority="1703" operator="equal">
      <formula>"Médio"</formula>
    </cfRule>
    <cfRule type="cellIs" dxfId="1715" priority="1704" operator="equal">
      <formula>"Alto"</formula>
    </cfRule>
  </conditionalFormatting>
  <conditionalFormatting sqref="G2110">
    <cfRule type="cellIs" dxfId="1714" priority="1699" operator="equal">
      <formula>"Baixo"</formula>
    </cfRule>
    <cfRule type="cellIs" dxfId="1713" priority="1700" operator="equal">
      <formula>"Médio"</formula>
    </cfRule>
    <cfRule type="cellIs" dxfId="1712" priority="1701" operator="equal">
      <formula>"Alto"</formula>
    </cfRule>
  </conditionalFormatting>
  <conditionalFormatting sqref="G2111">
    <cfRule type="cellIs" dxfId="1711" priority="1696" operator="equal">
      <formula>"Baixo"</formula>
    </cfRule>
    <cfRule type="cellIs" dxfId="1710" priority="1697" operator="equal">
      <formula>"Médio"</formula>
    </cfRule>
    <cfRule type="cellIs" dxfId="1709" priority="1698" operator="equal">
      <formula>"Alto"</formula>
    </cfRule>
  </conditionalFormatting>
  <conditionalFormatting sqref="G2112">
    <cfRule type="cellIs" dxfId="1708" priority="1693" operator="equal">
      <formula>"Baixo"</formula>
    </cfRule>
    <cfRule type="cellIs" dxfId="1707" priority="1694" operator="equal">
      <formula>"Médio"</formula>
    </cfRule>
    <cfRule type="cellIs" dxfId="1706" priority="1695" operator="equal">
      <formula>"Alto"</formula>
    </cfRule>
  </conditionalFormatting>
  <conditionalFormatting sqref="G2113">
    <cfRule type="cellIs" dxfId="1705" priority="1690" operator="equal">
      <formula>"Baixo"</formula>
    </cfRule>
    <cfRule type="cellIs" dxfId="1704" priority="1691" operator="equal">
      <formula>"Médio"</formula>
    </cfRule>
    <cfRule type="cellIs" dxfId="1703" priority="1692" operator="equal">
      <formula>"Alto"</formula>
    </cfRule>
  </conditionalFormatting>
  <conditionalFormatting sqref="G2114">
    <cfRule type="cellIs" dxfId="1702" priority="1687" operator="equal">
      <formula>"Baixo"</formula>
    </cfRule>
    <cfRule type="cellIs" dxfId="1701" priority="1688" operator="equal">
      <formula>"Médio"</formula>
    </cfRule>
    <cfRule type="cellIs" dxfId="1700" priority="1689" operator="equal">
      <formula>"Alto"</formula>
    </cfRule>
  </conditionalFormatting>
  <conditionalFormatting sqref="G2115">
    <cfRule type="cellIs" dxfId="1699" priority="1684" operator="equal">
      <formula>"Baixo"</formula>
    </cfRule>
    <cfRule type="cellIs" dxfId="1698" priority="1685" operator="equal">
      <formula>"Médio"</formula>
    </cfRule>
    <cfRule type="cellIs" dxfId="1697" priority="1686" operator="equal">
      <formula>"Alto"</formula>
    </cfRule>
  </conditionalFormatting>
  <conditionalFormatting sqref="G2116">
    <cfRule type="cellIs" dxfId="1696" priority="1681" operator="equal">
      <formula>"Baixo"</formula>
    </cfRule>
    <cfRule type="cellIs" dxfId="1695" priority="1682" operator="equal">
      <formula>"Médio"</formula>
    </cfRule>
    <cfRule type="cellIs" dxfId="1694" priority="1683" operator="equal">
      <formula>"Alto"</formula>
    </cfRule>
  </conditionalFormatting>
  <conditionalFormatting sqref="G2117">
    <cfRule type="cellIs" dxfId="1693" priority="1678" operator="equal">
      <formula>"Baixo"</formula>
    </cfRule>
    <cfRule type="cellIs" dxfId="1692" priority="1679" operator="equal">
      <formula>"Médio"</formula>
    </cfRule>
    <cfRule type="cellIs" dxfId="1691" priority="1680" operator="equal">
      <formula>"Alto"</formula>
    </cfRule>
  </conditionalFormatting>
  <conditionalFormatting sqref="G2118">
    <cfRule type="cellIs" dxfId="1690" priority="1675" operator="equal">
      <formula>"Baixo"</formula>
    </cfRule>
    <cfRule type="cellIs" dxfId="1689" priority="1676" operator="equal">
      <formula>"Médio"</formula>
    </cfRule>
    <cfRule type="cellIs" dxfId="1688" priority="1677" operator="equal">
      <formula>"Alto"</formula>
    </cfRule>
  </conditionalFormatting>
  <conditionalFormatting sqref="G2119">
    <cfRule type="cellIs" dxfId="1687" priority="1672" operator="equal">
      <formula>"Baixo"</formula>
    </cfRule>
    <cfRule type="cellIs" dxfId="1686" priority="1673" operator="equal">
      <formula>"Médio"</formula>
    </cfRule>
    <cfRule type="cellIs" dxfId="1685" priority="1674" operator="equal">
      <formula>"Alto"</formula>
    </cfRule>
  </conditionalFormatting>
  <conditionalFormatting sqref="G2120">
    <cfRule type="cellIs" dxfId="1684" priority="1669" operator="equal">
      <formula>"Baixo"</formula>
    </cfRule>
    <cfRule type="cellIs" dxfId="1683" priority="1670" operator="equal">
      <formula>"Médio"</formula>
    </cfRule>
    <cfRule type="cellIs" dxfId="1682" priority="1671" operator="equal">
      <formula>"Alto"</formula>
    </cfRule>
  </conditionalFormatting>
  <conditionalFormatting sqref="G2121">
    <cfRule type="cellIs" dxfId="1681" priority="1666" operator="equal">
      <formula>"Baixo"</formula>
    </cfRule>
    <cfRule type="cellIs" dxfId="1680" priority="1667" operator="equal">
      <formula>"Médio"</formula>
    </cfRule>
    <cfRule type="cellIs" dxfId="1679" priority="1668" operator="equal">
      <formula>"Alto"</formula>
    </cfRule>
  </conditionalFormatting>
  <conditionalFormatting sqref="G2122">
    <cfRule type="cellIs" dxfId="1678" priority="1663" operator="equal">
      <formula>"Baixo"</formula>
    </cfRule>
    <cfRule type="cellIs" dxfId="1677" priority="1664" operator="equal">
      <formula>"Médio"</formula>
    </cfRule>
    <cfRule type="cellIs" dxfId="1676" priority="1665" operator="equal">
      <formula>"Alto"</formula>
    </cfRule>
  </conditionalFormatting>
  <conditionalFormatting sqref="G2123">
    <cfRule type="cellIs" dxfId="1675" priority="1660" operator="equal">
      <formula>"Baixo"</formula>
    </cfRule>
    <cfRule type="cellIs" dxfId="1674" priority="1661" operator="equal">
      <formula>"Médio"</formula>
    </cfRule>
    <cfRule type="cellIs" dxfId="1673" priority="1662" operator="equal">
      <formula>"Alto"</formula>
    </cfRule>
  </conditionalFormatting>
  <conditionalFormatting sqref="G2124">
    <cfRule type="cellIs" dxfId="1672" priority="1657" operator="equal">
      <formula>"Baixo"</formula>
    </cfRule>
    <cfRule type="cellIs" dxfId="1671" priority="1658" operator="equal">
      <formula>"Médio"</formula>
    </cfRule>
    <cfRule type="cellIs" dxfId="1670" priority="1659" operator="equal">
      <formula>"Alto"</formula>
    </cfRule>
  </conditionalFormatting>
  <conditionalFormatting sqref="G2125">
    <cfRule type="cellIs" dxfId="1669" priority="1654" operator="equal">
      <formula>"Baixo"</formula>
    </cfRule>
    <cfRule type="cellIs" dxfId="1668" priority="1655" operator="equal">
      <formula>"Médio"</formula>
    </cfRule>
    <cfRule type="cellIs" dxfId="1667" priority="1656" operator="equal">
      <formula>"Alto"</formula>
    </cfRule>
  </conditionalFormatting>
  <conditionalFormatting sqref="G2126">
    <cfRule type="cellIs" dxfId="1666" priority="1651" operator="equal">
      <formula>"Baixo"</formula>
    </cfRule>
    <cfRule type="cellIs" dxfId="1665" priority="1652" operator="equal">
      <formula>"Médio"</formula>
    </cfRule>
    <cfRule type="cellIs" dxfId="1664" priority="1653" operator="equal">
      <formula>"Alto"</formula>
    </cfRule>
  </conditionalFormatting>
  <conditionalFormatting sqref="G2127">
    <cfRule type="cellIs" dxfId="1663" priority="1648" operator="equal">
      <formula>"Baixo"</formula>
    </cfRule>
    <cfRule type="cellIs" dxfId="1662" priority="1649" operator="equal">
      <formula>"Médio"</formula>
    </cfRule>
    <cfRule type="cellIs" dxfId="1661" priority="1650" operator="equal">
      <formula>"Alto"</formula>
    </cfRule>
  </conditionalFormatting>
  <conditionalFormatting sqref="G2128">
    <cfRule type="cellIs" dxfId="1660" priority="1645" operator="equal">
      <formula>"Baixo"</formula>
    </cfRule>
    <cfRule type="cellIs" dxfId="1659" priority="1646" operator="equal">
      <formula>"Médio"</formula>
    </cfRule>
    <cfRule type="cellIs" dxfId="1658" priority="1647" operator="equal">
      <formula>"Alto"</formula>
    </cfRule>
  </conditionalFormatting>
  <conditionalFormatting sqref="G2129">
    <cfRule type="cellIs" dxfId="1657" priority="1642" operator="equal">
      <formula>"Baixo"</formula>
    </cfRule>
    <cfRule type="cellIs" dxfId="1656" priority="1643" operator="equal">
      <formula>"Médio"</formula>
    </cfRule>
    <cfRule type="cellIs" dxfId="1655" priority="1644" operator="equal">
      <formula>"Alto"</formula>
    </cfRule>
  </conditionalFormatting>
  <conditionalFormatting sqref="G2130">
    <cfRule type="cellIs" dxfId="1654" priority="1639" operator="equal">
      <formula>"Baixo"</formula>
    </cfRule>
    <cfRule type="cellIs" dxfId="1653" priority="1640" operator="equal">
      <formula>"Médio"</formula>
    </cfRule>
    <cfRule type="cellIs" dxfId="1652" priority="1641" operator="equal">
      <formula>"Alto"</formula>
    </cfRule>
  </conditionalFormatting>
  <conditionalFormatting sqref="G2131">
    <cfRule type="cellIs" dxfId="1651" priority="1636" operator="equal">
      <formula>"Baixo"</formula>
    </cfRule>
    <cfRule type="cellIs" dxfId="1650" priority="1637" operator="equal">
      <formula>"Médio"</formula>
    </cfRule>
    <cfRule type="cellIs" dxfId="1649" priority="1638" operator="equal">
      <formula>"Alto"</formula>
    </cfRule>
  </conditionalFormatting>
  <conditionalFormatting sqref="G2132">
    <cfRule type="cellIs" dxfId="1648" priority="1633" operator="equal">
      <formula>"Baixo"</formula>
    </cfRule>
    <cfRule type="cellIs" dxfId="1647" priority="1634" operator="equal">
      <formula>"Médio"</formula>
    </cfRule>
    <cfRule type="cellIs" dxfId="1646" priority="1635" operator="equal">
      <formula>"Alto"</formula>
    </cfRule>
  </conditionalFormatting>
  <conditionalFormatting sqref="G2133">
    <cfRule type="cellIs" dxfId="1645" priority="1630" operator="equal">
      <formula>"Baixo"</formula>
    </cfRule>
    <cfRule type="cellIs" dxfId="1644" priority="1631" operator="equal">
      <formula>"Médio"</formula>
    </cfRule>
    <cfRule type="cellIs" dxfId="1643" priority="1632" operator="equal">
      <formula>"Alto"</formula>
    </cfRule>
  </conditionalFormatting>
  <conditionalFormatting sqref="G2134">
    <cfRule type="cellIs" dxfId="1642" priority="1627" operator="equal">
      <formula>"Baixo"</formula>
    </cfRule>
    <cfRule type="cellIs" dxfId="1641" priority="1628" operator="equal">
      <formula>"Médio"</formula>
    </cfRule>
    <cfRule type="cellIs" dxfId="1640" priority="1629" operator="equal">
      <formula>"Alto"</formula>
    </cfRule>
  </conditionalFormatting>
  <conditionalFormatting sqref="G2135">
    <cfRule type="cellIs" dxfId="1639" priority="1624" operator="equal">
      <formula>"Baixo"</formula>
    </cfRule>
    <cfRule type="cellIs" dxfId="1638" priority="1625" operator="equal">
      <formula>"Médio"</formula>
    </cfRule>
    <cfRule type="cellIs" dxfId="1637" priority="1626" operator="equal">
      <formula>"Alto"</formula>
    </cfRule>
  </conditionalFormatting>
  <conditionalFormatting sqref="G2136">
    <cfRule type="cellIs" dxfId="1636" priority="1621" operator="equal">
      <formula>"Baixo"</formula>
    </cfRule>
    <cfRule type="cellIs" dxfId="1635" priority="1622" operator="equal">
      <formula>"Médio"</formula>
    </cfRule>
    <cfRule type="cellIs" dxfId="1634" priority="1623" operator="equal">
      <formula>"Alto"</formula>
    </cfRule>
  </conditionalFormatting>
  <conditionalFormatting sqref="G2137">
    <cfRule type="cellIs" dxfId="1633" priority="1618" operator="equal">
      <formula>"Baixo"</formula>
    </cfRule>
    <cfRule type="cellIs" dxfId="1632" priority="1619" operator="equal">
      <formula>"Médio"</formula>
    </cfRule>
    <cfRule type="cellIs" dxfId="1631" priority="1620" operator="equal">
      <formula>"Alto"</formula>
    </cfRule>
  </conditionalFormatting>
  <conditionalFormatting sqref="G2138">
    <cfRule type="cellIs" dxfId="1630" priority="1615" operator="equal">
      <formula>"Baixo"</formula>
    </cfRule>
    <cfRule type="cellIs" dxfId="1629" priority="1616" operator="equal">
      <formula>"Médio"</formula>
    </cfRule>
    <cfRule type="cellIs" dxfId="1628" priority="1617" operator="equal">
      <formula>"Alto"</formula>
    </cfRule>
  </conditionalFormatting>
  <conditionalFormatting sqref="G2139">
    <cfRule type="cellIs" dxfId="1627" priority="1612" operator="equal">
      <formula>"Baixo"</formula>
    </cfRule>
    <cfRule type="cellIs" dxfId="1626" priority="1613" operator="equal">
      <formula>"Médio"</formula>
    </cfRule>
    <cfRule type="cellIs" dxfId="1625" priority="1614" operator="equal">
      <formula>"Alto"</formula>
    </cfRule>
  </conditionalFormatting>
  <conditionalFormatting sqref="G2140">
    <cfRule type="cellIs" dxfId="1624" priority="1609" operator="equal">
      <formula>"Baixo"</formula>
    </cfRule>
    <cfRule type="cellIs" dxfId="1623" priority="1610" operator="equal">
      <formula>"Médio"</formula>
    </cfRule>
    <cfRule type="cellIs" dxfId="1622" priority="1611" operator="equal">
      <formula>"Alto"</formula>
    </cfRule>
  </conditionalFormatting>
  <conditionalFormatting sqref="G2141">
    <cfRule type="cellIs" dxfId="1621" priority="1606" operator="equal">
      <formula>"Baixo"</formula>
    </cfRule>
    <cfRule type="cellIs" dxfId="1620" priority="1607" operator="equal">
      <formula>"Médio"</formula>
    </cfRule>
    <cfRule type="cellIs" dxfId="1619" priority="1608" operator="equal">
      <formula>"Alto"</formula>
    </cfRule>
  </conditionalFormatting>
  <conditionalFormatting sqref="G2142">
    <cfRule type="cellIs" dxfId="1618" priority="1603" operator="equal">
      <formula>"Baixo"</formula>
    </cfRule>
    <cfRule type="cellIs" dxfId="1617" priority="1604" operator="equal">
      <formula>"Médio"</formula>
    </cfRule>
    <cfRule type="cellIs" dxfId="1616" priority="1605" operator="equal">
      <formula>"Alto"</formula>
    </cfRule>
  </conditionalFormatting>
  <conditionalFormatting sqref="G2143">
    <cfRule type="cellIs" dxfId="1615" priority="1600" operator="equal">
      <formula>"Baixo"</formula>
    </cfRule>
    <cfRule type="cellIs" dxfId="1614" priority="1601" operator="equal">
      <formula>"Médio"</formula>
    </cfRule>
    <cfRule type="cellIs" dxfId="1613" priority="1602" operator="equal">
      <formula>"Alto"</formula>
    </cfRule>
  </conditionalFormatting>
  <conditionalFormatting sqref="G2144">
    <cfRule type="cellIs" dxfId="1612" priority="1597" operator="equal">
      <formula>"Baixo"</formula>
    </cfRule>
    <cfRule type="cellIs" dxfId="1611" priority="1598" operator="equal">
      <formula>"Médio"</formula>
    </cfRule>
    <cfRule type="cellIs" dxfId="1610" priority="1599" operator="equal">
      <formula>"Alto"</formula>
    </cfRule>
  </conditionalFormatting>
  <conditionalFormatting sqref="G2145">
    <cfRule type="cellIs" dxfId="1609" priority="1594" operator="equal">
      <formula>"Baixo"</formula>
    </cfRule>
    <cfRule type="cellIs" dxfId="1608" priority="1595" operator="equal">
      <formula>"Médio"</formula>
    </cfRule>
    <cfRule type="cellIs" dxfId="1607" priority="1596" operator="equal">
      <formula>"Alto"</formula>
    </cfRule>
  </conditionalFormatting>
  <conditionalFormatting sqref="G2146">
    <cfRule type="cellIs" dxfId="1606" priority="1591" operator="equal">
      <formula>"Baixo"</formula>
    </cfRule>
    <cfRule type="cellIs" dxfId="1605" priority="1592" operator="equal">
      <formula>"Médio"</formula>
    </cfRule>
    <cfRule type="cellIs" dxfId="1604" priority="1593" operator="equal">
      <formula>"Alto"</formula>
    </cfRule>
  </conditionalFormatting>
  <conditionalFormatting sqref="G2147">
    <cfRule type="cellIs" dxfId="1603" priority="1588" operator="equal">
      <formula>"Baixo"</formula>
    </cfRule>
    <cfRule type="cellIs" dxfId="1602" priority="1589" operator="equal">
      <formula>"Médio"</formula>
    </cfRule>
    <cfRule type="cellIs" dxfId="1601" priority="1590" operator="equal">
      <formula>"Alto"</formula>
    </cfRule>
  </conditionalFormatting>
  <conditionalFormatting sqref="G2148">
    <cfRule type="cellIs" dxfId="1600" priority="1585" operator="equal">
      <formula>"Baixo"</formula>
    </cfRule>
    <cfRule type="cellIs" dxfId="1599" priority="1586" operator="equal">
      <formula>"Médio"</formula>
    </cfRule>
    <cfRule type="cellIs" dxfId="1598" priority="1587" operator="equal">
      <formula>"Alto"</formula>
    </cfRule>
  </conditionalFormatting>
  <conditionalFormatting sqref="G2149">
    <cfRule type="cellIs" dxfId="1597" priority="1582" operator="equal">
      <formula>"Baixo"</formula>
    </cfRule>
    <cfRule type="cellIs" dxfId="1596" priority="1583" operator="equal">
      <formula>"Médio"</formula>
    </cfRule>
    <cfRule type="cellIs" dxfId="1595" priority="1584" operator="equal">
      <formula>"Alto"</formula>
    </cfRule>
  </conditionalFormatting>
  <conditionalFormatting sqref="G2150">
    <cfRule type="cellIs" dxfId="1594" priority="1579" operator="equal">
      <formula>"Baixo"</formula>
    </cfRule>
    <cfRule type="cellIs" dxfId="1593" priority="1580" operator="equal">
      <formula>"Médio"</formula>
    </cfRule>
    <cfRule type="cellIs" dxfId="1592" priority="1581" operator="equal">
      <formula>"Alto"</formula>
    </cfRule>
  </conditionalFormatting>
  <conditionalFormatting sqref="G2151">
    <cfRule type="cellIs" dxfId="1591" priority="1576" operator="equal">
      <formula>"Baixo"</formula>
    </cfRule>
    <cfRule type="cellIs" dxfId="1590" priority="1577" operator="equal">
      <formula>"Médio"</formula>
    </cfRule>
    <cfRule type="cellIs" dxfId="1589" priority="1578" operator="equal">
      <formula>"Alto"</formula>
    </cfRule>
  </conditionalFormatting>
  <conditionalFormatting sqref="G2152">
    <cfRule type="cellIs" dxfId="1588" priority="1573" operator="equal">
      <formula>"Baixo"</formula>
    </cfRule>
    <cfRule type="cellIs" dxfId="1587" priority="1574" operator="equal">
      <formula>"Médio"</formula>
    </cfRule>
    <cfRule type="cellIs" dxfId="1586" priority="1575" operator="equal">
      <formula>"Alto"</formula>
    </cfRule>
  </conditionalFormatting>
  <conditionalFormatting sqref="G2153">
    <cfRule type="cellIs" dxfId="1585" priority="1570" operator="equal">
      <formula>"Baixo"</formula>
    </cfRule>
    <cfRule type="cellIs" dxfId="1584" priority="1571" operator="equal">
      <formula>"Médio"</formula>
    </cfRule>
    <cfRule type="cellIs" dxfId="1583" priority="1572" operator="equal">
      <formula>"Alto"</formula>
    </cfRule>
  </conditionalFormatting>
  <conditionalFormatting sqref="G2154">
    <cfRule type="cellIs" dxfId="1582" priority="1567" operator="equal">
      <formula>"Baixo"</formula>
    </cfRule>
    <cfRule type="cellIs" dxfId="1581" priority="1568" operator="equal">
      <formula>"Médio"</formula>
    </cfRule>
    <cfRule type="cellIs" dxfId="1580" priority="1569" operator="equal">
      <formula>"Alto"</formula>
    </cfRule>
  </conditionalFormatting>
  <conditionalFormatting sqref="G2155">
    <cfRule type="cellIs" dxfId="1579" priority="1564" operator="equal">
      <formula>"Baixo"</formula>
    </cfRule>
    <cfRule type="cellIs" dxfId="1578" priority="1565" operator="equal">
      <formula>"Médio"</formula>
    </cfRule>
    <cfRule type="cellIs" dxfId="1577" priority="1566" operator="equal">
      <formula>"Alto"</formula>
    </cfRule>
  </conditionalFormatting>
  <conditionalFormatting sqref="G2156">
    <cfRule type="cellIs" dxfId="1576" priority="1561" operator="equal">
      <formula>"Baixo"</formula>
    </cfRule>
    <cfRule type="cellIs" dxfId="1575" priority="1562" operator="equal">
      <formula>"Médio"</formula>
    </cfRule>
    <cfRule type="cellIs" dxfId="1574" priority="1563" operator="equal">
      <formula>"Alto"</formula>
    </cfRule>
  </conditionalFormatting>
  <conditionalFormatting sqref="G2157">
    <cfRule type="cellIs" dxfId="1573" priority="1558" operator="equal">
      <formula>"Baixo"</formula>
    </cfRule>
    <cfRule type="cellIs" dxfId="1572" priority="1559" operator="equal">
      <formula>"Médio"</formula>
    </cfRule>
    <cfRule type="cellIs" dxfId="1571" priority="1560" operator="equal">
      <formula>"Alto"</formula>
    </cfRule>
  </conditionalFormatting>
  <conditionalFormatting sqref="G2158">
    <cfRule type="cellIs" dxfId="1570" priority="1555" operator="equal">
      <formula>"Baixo"</formula>
    </cfRule>
    <cfRule type="cellIs" dxfId="1569" priority="1556" operator="equal">
      <formula>"Médio"</formula>
    </cfRule>
    <cfRule type="cellIs" dxfId="1568" priority="1557" operator="equal">
      <formula>"Alto"</formula>
    </cfRule>
  </conditionalFormatting>
  <conditionalFormatting sqref="G2159">
    <cfRule type="cellIs" dxfId="1567" priority="1552" operator="equal">
      <formula>"Baixo"</formula>
    </cfRule>
    <cfRule type="cellIs" dxfId="1566" priority="1553" operator="equal">
      <formula>"Médio"</formula>
    </cfRule>
    <cfRule type="cellIs" dxfId="1565" priority="1554" operator="equal">
      <formula>"Alto"</formula>
    </cfRule>
  </conditionalFormatting>
  <conditionalFormatting sqref="G2160">
    <cfRule type="cellIs" dxfId="1564" priority="1549" operator="equal">
      <formula>"Baixo"</formula>
    </cfRule>
    <cfRule type="cellIs" dxfId="1563" priority="1550" operator="equal">
      <formula>"Médio"</formula>
    </cfRule>
    <cfRule type="cellIs" dxfId="1562" priority="1551" operator="equal">
      <formula>"Alto"</formula>
    </cfRule>
  </conditionalFormatting>
  <conditionalFormatting sqref="G2161">
    <cfRule type="cellIs" dxfId="1561" priority="1546" operator="equal">
      <formula>"Baixo"</formula>
    </cfRule>
    <cfRule type="cellIs" dxfId="1560" priority="1547" operator="equal">
      <formula>"Médio"</formula>
    </cfRule>
    <cfRule type="cellIs" dxfId="1559" priority="1548" operator="equal">
      <formula>"Alto"</formula>
    </cfRule>
  </conditionalFormatting>
  <conditionalFormatting sqref="G2162">
    <cfRule type="cellIs" dxfId="1558" priority="1543" operator="equal">
      <formula>"Baixo"</formula>
    </cfRule>
    <cfRule type="cellIs" dxfId="1557" priority="1544" operator="equal">
      <formula>"Médio"</formula>
    </cfRule>
    <cfRule type="cellIs" dxfId="1556" priority="1545" operator="equal">
      <formula>"Alto"</formula>
    </cfRule>
  </conditionalFormatting>
  <conditionalFormatting sqref="G2163">
    <cfRule type="cellIs" dxfId="1555" priority="1540" operator="equal">
      <formula>"Baixo"</formula>
    </cfRule>
    <cfRule type="cellIs" dxfId="1554" priority="1541" operator="equal">
      <formula>"Médio"</formula>
    </cfRule>
    <cfRule type="cellIs" dxfId="1553" priority="1542" operator="equal">
      <formula>"Alto"</formula>
    </cfRule>
  </conditionalFormatting>
  <conditionalFormatting sqref="G2164">
    <cfRule type="cellIs" dxfId="1552" priority="1537" operator="equal">
      <formula>"Baixo"</formula>
    </cfRule>
    <cfRule type="cellIs" dxfId="1551" priority="1538" operator="equal">
      <formula>"Médio"</formula>
    </cfRule>
    <cfRule type="cellIs" dxfId="1550" priority="1539" operator="equal">
      <formula>"Alto"</formula>
    </cfRule>
  </conditionalFormatting>
  <conditionalFormatting sqref="G2165">
    <cfRule type="cellIs" dxfId="1549" priority="1534" operator="equal">
      <formula>"Baixo"</formula>
    </cfRule>
    <cfRule type="cellIs" dxfId="1548" priority="1535" operator="equal">
      <formula>"Médio"</formula>
    </cfRule>
    <cfRule type="cellIs" dxfId="1547" priority="1536" operator="equal">
      <formula>"Alto"</formula>
    </cfRule>
  </conditionalFormatting>
  <conditionalFormatting sqref="G2166">
    <cfRule type="cellIs" dxfId="1546" priority="1531" operator="equal">
      <formula>"Baixo"</formula>
    </cfRule>
    <cfRule type="cellIs" dxfId="1545" priority="1532" operator="equal">
      <formula>"Médio"</formula>
    </cfRule>
    <cfRule type="cellIs" dxfId="1544" priority="1533" operator="equal">
      <formula>"Alto"</formula>
    </cfRule>
  </conditionalFormatting>
  <conditionalFormatting sqref="G2167">
    <cfRule type="cellIs" dxfId="1543" priority="1528" operator="equal">
      <formula>"Baixo"</formula>
    </cfRule>
    <cfRule type="cellIs" dxfId="1542" priority="1529" operator="equal">
      <formula>"Médio"</formula>
    </cfRule>
    <cfRule type="cellIs" dxfId="1541" priority="1530" operator="equal">
      <formula>"Alto"</formula>
    </cfRule>
  </conditionalFormatting>
  <conditionalFormatting sqref="G2168">
    <cfRule type="cellIs" dxfId="1540" priority="1525" operator="equal">
      <formula>"Baixo"</formula>
    </cfRule>
    <cfRule type="cellIs" dxfId="1539" priority="1526" operator="equal">
      <formula>"Médio"</formula>
    </cfRule>
    <cfRule type="cellIs" dxfId="1538" priority="1527" operator="equal">
      <formula>"Alto"</formula>
    </cfRule>
  </conditionalFormatting>
  <conditionalFormatting sqref="G2169">
    <cfRule type="cellIs" dxfId="1537" priority="1522" operator="equal">
      <formula>"Baixo"</formula>
    </cfRule>
    <cfRule type="cellIs" dxfId="1536" priority="1523" operator="equal">
      <formula>"Médio"</formula>
    </cfRule>
    <cfRule type="cellIs" dxfId="1535" priority="1524" operator="equal">
      <formula>"Alto"</formula>
    </cfRule>
  </conditionalFormatting>
  <conditionalFormatting sqref="G2170">
    <cfRule type="cellIs" dxfId="1534" priority="1519" operator="equal">
      <formula>"Baixo"</formula>
    </cfRule>
    <cfRule type="cellIs" dxfId="1533" priority="1520" operator="equal">
      <formula>"Médio"</formula>
    </cfRule>
    <cfRule type="cellIs" dxfId="1532" priority="1521" operator="equal">
      <formula>"Alto"</formula>
    </cfRule>
  </conditionalFormatting>
  <conditionalFormatting sqref="G2171">
    <cfRule type="cellIs" dxfId="1531" priority="1516" operator="equal">
      <formula>"Baixo"</formula>
    </cfRule>
    <cfRule type="cellIs" dxfId="1530" priority="1517" operator="equal">
      <formula>"Médio"</formula>
    </cfRule>
    <cfRule type="cellIs" dxfId="1529" priority="1518" operator="equal">
      <formula>"Alto"</formula>
    </cfRule>
  </conditionalFormatting>
  <conditionalFormatting sqref="G2172">
    <cfRule type="cellIs" dxfId="1528" priority="1513" operator="equal">
      <formula>"Baixo"</formula>
    </cfRule>
    <cfRule type="cellIs" dxfId="1527" priority="1514" operator="equal">
      <formula>"Médio"</formula>
    </cfRule>
    <cfRule type="cellIs" dxfId="1526" priority="1515" operator="equal">
      <formula>"Alto"</formula>
    </cfRule>
  </conditionalFormatting>
  <conditionalFormatting sqref="G2173">
    <cfRule type="cellIs" dxfId="1525" priority="1510" operator="equal">
      <formula>"Baixo"</formula>
    </cfRule>
    <cfRule type="cellIs" dxfId="1524" priority="1511" operator="equal">
      <formula>"Médio"</formula>
    </cfRule>
    <cfRule type="cellIs" dxfId="1523" priority="1512" operator="equal">
      <formula>"Alto"</formula>
    </cfRule>
  </conditionalFormatting>
  <conditionalFormatting sqref="G2174">
    <cfRule type="cellIs" dxfId="1522" priority="1507" operator="equal">
      <formula>"Baixo"</formula>
    </cfRule>
    <cfRule type="cellIs" dxfId="1521" priority="1508" operator="equal">
      <formula>"Médio"</formula>
    </cfRule>
    <cfRule type="cellIs" dxfId="1520" priority="1509" operator="equal">
      <formula>"Alto"</formula>
    </cfRule>
  </conditionalFormatting>
  <conditionalFormatting sqref="G2175">
    <cfRule type="cellIs" dxfId="1519" priority="1504" operator="equal">
      <formula>"Baixo"</formula>
    </cfRule>
    <cfRule type="cellIs" dxfId="1518" priority="1505" operator="equal">
      <formula>"Médio"</formula>
    </cfRule>
    <cfRule type="cellIs" dxfId="1517" priority="1506" operator="equal">
      <formula>"Alto"</formula>
    </cfRule>
  </conditionalFormatting>
  <conditionalFormatting sqref="G2176">
    <cfRule type="cellIs" dxfId="1516" priority="1501" operator="equal">
      <formula>"Baixo"</formula>
    </cfRule>
    <cfRule type="cellIs" dxfId="1515" priority="1502" operator="equal">
      <formula>"Médio"</formula>
    </cfRule>
    <cfRule type="cellIs" dxfId="1514" priority="1503" operator="equal">
      <formula>"Alto"</formula>
    </cfRule>
  </conditionalFormatting>
  <conditionalFormatting sqref="G2177">
    <cfRule type="cellIs" dxfId="1513" priority="1498" operator="equal">
      <formula>"Baixo"</formula>
    </cfRule>
    <cfRule type="cellIs" dxfId="1512" priority="1499" operator="equal">
      <formula>"Médio"</formula>
    </cfRule>
    <cfRule type="cellIs" dxfId="1511" priority="1500" operator="equal">
      <formula>"Alto"</formula>
    </cfRule>
  </conditionalFormatting>
  <conditionalFormatting sqref="G2178">
    <cfRule type="cellIs" dxfId="1510" priority="1495" operator="equal">
      <formula>"Baixo"</formula>
    </cfRule>
    <cfRule type="cellIs" dxfId="1509" priority="1496" operator="equal">
      <formula>"Médio"</formula>
    </cfRule>
    <cfRule type="cellIs" dxfId="1508" priority="1497" operator="equal">
      <formula>"Alto"</formula>
    </cfRule>
  </conditionalFormatting>
  <conditionalFormatting sqref="G2179">
    <cfRule type="cellIs" dxfId="1507" priority="1492" operator="equal">
      <formula>"Baixo"</formula>
    </cfRule>
    <cfRule type="cellIs" dxfId="1506" priority="1493" operator="equal">
      <formula>"Médio"</formula>
    </cfRule>
    <cfRule type="cellIs" dxfId="1505" priority="1494" operator="equal">
      <formula>"Alto"</formula>
    </cfRule>
  </conditionalFormatting>
  <conditionalFormatting sqref="G2180">
    <cfRule type="cellIs" dxfId="1504" priority="1489" operator="equal">
      <formula>"Baixo"</formula>
    </cfRule>
    <cfRule type="cellIs" dxfId="1503" priority="1490" operator="equal">
      <formula>"Médio"</formula>
    </cfRule>
    <cfRule type="cellIs" dxfId="1502" priority="1491" operator="equal">
      <formula>"Alto"</formula>
    </cfRule>
  </conditionalFormatting>
  <conditionalFormatting sqref="G2181">
    <cfRule type="cellIs" dxfId="1501" priority="1486" operator="equal">
      <formula>"Baixo"</formula>
    </cfRule>
    <cfRule type="cellIs" dxfId="1500" priority="1487" operator="equal">
      <formula>"Médio"</formula>
    </cfRule>
    <cfRule type="cellIs" dxfId="1499" priority="1488" operator="equal">
      <formula>"Alto"</formula>
    </cfRule>
  </conditionalFormatting>
  <conditionalFormatting sqref="G2182">
    <cfRule type="cellIs" dxfId="1498" priority="1483" operator="equal">
      <formula>"Baixo"</formula>
    </cfRule>
    <cfRule type="cellIs" dxfId="1497" priority="1484" operator="equal">
      <formula>"Médio"</formula>
    </cfRule>
    <cfRule type="cellIs" dxfId="1496" priority="1485" operator="equal">
      <formula>"Alto"</formula>
    </cfRule>
  </conditionalFormatting>
  <conditionalFormatting sqref="G2183">
    <cfRule type="cellIs" dxfId="1495" priority="1480" operator="equal">
      <formula>"Baixo"</formula>
    </cfRule>
    <cfRule type="cellIs" dxfId="1494" priority="1481" operator="equal">
      <formula>"Médio"</formula>
    </cfRule>
    <cfRule type="cellIs" dxfId="1493" priority="1482" operator="equal">
      <formula>"Alto"</formula>
    </cfRule>
  </conditionalFormatting>
  <conditionalFormatting sqref="G2184">
    <cfRule type="cellIs" dxfId="1492" priority="1477" operator="equal">
      <formula>"Baixo"</formula>
    </cfRule>
    <cfRule type="cellIs" dxfId="1491" priority="1478" operator="equal">
      <formula>"Médio"</formula>
    </cfRule>
    <cfRule type="cellIs" dxfId="1490" priority="1479" operator="equal">
      <formula>"Alto"</formula>
    </cfRule>
  </conditionalFormatting>
  <conditionalFormatting sqref="G2185">
    <cfRule type="cellIs" dxfId="1489" priority="1474" operator="equal">
      <formula>"Baixo"</formula>
    </cfRule>
    <cfRule type="cellIs" dxfId="1488" priority="1475" operator="equal">
      <formula>"Médio"</formula>
    </cfRule>
    <cfRule type="cellIs" dxfId="1487" priority="1476" operator="equal">
      <formula>"Alto"</formula>
    </cfRule>
  </conditionalFormatting>
  <conditionalFormatting sqref="G2186">
    <cfRule type="cellIs" dxfId="1486" priority="1471" operator="equal">
      <formula>"Baixo"</formula>
    </cfRule>
    <cfRule type="cellIs" dxfId="1485" priority="1472" operator="equal">
      <formula>"Médio"</formula>
    </cfRule>
    <cfRule type="cellIs" dxfId="1484" priority="1473" operator="equal">
      <formula>"Alto"</formula>
    </cfRule>
  </conditionalFormatting>
  <conditionalFormatting sqref="G2187">
    <cfRule type="cellIs" dxfId="1483" priority="1468" operator="equal">
      <formula>"Baixo"</formula>
    </cfRule>
    <cfRule type="cellIs" dxfId="1482" priority="1469" operator="equal">
      <formula>"Médio"</formula>
    </cfRule>
    <cfRule type="cellIs" dxfId="1481" priority="1470" operator="equal">
      <formula>"Alto"</formula>
    </cfRule>
  </conditionalFormatting>
  <conditionalFormatting sqref="G2188">
    <cfRule type="cellIs" dxfId="1480" priority="1465" operator="equal">
      <formula>"Baixo"</formula>
    </cfRule>
    <cfRule type="cellIs" dxfId="1479" priority="1466" operator="equal">
      <formula>"Médio"</formula>
    </cfRule>
    <cfRule type="cellIs" dxfId="1478" priority="1467" operator="equal">
      <formula>"Alto"</formula>
    </cfRule>
  </conditionalFormatting>
  <conditionalFormatting sqref="G2189">
    <cfRule type="cellIs" dxfId="1477" priority="1462" operator="equal">
      <formula>"Baixo"</formula>
    </cfRule>
    <cfRule type="cellIs" dxfId="1476" priority="1463" operator="equal">
      <formula>"Médio"</formula>
    </cfRule>
    <cfRule type="cellIs" dxfId="1475" priority="1464" operator="equal">
      <formula>"Alto"</formula>
    </cfRule>
  </conditionalFormatting>
  <conditionalFormatting sqref="G2190">
    <cfRule type="cellIs" dxfId="1474" priority="1459" operator="equal">
      <formula>"Baixo"</formula>
    </cfRule>
    <cfRule type="cellIs" dxfId="1473" priority="1460" operator="equal">
      <formula>"Médio"</formula>
    </cfRule>
    <cfRule type="cellIs" dxfId="1472" priority="1461" operator="equal">
      <formula>"Alto"</formula>
    </cfRule>
  </conditionalFormatting>
  <conditionalFormatting sqref="G2191">
    <cfRule type="cellIs" dxfId="1471" priority="1456" operator="equal">
      <formula>"Baixo"</formula>
    </cfRule>
    <cfRule type="cellIs" dxfId="1470" priority="1457" operator="equal">
      <formula>"Médio"</formula>
    </cfRule>
    <cfRule type="cellIs" dxfId="1469" priority="1458" operator="equal">
      <formula>"Alto"</formula>
    </cfRule>
  </conditionalFormatting>
  <conditionalFormatting sqref="G2192">
    <cfRule type="cellIs" dxfId="1468" priority="1453" operator="equal">
      <formula>"Baixo"</formula>
    </cfRule>
    <cfRule type="cellIs" dxfId="1467" priority="1454" operator="equal">
      <formula>"Médio"</formula>
    </cfRule>
    <cfRule type="cellIs" dxfId="1466" priority="1455" operator="equal">
      <formula>"Alto"</formula>
    </cfRule>
  </conditionalFormatting>
  <conditionalFormatting sqref="G2193">
    <cfRule type="cellIs" dxfId="1465" priority="1450" operator="equal">
      <formula>"Baixo"</formula>
    </cfRule>
    <cfRule type="cellIs" dxfId="1464" priority="1451" operator="equal">
      <formula>"Médio"</formula>
    </cfRule>
    <cfRule type="cellIs" dxfId="1463" priority="1452" operator="equal">
      <formula>"Alto"</formula>
    </cfRule>
  </conditionalFormatting>
  <conditionalFormatting sqref="G2194">
    <cfRule type="cellIs" dxfId="1462" priority="1447" operator="equal">
      <formula>"Baixo"</formula>
    </cfRule>
    <cfRule type="cellIs" dxfId="1461" priority="1448" operator="equal">
      <formula>"Médio"</formula>
    </cfRule>
    <cfRule type="cellIs" dxfId="1460" priority="1449" operator="equal">
      <formula>"Alto"</formula>
    </cfRule>
  </conditionalFormatting>
  <conditionalFormatting sqref="G2195">
    <cfRule type="cellIs" dxfId="1459" priority="1444" operator="equal">
      <formula>"Baixo"</formula>
    </cfRule>
    <cfRule type="cellIs" dxfId="1458" priority="1445" operator="equal">
      <formula>"Médio"</formula>
    </cfRule>
    <cfRule type="cellIs" dxfId="1457" priority="1446" operator="equal">
      <formula>"Alto"</formula>
    </cfRule>
  </conditionalFormatting>
  <conditionalFormatting sqref="G2196">
    <cfRule type="cellIs" dxfId="1456" priority="1441" operator="equal">
      <formula>"Baixo"</formula>
    </cfRule>
    <cfRule type="cellIs" dxfId="1455" priority="1442" operator="equal">
      <formula>"Médio"</formula>
    </cfRule>
    <cfRule type="cellIs" dxfId="1454" priority="1443" operator="equal">
      <formula>"Alto"</formula>
    </cfRule>
  </conditionalFormatting>
  <conditionalFormatting sqref="G2197">
    <cfRule type="cellIs" dxfId="1453" priority="1438" operator="equal">
      <formula>"Baixo"</formula>
    </cfRule>
    <cfRule type="cellIs" dxfId="1452" priority="1439" operator="equal">
      <formula>"Médio"</formula>
    </cfRule>
    <cfRule type="cellIs" dxfId="1451" priority="1440" operator="equal">
      <formula>"Alto"</formula>
    </cfRule>
  </conditionalFormatting>
  <conditionalFormatting sqref="G2198">
    <cfRule type="cellIs" dxfId="1450" priority="1435" operator="equal">
      <formula>"Baixo"</formula>
    </cfRule>
    <cfRule type="cellIs" dxfId="1449" priority="1436" operator="equal">
      <formula>"Médio"</formula>
    </cfRule>
    <cfRule type="cellIs" dxfId="1448" priority="1437" operator="equal">
      <formula>"Alto"</formula>
    </cfRule>
  </conditionalFormatting>
  <conditionalFormatting sqref="G2199">
    <cfRule type="cellIs" dxfId="1447" priority="1432" operator="equal">
      <formula>"Baixo"</formula>
    </cfRule>
    <cfRule type="cellIs" dxfId="1446" priority="1433" operator="equal">
      <formula>"Médio"</formula>
    </cfRule>
    <cfRule type="cellIs" dxfId="1445" priority="1434" operator="equal">
      <formula>"Alto"</formula>
    </cfRule>
  </conditionalFormatting>
  <conditionalFormatting sqref="G2200">
    <cfRule type="cellIs" dxfId="1444" priority="1429" operator="equal">
      <formula>"Baixo"</formula>
    </cfRule>
    <cfRule type="cellIs" dxfId="1443" priority="1430" operator="equal">
      <formula>"Médio"</formula>
    </cfRule>
    <cfRule type="cellIs" dxfId="1442" priority="1431" operator="equal">
      <formula>"Alto"</formula>
    </cfRule>
  </conditionalFormatting>
  <conditionalFormatting sqref="G2201">
    <cfRule type="cellIs" dxfId="1441" priority="1426" operator="equal">
      <formula>"Baixo"</formula>
    </cfRule>
    <cfRule type="cellIs" dxfId="1440" priority="1427" operator="equal">
      <formula>"Médio"</formula>
    </cfRule>
    <cfRule type="cellIs" dxfId="1439" priority="1428" operator="equal">
      <formula>"Alto"</formula>
    </cfRule>
  </conditionalFormatting>
  <conditionalFormatting sqref="G2202">
    <cfRule type="cellIs" dxfId="1438" priority="1423" operator="equal">
      <formula>"Baixo"</formula>
    </cfRule>
    <cfRule type="cellIs" dxfId="1437" priority="1424" operator="equal">
      <formula>"Médio"</formula>
    </cfRule>
    <cfRule type="cellIs" dxfId="1436" priority="1425" operator="equal">
      <formula>"Alto"</formula>
    </cfRule>
  </conditionalFormatting>
  <conditionalFormatting sqref="G2203">
    <cfRule type="cellIs" dxfId="1435" priority="1420" operator="equal">
      <formula>"Baixo"</formula>
    </cfRule>
    <cfRule type="cellIs" dxfId="1434" priority="1421" operator="equal">
      <formula>"Médio"</formula>
    </cfRule>
    <cfRule type="cellIs" dxfId="1433" priority="1422" operator="equal">
      <formula>"Alto"</formula>
    </cfRule>
  </conditionalFormatting>
  <conditionalFormatting sqref="G2204">
    <cfRule type="cellIs" dxfId="1432" priority="1417" operator="equal">
      <formula>"Baixo"</formula>
    </cfRule>
    <cfRule type="cellIs" dxfId="1431" priority="1418" operator="equal">
      <formula>"Médio"</formula>
    </cfRule>
    <cfRule type="cellIs" dxfId="1430" priority="1419" operator="equal">
      <formula>"Alto"</formula>
    </cfRule>
  </conditionalFormatting>
  <conditionalFormatting sqref="G2205">
    <cfRule type="cellIs" dxfId="1429" priority="1414" operator="equal">
      <formula>"Baixo"</formula>
    </cfRule>
    <cfRule type="cellIs" dxfId="1428" priority="1415" operator="equal">
      <formula>"Médio"</formula>
    </cfRule>
    <cfRule type="cellIs" dxfId="1427" priority="1416" operator="equal">
      <formula>"Alto"</formula>
    </cfRule>
  </conditionalFormatting>
  <conditionalFormatting sqref="G2206">
    <cfRule type="cellIs" dxfId="1426" priority="1411" operator="equal">
      <formula>"Baixo"</formula>
    </cfRule>
    <cfRule type="cellIs" dxfId="1425" priority="1412" operator="equal">
      <formula>"Médio"</formula>
    </cfRule>
    <cfRule type="cellIs" dxfId="1424" priority="1413" operator="equal">
      <formula>"Alto"</formula>
    </cfRule>
  </conditionalFormatting>
  <conditionalFormatting sqref="G2207">
    <cfRule type="cellIs" dxfId="1423" priority="1408" operator="equal">
      <formula>"Baixo"</formula>
    </cfRule>
    <cfRule type="cellIs" dxfId="1422" priority="1409" operator="equal">
      <formula>"Médio"</formula>
    </cfRule>
    <cfRule type="cellIs" dxfId="1421" priority="1410" operator="equal">
      <formula>"Alto"</formula>
    </cfRule>
  </conditionalFormatting>
  <conditionalFormatting sqref="G2208">
    <cfRule type="cellIs" dxfId="1420" priority="1405" operator="equal">
      <formula>"Baixo"</formula>
    </cfRule>
    <cfRule type="cellIs" dxfId="1419" priority="1406" operator="equal">
      <formula>"Médio"</formula>
    </cfRule>
    <cfRule type="cellIs" dxfId="1418" priority="1407" operator="equal">
      <formula>"Alto"</formula>
    </cfRule>
  </conditionalFormatting>
  <conditionalFormatting sqref="G2209">
    <cfRule type="cellIs" dxfId="1417" priority="1402" operator="equal">
      <formula>"Baixo"</formula>
    </cfRule>
    <cfRule type="cellIs" dxfId="1416" priority="1403" operator="equal">
      <formula>"Médio"</formula>
    </cfRule>
    <cfRule type="cellIs" dxfId="1415" priority="1404" operator="equal">
      <formula>"Alto"</formula>
    </cfRule>
  </conditionalFormatting>
  <conditionalFormatting sqref="G2210">
    <cfRule type="cellIs" dxfId="1414" priority="1399" operator="equal">
      <formula>"Baixo"</formula>
    </cfRule>
    <cfRule type="cellIs" dxfId="1413" priority="1400" operator="equal">
      <formula>"Médio"</formula>
    </cfRule>
    <cfRule type="cellIs" dxfId="1412" priority="1401" operator="equal">
      <formula>"Alto"</formula>
    </cfRule>
  </conditionalFormatting>
  <conditionalFormatting sqref="G2211">
    <cfRule type="cellIs" dxfId="1411" priority="1396" operator="equal">
      <formula>"Baixo"</formula>
    </cfRule>
    <cfRule type="cellIs" dxfId="1410" priority="1397" operator="equal">
      <formula>"Médio"</formula>
    </cfRule>
    <cfRule type="cellIs" dxfId="1409" priority="1398" operator="equal">
      <formula>"Alto"</formula>
    </cfRule>
  </conditionalFormatting>
  <conditionalFormatting sqref="G2212">
    <cfRule type="cellIs" dxfId="1408" priority="1393" operator="equal">
      <formula>"Baixo"</formula>
    </cfRule>
    <cfRule type="cellIs" dxfId="1407" priority="1394" operator="equal">
      <formula>"Médio"</formula>
    </cfRule>
    <cfRule type="cellIs" dxfId="1406" priority="1395" operator="equal">
      <formula>"Alto"</formula>
    </cfRule>
  </conditionalFormatting>
  <conditionalFormatting sqref="G2213">
    <cfRule type="cellIs" dxfId="1405" priority="1390" operator="equal">
      <formula>"Baixo"</formula>
    </cfRule>
    <cfRule type="cellIs" dxfId="1404" priority="1391" operator="equal">
      <formula>"Médio"</formula>
    </cfRule>
    <cfRule type="cellIs" dxfId="1403" priority="1392" operator="equal">
      <formula>"Alto"</formula>
    </cfRule>
  </conditionalFormatting>
  <conditionalFormatting sqref="G2214">
    <cfRule type="cellIs" dxfId="1402" priority="1387" operator="equal">
      <formula>"Baixo"</formula>
    </cfRule>
    <cfRule type="cellIs" dxfId="1401" priority="1388" operator="equal">
      <formula>"Médio"</formula>
    </cfRule>
    <cfRule type="cellIs" dxfId="1400" priority="1389" operator="equal">
      <formula>"Alto"</formula>
    </cfRule>
  </conditionalFormatting>
  <conditionalFormatting sqref="G2215">
    <cfRule type="cellIs" dxfId="1399" priority="1384" operator="equal">
      <formula>"Baixo"</formula>
    </cfRule>
    <cfRule type="cellIs" dxfId="1398" priority="1385" operator="equal">
      <formula>"Médio"</formula>
    </cfRule>
    <cfRule type="cellIs" dxfId="1397" priority="1386" operator="equal">
      <formula>"Alto"</formula>
    </cfRule>
  </conditionalFormatting>
  <conditionalFormatting sqref="G2216">
    <cfRule type="cellIs" dxfId="1396" priority="1381" operator="equal">
      <formula>"Baixo"</formula>
    </cfRule>
    <cfRule type="cellIs" dxfId="1395" priority="1382" operator="equal">
      <formula>"Médio"</formula>
    </cfRule>
    <cfRule type="cellIs" dxfId="1394" priority="1383" operator="equal">
      <formula>"Alto"</formula>
    </cfRule>
  </conditionalFormatting>
  <conditionalFormatting sqref="G2217">
    <cfRule type="cellIs" dxfId="1393" priority="1378" operator="equal">
      <formula>"Baixo"</formula>
    </cfRule>
    <cfRule type="cellIs" dxfId="1392" priority="1379" operator="equal">
      <formula>"Médio"</formula>
    </cfRule>
    <cfRule type="cellIs" dxfId="1391" priority="1380" operator="equal">
      <formula>"Alto"</formula>
    </cfRule>
  </conditionalFormatting>
  <conditionalFormatting sqref="G2218">
    <cfRule type="cellIs" dxfId="1390" priority="1375" operator="equal">
      <formula>"Baixo"</formula>
    </cfRule>
    <cfRule type="cellIs" dxfId="1389" priority="1376" operator="equal">
      <formula>"Médio"</formula>
    </cfRule>
    <cfRule type="cellIs" dxfId="1388" priority="1377" operator="equal">
      <formula>"Alto"</formula>
    </cfRule>
  </conditionalFormatting>
  <conditionalFormatting sqref="G2219">
    <cfRule type="cellIs" dxfId="1387" priority="1372" operator="equal">
      <formula>"Baixo"</formula>
    </cfRule>
    <cfRule type="cellIs" dxfId="1386" priority="1373" operator="equal">
      <formula>"Médio"</formula>
    </cfRule>
    <cfRule type="cellIs" dxfId="1385" priority="1374" operator="equal">
      <formula>"Alto"</formula>
    </cfRule>
  </conditionalFormatting>
  <conditionalFormatting sqref="G2220">
    <cfRule type="cellIs" dxfId="1384" priority="1369" operator="equal">
      <formula>"Baixo"</formula>
    </cfRule>
    <cfRule type="cellIs" dxfId="1383" priority="1370" operator="equal">
      <formula>"Médio"</formula>
    </cfRule>
    <cfRule type="cellIs" dxfId="1382" priority="1371" operator="equal">
      <formula>"Alto"</formula>
    </cfRule>
  </conditionalFormatting>
  <conditionalFormatting sqref="G2221">
    <cfRule type="cellIs" dxfId="1381" priority="1366" operator="equal">
      <formula>"Baixo"</formula>
    </cfRule>
    <cfRule type="cellIs" dxfId="1380" priority="1367" operator="equal">
      <formula>"Médio"</formula>
    </cfRule>
    <cfRule type="cellIs" dxfId="1379" priority="1368" operator="equal">
      <formula>"Alto"</formula>
    </cfRule>
  </conditionalFormatting>
  <conditionalFormatting sqref="G2222">
    <cfRule type="cellIs" dxfId="1378" priority="1363" operator="equal">
      <formula>"Baixo"</formula>
    </cfRule>
    <cfRule type="cellIs" dxfId="1377" priority="1364" operator="equal">
      <formula>"Médio"</formula>
    </cfRule>
    <cfRule type="cellIs" dxfId="1376" priority="1365" operator="equal">
      <formula>"Alto"</formula>
    </cfRule>
  </conditionalFormatting>
  <conditionalFormatting sqref="G2223">
    <cfRule type="cellIs" dxfId="1375" priority="1360" operator="equal">
      <formula>"Baixo"</formula>
    </cfRule>
    <cfRule type="cellIs" dxfId="1374" priority="1361" operator="equal">
      <formula>"Médio"</formula>
    </cfRule>
    <cfRule type="cellIs" dxfId="1373" priority="1362" operator="equal">
      <formula>"Alto"</formula>
    </cfRule>
  </conditionalFormatting>
  <conditionalFormatting sqref="G2224">
    <cfRule type="cellIs" dxfId="1372" priority="1357" operator="equal">
      <formula>"Baixo"</formula>
    </cfRule>
    <cfRule type="cellIs" dxfId="1371" priority="1358" operator="equal">
      <formula>"Médio"</formula>
    </cfRule>
    <cfRule type="cellIs" dxfId="1370" priority="1359" operator="equal">
      <formula>"Alto"</formula>
    </cfRule>
  </conditionalFormatting>
  <conditionalFormatting sqref="G2225">
    <cfRule type="cellIs" dxfId="1369" priority="1354" operator="equal">
      <formula>"Baixo"</formula>
    </cfRule>
    <cfRule type="cellIs" dxfId="1368" priority="1355" operator="equal">
      <formula>"Médio"</formula>
    </cfRule>
    <cfRule type="cellIs" dxfId="1367" priority="1356" operator="equal">
      <formula>"Alto"</formula>
    </cfRule>
  </conditionalFormatting>
  <conditionalFormatting sqref="G2226">
    <cfRule type="cellIs" dxfId="1366" priority="1351" operator="equal">
      <formula>"Baixo"</formula>
    </cfRule>
    <cfRule type="cellIs" dxfId="1365" priority="1352" operator="equal">
      <formula>"Médio"</formula>
    </cfRule>
    <cfRule type="cellIs" dxfId="1364" priority="1353" operator="equal">
      <formula>"Alto"</formula>
    </cfRule>
  </conditionalFormatting>
  <conditionalFormatting sqref="G2227">
    <cfRule type="cellIs" dxfId="1363" priority="1348" operator="equal">
      <formula>"Baixo"</formula>
    </cfRule>
    <cfRule type="cellIs" dxfId="1362" priority="1349" operator="equal">
      <formula>"Médio"</formula>
    </cfRule>
    <cfRule type="cellIs" dxfId="1361" priority="1350" operator="equal">
      <formula>"Alto"</formula>
    </cfRule>
  </conditionalFormatting>
  <conditionalFormatting sqref="G2228">
    <cfRule type="cellIs" dxfId="1360" priority="1345" operator="equal">
      <formula>"Baixo"</formula>
    </cfRule>
    <cfRule type="cellIs" dxfId="1359" priority="1346" operator="equal">
      <formula>"Médio"</formula>
    </cfRule>
    <cfRule type="cellIs" dxfId="1358" priority="1347" operator="equal">
      <formula>"Alto"</formula>
    </cfRule>
  </conditionalFormatting>
  <conditionalFormatting sqref="G2229">
    <cfRule type="cellIs" dxfId="1357" priority="1342" operator="equal">
      <formula>"Baixo"</formula>
    </cfRule>
    <cfRule type="cellIs" dxfId="1356" priority="1343" operator="equal">
      <formula>"Médio"</formula>
    </cfRule>
    <cfRule type="cellIs" dxfId="1355" priority="1344" operator="equal">
      <formula>"Alto"</formula>
    </cfRule>
  </conditionalFormatting>
  <conditionalFormatting sqref="G2230">
    <cfRule type="cellIs" dxfId="1354" priority="1339" operator="equal">
      <formula>"Baixo"</formula>
    </cfRule>
    <cfRule type="cellIs" dxfId="1353" priority="1340" operator="equal">
      <formula>"Médio"</formula>
    </cfRule>
    <cfRule type="cellIs" dxfId="1352" priority="1341" operator="equal">
      <formula>"Alto"</formula>
    </cfRule>
  </conditionalFormatting>
  <conditionalFormatting sqref="G2231">
    <cfRule type="cellIs" dxfId="1351" priority="1336" operator="equal">
      <formula>"Baixo"</formula>
    </cfRule>
    <cfRule type="cellIs" dxfId="1350" priority="1337" operator="equal">
      <formula>"Médio"</formula>
    </cfRule>
    <cfRule type="cellIs" dxfId="1349" priority="1338" operator="equal">
      <formula>"Alto"</formula>
    </cfRule>
  </conditionalFormatting>
  <conditionalFormatting sqref="G2232">
    <cfRule type="cellIs" dxfId="1348" priority="1333" operator="equal">
      <formula>"Baixo"</formula>
    </cfRule>
    <cfRule type="cellIs" dxfId="1347" priority="1334" operator="equal">
      <formula>"Médio"</formula>
    </cfRule>
    <cfRule type="cellIs" dxfId="1346" priority="1335" operator="equal">
      <formula>"Alto"</formula>
    </cfRule>
  </conditionalFormatting>
  <conditionalFormatting sqref="G2233">
    <cfRule type="cellIs" dxfId="1345" priority="1330" operator="equal">
      <formula>"Baixo"</formula>
    </cfRule>
    <cfRule type="cellIs" dxfId="1344" priority="1331" operator="equal">
      <formula>"Médio"</formula>
    </cfRule>
    <cfRule type="cellIs" dxfId="1343" priority="1332" operator="equal">
      <formula>"Alto"</formula>
    </cfRule>
  </conditionalFormatting>
  <conditionalFormatting sqref="G2234">
    <cfRule type="cellIs" dxfId="1342" priority="1327" operator="equal">
      <formula>"Baixo"</formula>
    </cfRule>
    <cfRule type="cellIs" dxfId="1341" priority="1328" operator="equal">
      <formula>"Médio"</formula>
    </cfRule>
    <cfRule type="cellIs" dxfId="1340" priority="1329" operator="equal">
      <formula>"Alto"</formula>
    </cfRule>
  </conditionalFormatting>
  <conditionalFormatting sqref="G2235">
    <cfRule type="cellIs" dxfId="1339" priority="1324" operator="equal">
      <formula>"Baixo"</formula>
    </cfRule>
    <cfRule type="cellIs" dxfId="1338" priority="1325" operator="equal">
      <formula>"Médio"</formula>
    </cfRule>
    <cfRule type="cellIs" dxfId="1337" priority="1326" operator="equal">
      <formula>"Alto"</formula>
    </cfRule>
  </conditionalFormatting>
  <conditionalFormatting sqref="G2236">
    <cfRule type="cellIs" dxfId="1336" priority="1321" operator="equal">
      <formula>"Baixo"</formula>
    </cfRule>
    <cfRule type="cellIs" dxfId="1335" priority="1322" operator="equal">
      <formula>"Médio"</formula>
    </cfRule>
    <cfRule type="cellIs" dxfId="1334" priority="1323" operator="equal">
      <formula>"Alto"</formula>
    </cfRule>
  </conditionalFormatting>
  <conditionalFormatting sqref="G2237">
    <cfRule type="cellIs" dxfId="1333" priority="1318" operator="equal">
      <formula>"Baixo"</formula>
    </cfRule>
    <cfRule type="cellIs" dxfId="1332" priority="1319" operator="equal">
      <formula>"Médio"</formula>
    </cfRule>
    <cfRule type="cellIs" dxfId="1331" priority="1320" operator="equal">
      <formula>"Alto"</formula>
    </cfRule>
  </conditionalFormatting>
  <conditionalFormatting sqref="G2238">
    <cfRule type="cellIs" dxfId="1330" priority="1315" operator="equal">
      <formula>"Baixo"</formula>
    </cfRule>
    <cfRule type="cellIs" dxfId="1329" priority="1316" operator="equal">
      <formula>"Médio"</formula>
    </cfRule>
    <cfRule type="cellIs" dxfId="1328" priority="1317" operator="equal">
      <formula>"Alto"</formula>
    </cfRule>
  </conditionalFormatting>
  <conditionalFormatting sqref="G2239">
    <cfRule type="cellIs" dxfId="1327" priority="1312" operator="equal">
      <formula>"Baixo"</formula>
    </cfRule>
    <cfRule type="cellIs" dxfId="1326" priority="1313" operator="equal">
      <formula>"Médio"</formula>
    </cfRule>
    <cfRule type="cellIs" dxfId="1325" priority="1314" operator="equal">
      <formula>"Alto"</formula>
    </cfRule>
  </conditionalFormatting>
  <conditionalFormatting sqref="G2240">
    <cfRule type="cellIs" dxfId="1324" priority="1309" operator="equal">
      <formula>"Baixo"</formula>
    </cfRule>
    <cfRule type="cellIs" dxfId="1323" priority="1310" operator="equal">
      <formula>"Médio"</formula>
    </cfRule>
    <cfRule type="cellIs" dxfId="1322" priority="1311" operator="equal">
      <formula>"Alto"</formula>
    </cfRule>
  </conditionalFormatting>
  <conditionalFormatting sqref="G2241">
    <cfRule type="cellIs" dxfId="1321" priority="1306" operator="equal">
      <formula>"Baixo"</formula>
    </cfRule>
    <cfRule type="cellIs" dxfId="1320" priority="1307" operator="equal">
      <formula>"Médio"</formula>
    </cfRule>
    <cfRule type="cellIs" dxfId="1319" priority="1308" operator="equal">
      <formula>"Alto"</formula>
    </cfRule>
  </conditionalFormatting>
  <conditionalFormatting sqref="G2242">
    <cfRule type="cellIs" dxfId="1318" priority="1303" operator="equal">
      <formula>"Baixo"</formula>
    </cfRule>
    <cfRule type="cellIs" dxfId="1317" priority="1304" operator="equal">
      <formula>"Médio"</formula>
    </cfRule>
    <cfRule type="cellIs" dxfId="1316" priority="1305" operator="equal">
      <formula>"Alto"</formula>
    </cfRule>
  </conditionalFormatting>
  <conditionalFormatting sqref="G2243">
    <cfRule type="cellIs" dxfId="1315" priority="1300" operator="equal">
      <formula>"Baixo"</formula>
    </cfRule>
    <cfRule type="cellIs" dxfId="1314" priority="1301" operator="equal">
      <formula>"Médio"</formula>
    </cfRule>
    <cfRule type="cellIs" dxfId="1313" priority="1302" operator="equal">
      <formula>"Alto"</formula>
    </cfRule>
  </conditionalFormatting>
  <conditionalFormatting sqref="G2244">
    <cfRule type="cellIs" dxfId="1312" priority="1297" operator="equal">
      <formula>"Baixo"</formula>
    </cfRule>
    <cfRule type="cellIs" dxfId="1311" priority="1298" operator="equal">
      <formula>"Médio"</formula>
    </cfRule>
    <cfRule type="cellIs" dxfId="1310" priority="1299" operator="equal">
      <formula>"Alto"</formula>
    </cfRule>
  </conditionalFormatting>
  <conditionalFormatting sqref="G2245">
    <cfRule type="cellIs" dxfId="1309" priority="1294" operator="equal">
      <formula>"Baixo"</formula>
    </cfRule>
    <cfRule type="cellIs" dxfId="1308" priority="1295" operator="equal">
      <formula>"Médio"</formula>
    </cfRule>
    <cfRule type="cellIs" dxfId="1307" priority="1296" operator="equal">
      <formula>"Alto"</formula>
    </cfRule>
  </conditionalFormatting>
  <conditionalFormatting sqref="G2246">
    <cfRule type="cellIs" dxfId="1306" priority="1291" operator="equal">
      <formula>"Baixo"</formula>
    </cfRule>
    <cfRule type="cellIs" dxfId="1305" priority="1292" operator="equal">
      <formula>"Médio"</formula>
    </cfRule>
    <cfRule type="cellIs" dxfId="1304" priority="1293" operator="equal">
      <formula>"Alto"</formula>
    </cfRule>
  </conditionalFormatting>
  <conditionalFormatting sqref="G2247">
    <cfRule type="cellIs" dxfId="1303" priority="1288" operator="equal">
      <formula>"Baixo"</formula>
    </cfRule>
    <cfRule type="cellIs" dxfId="1302" priority="1289" operator="equal">
      <formula>"Médio"</formula>
    </cfRule>
    <cfRule type="cellIs" dxfId="1301" priority="1290" operator="equal">
      <formula>"Alto"</formula>
    </cfRule>
  </conditionalFormatting>
  <conditionalFormatting sqref="G2248">
    <cfRule type="cellIs" dxfId="1300" priority="1285" operator="equal">
      <formula>"Baixo"</formula>
    </cfRule>
    <cfRule type="cellIs" dxfId="1299" priority="1286" operator="equal">
      <formula>"Médio"</formula>
    </cfRule>
    <cfRule type="cellIs" dxfId="1298" priority="1287" operator="equal">
      <formula>"Alto"</formula>
    </cfRule>
  </conditionalFormatting>
  <conditionalFormatting sqref="G2249">
    <cfRule type="cellIs" dxfId="1297" priority="1282" operator="equal">
      <formula>"Baixo"</formula>
    </cfRule>
    <cfRule type="cellIs" dxfId="1296" priority="1283" operator="equal">
      <formula>"Médio"</formula>
    </cfRule>
    <cfRule type="cellIs" dxfId="1295" priority="1284" operator="equal">
      <formula>"Alto"</formula>
    </cfRule>
  </conditionalFormatting>
  <conditionalFormatting sqref="G2250">
    <cfRule type="cellIs" dxfId="1294" priority="1279" operator="equal">
      <formula>"Baixo"</formula>
    </cfRule>
    <cfRule type="cellIs" dxfId="1293" priority="1280" operator="equal">
      <formula>"Médio"</formula>
    </cfRule>
    <cfRule type="cellIs" dxfId="1292" priority="1281" operator="equal">
      <formula>"Alto"</formula>
    </cfRule>
  </conditionalFormatting>
  <conditionalFormatting sqref="G2251">
    <cfRule type="cellIs" dxfId="1291" priority="1276" operator="equal">
      <formula>"Baixo"</formula>
    </cfRule>
    <cfRule type="cellIs" dxfId="1290" priority="1277" operator="equal">
      <formula>"Médio"</formula>
    </cfRule>
    <cfRule type="cellIs" dxfId="1289" priority="1278" operator="equal">
      <formula>"Alto"</formula>
    </cfRule>
  </conditionalFormatting>
  <conditionalFormatting sqref="G2252">
    <cfRule type="cellIs" dxfId="1288" priority="1273" operator="equal">
      <formula>"Baixo"</formula>
    </cfRule>
    <cfRule type="cellIs" dxfId="1287" priority="1274" operator="equal">
      <formula>"Médio"</formula>
    </cfRule>
    <cfRule type="cellIs" dxfId="1286" priority="1275" operator="equal">
      <formula>"Alto"</formula>
    </cfRule>
  </conditionalFormatting>
  <conditionalFormatting sqref="G2253">
    <cfRule type="cellIs" dxfId="1285" priority="1270" operator="equal">
      <formula>"Baixo"</formula>
    </cfRule>
    <cfRule type="cellIs" dxfId="1284" priority="1271" operator="equal">
      <formula>"Médio"</formula>
    </cfRule>
    <cfRule type="cellIs" dxfId="1283" priority="1272" operator="equal">
      <formula>"Alto"</formula>
    </cfRule>
  </conditionalFormatting>
  <conditionalFormatting sqref="G2254">
    <cfRule type="cellIs" dxfId="1282" priority="1267" operator="equal">
      <formula>"Baixo"</formula>
    </cfRule>
    <cfRule type="cellIs" dxfId="1281" priority="1268" operator="equal">
      <formula>"Médio"</formula>
    </cfRule>
    <cfRule type="cellIs" dxfId="1280" priority="1269" operator="equal">
      <formula>"Alto"</formula>
    </cfRule>
  </conditionalFormatting>
  <conditionalFormatting sqref="G2255">
    <cfRule type="cellIs" dxfId="1279" priority="1264" operator="equal">
      <formula>"Baixo"</formula>
    </cfRule>
    <cfRule type="cellIs" dxfId="1278" priority="1265" operator="equal">
      <formula>"Médio"</formula>
    </cfRule>
    <cfRule type="cellIs" dxfId="1277" priority="1266" operator="equal">
      <formula>"Alto"</formula>
    </cfRule>
  </conditionalFormatting>
  <conditionalFormatting sqref="G2256">
    <cfRule type="cellIs" dxfId="1276" priority="1261" operator="equal">
      <formula>"Baixo"</formula>
    </cfRule>
    <cfRule type="cellIs" dxfId="1275" priority="1262" operator="equal">
      <formula>"Médio"</formula>
    </cfRule>
    <cfRule type="cellIs" dxfId="1274" priority="1263" operator="equal">
      <formula>"Alto"</formula>
    </cfRule>
  </conditionalFormatting>
  <conditionalFormatting sqref="G2257">
    <cfRule type="cellIs" dxfId="1273" priority="1258" operator="equal">
      <formula>"Baixo"</formula>
    </cfRule>
    <cfRule type="cellIs" dxfId="1272" priority="1259" operator="equal">
      <formula>"Médio"</formula>
    </cfRule>
    <cfRule type="cellIs" dxfId="1271" priority="1260" operator="equal">
      <formula>"Alto"</formula>
    </cfRule>
  </conditionalFormatting>
  <conditionalFormatting sqref="G2258">
    <cfRule type="cellIs" dxfId="1270" priority="1255" operator="equal">
      <formula>"Baixo"</formula>
    </cfRule>
    <cfRule type="cellIs" dxfId="1269" priority="1256" operator="equal">
      <formula>"Médio"</formula>
    </cfRule>
    <cfRule type="cellIs" dxfId="1268" priority="1257" operator="equal">
      <formula>"Alto"</formula>
    </cfRule>
  </conditionalFormatting>
  <conditionalFormatting sqref="G2259">
    <cfRule type="cellIs" dxfId="1267" priority="1252" operator="equal">
      <formula>"Baixo"</formula>
    </cfRule>
    <cfRule type="cellIs" dxfId="1266" priority="1253" operator="equal">
      <formula>"Médio"</formula>
    </cfRule>
    <cfRule type="cellIs" dxfId="1265" priority="1254" operator="equal">
      <formula>"Alto"</formula>
    </cfRule>
  </conditionalFormatting>
  <conditionalFormatting sqref="G2260">
    <cfRule type="cellIs" dxfId="1264" priority="1249" operator="equal">
      <formula>"Baixo"</formula>
    </cfRule>
    <cfRule type="cellIs" dxfId="1263" priority="1250" operator="equal">
      <formula>"Médio"</formula>
    </cfRule>
    <cfRule type="cellIs" dxfId="1262" priority="1251" operator="equal">
      <formula>"Alto"</formula>
    </cfRule>
  </conditionalFormatting>
  <conditionalFormatting sqref="G2261">
    <cfRule type="cellIs" dxfId="1261" priority="1246" operator="equal">
      <formula>"Baixo"</formula>
    </cfRule>
    <cfRule type="cellIs" dxfId="1260" priority="1247" operator="equal">
      <formula>"Médio"</formula>
    </cfRule>
    <cfRule type="cellIs" dxfId="1259" priority="1248" operator="equal">
      <formula>"Alto"</formula>
    </cfRule>
  </conditionalFormatting>
  <conditionalFormatting sqref="G2262">
    <cfRule type="cellIs" dxfId="1258" priority="1243" operator="equal">
      <formula>"Baixo"</formula>
    </cfRule>
    <cfRule type="cellIs" dxfId="1257" priority="1244" operator="equal">
      <formula>"Médio"</formula>
    </cfRule>
    <cfRule type="cellIs" dxfId="1256" priority="1245" operator="equal">
      <formula>"Alto"</formula>
    </cfRule>
  </conditionalFormatting>
  <conditionalFormatting sqref="G2263">
    <cfRule type="cellIs" dxfId="1255" priority="1240" operator="equal">
      <formula>"Baixo"</formula>
    </cfRule>
    <cfRule type="cellIs" dxfId="1254" priority="1241" operator="equal">
      <formula>"Médio"</formula>
    </cfRule>
    <cfRule type="cellIs" dxfId="1253" priority="1242" operator="equal">
      <formula>"Alto"</formula>
    </cfRule>
  </conditionalFormatting>
  <conditionalFormatting sqref="G2264">
    <cfRule type="cellIs" dxfId="1252" priority="1237" operator="equal">
      <formula>"Baixo"</formula>
    </cfRule>
    <cfRule type="cellIs" dxfId="1251" priority="1238" operator="equal">
      <formula>"Médio"</formula>
    </cfRule>
    <cfRule type="cellIs" dxfId="1250" priority="1239" operator="equal">
      <formula>"Alto"</formula>
    </cfRule>
  </conditionalFormatting>
  <conditionalFormatting sqref="G2265">
    <cfRule type="cellIs" dxfId="1249" priority="1234" operator="equal">
      <formula>"Baixo"</formula>
    </cfRule>
    <cfRule type="cellIs" dxfId="1248" priority="1235" operator="equal">
      <formula>"Médio"</formula>
    </cfRule>
    <cfRule type="cellIs" dxfId="1247" priority="1236" operator="equal">
      <formula>"Alto"</formula>
    </cfRule>
  </conditionalFormatting>
  <conditionalFormatting sqref="G2266">
    <cfRule type="cellIs" dxfId="1246" priority="1231" operator="equal">
      <formula>"Baixo"</formula>
    </cfRule>
    <cfRule type="cellIs" dxfId="1245" priority="1232" operator="equal">
      <formula>"Médio"</formula>
    </cfRule>
    <cfRule type="cellIs" dxfId="1244" priority="1233" operator="equal">
      <formula>"Alto"</formula>
    </cfRule>
  </conditionalFormatting>
  <conditionalFormatting sqref="G2267">
    <cfRule type="cellIs" dxfId="1243" priority="1228" operator="equal">
      <formula>"Baixo"</formula>
    </cfRule>
    <cfRule type="cellIs" dxfId="1242" priority="1229" operator="equal">
      <formula>"Médio"</formula>
    </cfRule>
    <cfRule type="cellIs" dxfId="1241" priority="1230" operator="equal">
      <formula>"Alto"</formula>
    </cfRule>
  </conditionalFormatting>
  <conditionalFormatting sqref="G2268">
    <cfRule type="cellIs" dxfId="1240" priority="1225" operator="equal">
      <formula>"Baixo"</formula>
    </cfRule>
    <cfRule type="cellIs" dxfId="1239" priority="1226" operator="equal">
      <formula>"Médio"</formula>
    </cfRule>
    <cfRule type="cellIs" dxfId="1238" priority="1227" operator="equal">
      <formula>"Alto"</formula>
    </cfRule>
  </conditionalFormatting>
  <conditionalFormatting sqref="G2269">
    <cfRule type="cellIs" dxfId="1237" priority="1222" operator="equal">
      <formula>"Baixo"</formula>
    </cfRule>
    <cfRule type="cellIs" dxfId="1236" priority="1223" operator="equal">
      <formula>"Médio"</formula>
    </cfRule>
    <cfRule type="cellIs" dxfId="1235" priority="1224" operator="equal">
      <formula>"Alto"</formula>
    </cfRule>
  </conditionalFormatting>
  <conditionalFormatting sqref="G2270">
    <cfRule type="cellIs" dxfId="1234" priority="1219" operator="equal">
      <formula>"Baixo"</formula>
    </cfRule>
    <cfRule type="cellIs" dxfId="1233" priority="1220" operator="equal">
      <formula>"Médio"</formula>
    </cfRule>
    <cfRule type="cellIs" dxfId="1232" priority="1221" operator="equal">
      <formula>"Alto"</formula>
    </cfRule>
  </conditionalFormatting>
  <conditionalFormatting sqref="G2271">
    <cfRule type="cellIs" dxfId="1231" priority="1216" operator="equal">
      <formula>"Baixo"</formula>
    </cfRule>
    <cfRule type="cellIs" dxfId="1230" priority="1217" operator="equal">
      <formula>"Médio"</formula>
    </cfRule>
    <cfRule type="cellIs" dxfId="1229" priority="1218" operator="equal">
      <formula>"Alto"</formula>
    </cfRule>
  </conditionalFormatting>
  <conditionalFormatting sqref="G2272">
    <cfRule type="cellIs" dxfId="1228" priority="1213" operator="equal">
      <formula>"Baixo"</formula>
    </cfRule>
    <cfRule type="cellIs" dxfId="1227" priority="1214" operator="equal">
      <formula>"Médio"</formula>
    </cfRule>
    <cfRule type="cellIs" dxfId="1226" priority="1215" operator="equal">
      <formula>"Alto"</formula>
    </cfRule>
  </conditionalFormatting>
  <conditionalFormatting sqref="G2273">
    <cfRule type="cellIs" dxfId="1225" priority="1210" operator="equal">
      <formula>"Baixo"</formula>
    </cfRule>
    <cfRule type="cellIs" dxfId="1224" priority="1211" operator="equal">
      <formula>"Médio"</formula>
    </cfRule>
    <cfRule type="cellIs" dxfId="1223" priority="1212" operator="equal">
      <formula>"Alto"</formula>
    </cfRule>
  </conditionalFormatting>
  <conditionalFormatting sqref="G2274">
    <cfRule type="cellIs" dxfId="1222" priority="1207" operator="equal">
      <formula>"Baixo"</formula>
    </cfRule>
    <cfRule type="cellIs" dxfId="1221" priority="1208" operator="equal">
      <formula>"Médio"</formula>
    </cfRule>
    <cfRule type="cellIs" dxfId="1220" priority="1209" operator="equal">
      <formula>"Alto"</formula>
    </cfRule>
  </conditionalFormatting>
  <conditionalFormatting sqref="G2275">
    <cfRule type="cellIs" dxfId="1219" priority="1204" operator="equal">
      <formula>"Baixo"</formula>
    </cfRule>
    <cfRule type="cellIs" dxfId="1218" priority="1205" operator="equal">
      <formula>"Médio"</formula>
    </cfRule>
    <cfRule type="cellIs" dxfId="1217" priority="1206" operator="equal">
      <formula>"Alto"</formula>
    </cfRule>
  </conditionalFormatting>
  <conditionalFormatting sqref="G2276">
    <cfRule type="cellIs" dxfId="1216" priority="1201" operator="equal">
      <formula>"Baixo"</formula>
    </cfRule>
    <cfRule type="cellIs" dxfId="1215" priority="1202" operator="equal">
      <formula>"Médio"</formula>
    </cfRule>
    <cfRule type="cellIs" dxfId="1214" priority="1203" operator="equal">
      <formula>"Alto"</formula>
    </cfRule>
  </conditionalFormatting>
  <conditionalFormatting sqref="G2277">
    <cfRule type="cellIs" dxfId="1213" priority="1198" operator="equal">
      <formula>"Baixo"</formula>
    </cfRule>
    <cfRule type="cellIs" dxfId="1212" priority="1199" operator="equal">
      <formula>"Médio"</formula>
    </cfRule>
    <cfRule type="cellIs" dxfId="1211" priority="1200" operator="equal">
      <formula>"Alto"</formula>
    </cfRule>
  </conditionalFormatting>
  <conditionalFormatting sqref="G2278">
    <cfRule type="cellIs" dxfId="1210" priority="1195" operator="equal">
      <formula>"Baixo"</formula>
    </cfRule>
    <cfRule type="cellIs" dxfId="1209" priority="1196" operator="equal">
      <formula>"Médio"</formula>
    </cfRule>
    <cfRule type="cellIs" dxfId="1208" priority="1197" operator="equal">
      <formula>"Alto"</formula>
    </cfRule>
  </conditionalFormatting>
  <conditionalFormatting sqref="G2279">
    <cfRule type="cellIs" dxfId="1207" priority="1192" operator="equal">
      <formula>"Baixo"</formula>
    </cfRule>
    <cfRule type="cellIs" dxfId="1206" priority="1193" operator="equal">
      <formula>"Médio"</formula>
    </cfRule>
    <cfRule type="cellIs" dxfId="1205" priority="1194" operator="equal">
      <formula>"Alto"</formula>
    </cfRule>
  </conditionalFormatting>
  <conditionalFormatting sqref="G2280">
    <cfRule type="cellIs" dxfId="1204" priority="1189" operator="equal">
      <formula>"Baixo"</formula>
    </cfRule>
    <cfRule type="cellIs" dxfId="1203" priority="1190" operator="equal">
      <formula>"Médio"</formula>
    </cfRule>
    <cfRule type="cellIs" dxfId="1202" priority="1191" operator="equal">
      <formula>"Alto"</formula>
    </cfRule>
  </conditionalFormatting>
  <conditionalFormatting sqref="G2281">
    <cfRule type="cellIs" dxfId="1201" priority="1186" operator="equal">
      <formula>"Baixo"</formula>
    </cfRule>
    <cfRule type="cellIs" dxfId="1200" priority="1187" operator="equal">
      <formula>"Médio"</formula>
    </cfRule>
    <cfRule type="cellIs" dxfId="1199" priority="1188" operator="equal">
      <formula>"Alto"</formula>
    </cfRule>
  </conditionalFormatting>
  <conditionalFormatting sqref="G2282">
    <cfRule type="cellIs" dxfId="1198" priority="1183" operator="equal">
      <formula>"Baixo"</formula>
    </cfRule>
    <cfRule type="cellIs" dxfId="1197" priority="1184" operator="equal">
      <formula>"Médio"</formula>
    </cfRule>
    <cfRule type="cellIs" dxfId="1196" priority="1185" operator="equal">
      <formula>"Alto"</formula>
    </cfRule>
  </conditionalFormatting>
  <conditionalFormatting sqref="G2283">
    <cfRule type="cellIs" dxfId="1195" priority="1180" operator="equal">
      <formula>"Baixo"</formula>
    </cfRule>
    <cfRule type="cellIs" dxfId="1194" priority="1181" operator="equal">
      <formula>"Médio"</formula>
    </cfRule>
    <cfRule type="cellIs" dxfId="1193" priority="1182" operator="equal">
      <formula>"Alto"</formula>
    </cfRule>
  </conditionalFormatting>
  <conditionalFormatting sqref="G2284">
    <cfRule type="cellIs" dxfId="1192" priority="1177" operator="equal">
      <formula>"Baixo"</formula>
    </cfRule>
    <cfRule type="cellIs" dxfId="1191" priority="1178" operator="equal">
      <formula>"Médio"</formula>
    </cfRule>
    <cfRule type="cellIs" dxfId="1190" priority="1179" operator="equal">
      <formula>"Alto"</formula>
    </cfRule>
  </conditionalFormatting>
  <conditionalFormatting sqref="G2285">
    <cfRule type="cellIs" dxfId="1189" priority="1174" operator="equal">
      <formula>"Baixo"</formula>
    </cfRule>
    <cfRule type="cellIs" dxfId="1188" priority="1175" operator="equal">
      <formula>"Médio"</formula>
    </cfRule>
    <cfRule type="cellIs" dxfId="1187" priority="1176" operator="equal">
      <formula>"Alto"</formula>
    </cfRule>
  </conditionalFormatting>
  <conditionalFormatting sqref="G2286">
    <cfRule type="cellIs" dxfId="1186" priority="1171" operator="equal">
      <formula>"Baixo"</formula>
    </cfRule>
    <cfRule type="cellIs" dxfId="1185" priority="1172" operator="equal">
      <formula>"Médio"</formula>
    </cfRule>
    <cfRule type="cellIs" dxfId="1184" priority="1173" operator="equal">
      <formula>"Alto"</formula>
    </cfRule>
  </conditionalFormatting>
  <conditionalFormatting sqref="G2287">
    <cfRule type="cellIs" dxfId="1183" priority="1168" operator="equal">
      <formula>"Baixo"</formula>
    </cfRule>
    <cfRule type="cellIs" dxfId="1182" priority="1169" operator="equal">
      <formula>"Médio"</formula>
    </cfRule>
    <cfRule type="cellIs" dxfId="1181" priority="1170" operator="equal">
      <formula>"Alto"</formula>
    </cfRule>
  </conditionalFormatting>
  <conditionalFormatting sqref="G2288">
    <cfRule type="cellIs" dxfId="1180" priority="1165" operator="equal">
      <formula>"Baixo"</formula>
    </cfRule>
    <cfRule type="cellIs" dxfId="1179" priority="1166" operator="equal">
      <formula>"Médio"</formula>
    </cfRule>
    <cfRule type="cellIs" dxfId="1178" priority="1167" operator="equal">
      <formula>"Alto"</formula>
    </cfRule>
  </conditionalFormatting>
  <conditionalFormatting sqref="G2289">
    <cfRule type="cellIs" dxfId="1177" priority="1162" operator="equal">
      <formula>"Baixo"</formula>
    </cfRule>
    <cfRule type="cellIs" dxfId="1176" priority="1163" operator="equal">
      <formula>"Médio"</formula>
    </cfRule>
    <cfRule type="cellIs" dxfId="1175" priority="1164" operator="equal">
      <formula>"Alto"</formula>
    </cfRule>
  </conditionalFormatting>
  <conditionalFormatting sqref="G2290">
    <cfRule type="cellIs" dxfId="1174" priority="1159" operator="equal">
      <formula>"Baixo"</formula>
    </cfRule>
    <cfRule type="cellIs" dxfId="1173" priority="1160" operator="equal">
      <formula>"Médio"</formula>
    </cfRule>
    <cfRule type="cellIs" dxfId="1172" priority="1161" operator="equal">
      <formula>"Alto"</formula>
    </cfRule>
  </conditionalFormatting>
  <conditionalFormatting sqref="G2291">
    <cfRule type="cellIs" dxfId="1171" priority="1156" operator="equal">
      <formula>"Baixo"</formula>
    </cfRule>
    <cfRule type="cellIs" dxfId="1170" priority="1157" operator="equal">
      <formula>"Médio"</formula>
    </cfRule>
    <cfRule type="cellIs" dxfId="1169" priority="1158" operator="equal">
      <formula>"Alto"</formula>
    </cfRule>
  </conditionalFormatting>
  <conditionalFormatting sqref="G2292">
    <cfRule type="cellIs" dxfId="1168" priority="1153" operator="equal">
      <formula>"Baixo"</formula>
    </cfRule>
    <cfRule type="cellIs" dxfId="1167" priority="1154" operator="equal">
      <formula>"Médio"</formula>
    </cfRule>
    <cfRule type="cellIs" dxfId="1166" priority="1155" operator="equal">
      <formula>"Alto"</formula>
    </cfRule>
  </conditionalFormatting>
  <conditionalFormatting sqref="G2293">
    <cfRule type="cellIs" dxfId="1165" priority="1150" operator="equal">
      <formula>"Baixo"</formula>
    </cfRule>
    <cfRule type="cellIs" dxfId="1164" priority="1151" operator="equal">
      <formula>"Médio"</formula>
    </cfRule>
    <cfRule type="cellIs" dxfId="1163" priority="1152" operator="equal">
      <formula>"Alto"</formula>
    </cfRule>
  </conditionalFormatting>
  <conditionalFormatting sqref="G2294">
    <cfRule type="cellIs" dxfId="1162" priority="1147" operator="equal">
      <formula>"Baixo"</formula>
    </cfRule>
    <cfRule type="cellIs" dxfId="1161" priority="1148" operator="equal">
      <formula>"Médio"</formula>
    </cfRule>
    <cfRule type="cellIs" dxfId="1160" priority="1149" operator="equal">
      <formula>"Alto"</formula>
    </cfRule>
  </conditionalFormatting>
  <conditionalFormatting sqref="G2295">
    <cfRule type="cellIs" dxfId="1159" priority="1144" operator="equal">
      <formula>"Baixo"</formula>
    </cfRule>
    <cfRule type="cellIs" dxfId="1158" priority="1145" operator="equal">
      <formula>"Médio"</formula>
    </cfRule>
    <cfRule type="cellIs" dxfId="1157" priority="1146" operator="equal">
      <formula>"Alto"</formula>
    </cfRule>
  </conditionalFormatting>
  <conditionalFormatting sqref="G2296">
    <cfRule type="cellIs" dxfId="1156" priority="1141" operator="equal">
      <formula>"Baixo"</formula>
    </cfRule>
    <cfRule type="cellIs" dxfId="1155" priority="1142" operator="equal">
      <formula>"Médio"</formula>
    </cfRule>
    <cfRule type="cellIs" dxfId="1154" priority="1143" operator="equal">
      <formula>"Alto"</formula>
    </cfRule>
  </conditionalFormatting>
  <conditionalFormatting sqref="G2297">
    <cfRule type="cellIs" dxfId="1153" priority="1138" operator="equal">
      <formula>"Baixo"</formula>
    </cfRule>
    <cfRule type="cellIs" dxfId="1152" priority="1139" operator="equal">
      <formula>"Médio"</formula>
    </cfRule>
    <cfRule type="cellIs" dxfId="1151" priority="1140" operator="equal">
      <formula>"Alto"</formula>
    </cfRule>
  </conditionalFormatting>
  <conditionalFormatting sqref="G2298">
    <cfRule type="cellIs" dxfId="1150" priority="1135" operator="equal">
      <formula>"Baixo"</formula>
    </cfRule>
    <cfRule type="cellIs" dxfId="1149" priority="1136" operator="equal">
      <formula>"Médio"</formula>
    </cfRule>
    <cfRule type="cellIs" dxfId="1148" priority="1137" operator="equal">
      <formula>"Alto"</formula>
    </cfRule>
  </conditionalFormatting>
  <conditionalFormatting sqref="G2299">
    <cfRule type="cellIs" dxfId="1147" priority="1132" operator="equal">
      <formula>"Baixo"</formula>
    </cfRule>
    <cfRule type="cellIs" dxfId="1146" priority="1133" operator="equal">
      <formula>"Médio"</formula>
    </cfRule>
    <cfRule type="cellIs" dxfId="1145" priority="1134" operator="equal">
      <formula>"Alto"</formula>
    </cfRule>
  </conditionalFormatting>
  <conditionalFormatting sqref="G2300">
    <cfRule type="cellIs" dxfId="1144" priority="1129" operator="equal">
      <formula>"Baixo"</formula>
    </cfRule>
    <cfRule type="cellIs" dxfId="1143" priority="1130" operator="equal">
      <formula>"Médio"</formula>
    </cfRule>
    <cfRule type="cellIs" dxfId="1142" priority="1131" operator="equal">
      <formula>"Alto"</formula>
    </cfRule>
  </conditionalFormatting>
  <conditionalFormatting sqref="G2301">
    <cfRule type="cellIs" dxfId="1141" priority="1126" operator="equal">
      <formula>"Baixo"</formula>
    </cfRule>
    <cfRule type="cellIs" dxfId="1140" priority="1127" operator="equal">
      <formula>"Médio"</formula>
    </cfRule>
    <cfRule type="cellIs" dxfId="1139" priority="1128" operator="equal">
      <formula>"Alto"</formula>
    </cfRule>
  </conditionalFormatting>
  <conditionalFormatting sqref="G2302">
    <cfRule type="cellIs" dxfId="1138" priority="1123" operator="equal">
      <formula>"Baixo"</formula>
    </cfRule>
    <cfRule type="cellIs" dxfId="1137" priority="1124" operator="equal">
      <formula>"Médio"</formula>
    </cfRule>
    <cfRule type="cellIs" dxfId="1136" priority="1125" operator="equal">
      <formula>"Alto"</formula>
    </cfRule>
  </conditionalFormatting>
  <conditionalFormatting sqref="G2303">
    <cfRule type="cellIs" dxfId="1135" priority="1120" operator="equal">
      <formula>"Baixo"</formula>
    </cfRule>
    <cfRule type="cellIs" dxfId="1134" priority="1121" operator="equal">
      <formula>"Médio"</formula>
    </cfRule>
    <cfRule type="cellIs" dxfId="1133" priority="1122" operator="equal">
      <formula>"Alto"</formula>
    </cfRule>
  </conditionalFormatting>
  <conditionalFormatting sqref="G2304">
    <cfRule type="cellIs" dxfId="1132" priority="1117" operator="equal">
      <formula>"Baixo"</formula>
    </cfRule>
    <cfRule type="cellIs" dxfId="1131" priority="1118" operator="equal">
      <formula>"Médio"</formula>
    </cfRule>
    <cfRule type="cellIs" dxfId="1130" priority="1119" operator="equal">
      <formula>"Alto"</formula>
    </cfRule>
  </conditionalFormatting>
  <conditionalFormatting sqref="G2305">
    <cfRule type="cellIs" dxfId="1129" priority="1114" operator="equal">
      <formula>"Baixo"</formula>
    </cfRule>
    <cfRule type="cellIs" dxfId="1128" priority="1115" operator="equal">
      <formula>"Médio"</formula>
    </cfRule>
    <cfRule type="cellIs" dxfId="1127" priority="1116" operator="equal">
      <formula>"Alto"</formula>
    </cfRule>
  </conditionalFormatting>
  <conditionalFormatting sqref="G2306">
    <cfRule type="cellIs" dxfId="1126" priority="1111" operator="equal">
      <formula>"Baixo"</formula>
    </cfRule>
    <cfRule type="cellIs" dxfId="1125" priority="1112" operator="equal">
      <formula>"Médio"</formula>
    </cfRule>
    <cfRule type="cellIs" dxfId="1124" priority="1113" operator="equal">
      <formula>"Alto"</formula>
    </cfRule>
  </conditionalFormatting>
  <conditionalFormatting sqref="G2307">
    <cfRule type="cellIs" dxfId="1123" priority="1108" operator="equal">
      <formula>"Baixo"</formula>
    </cfRule>
    <cfRule type="cellIs" dxfId="1122" priority="1109" operator="equal">
      <formula>"Médio"</formula>
    </cfRule>
    <cfRule type="cellIs" dxfId="1121" priority="1110" operator="equal">
      <formula>"Alto"</formula>
    </cfRule>
  </conditionalFormatting>
  <conditionalFormatting sqref="G2308">
    <cfRule type="cellIs" dxfId="1120" priority="1105" operator="equal">
      <formula>"Baixo"</formula>
    </cfRule>
    <cfRule type="cellIs" dxfId="1119" priority="1106" operator="equal">
      <formula>"Médio"</formula>
    </cfRule>
    <cfRule type="cellIs" dxfId="1118" priority="1107" operator="equal">
      <formula>"Alto"</formula>
    </cfRule>
  </conditionalFormatting>
  <conditionalFormatting sqref="G2309">
    <cfRule type="cellIs" dxfId="1117" priority="1102" operator="equal">
      <formula>"Baixo"</formula>
    </cfRule>
    <cfRule type="cellIs" dxfId="1116" priority="1103" operator="equal">
      <formula>"Médio"</formula>
    </cfRule>
    <cfRule type="cellIs" dxfId="1115" priority="1104" operator="equal">
      <formula>"Alto"</formula>
    </cfRule>
  </conditionalFormatting>
  <conditionalFormatting sqref="G2310">
    <cfRule type="cellIs" dxfId="1114" priority="1099" operator="equal">
      <formula>"Baixo"</formula>
    </cfRule>
    <cfRule type="cellIs" dxfId="1113" priority="1100" operator="equal">
      <formula>"Médio"</formula>
    </cfRule>
    <cfRule type="cellIs" dxfId="1112" priority="1101" operator="equal">
      <formula>"Alto"</formula>
    </cfRule>
  </conditionalFormatting>
  <conditionalFormatting sqref="G2311">
    <cfRule type="cellIs" dxfId="1111" priority="1096" operator="equal">
      <formula>"Baixo"</formula>
    </cfRule>
    <cfRule type="cellIs" dxfId="1110" priority="1097" operator="equal">
      <formula>"Médio"</formula>
    </cfRule>
    <cfRule type="cellIs" dxfId="1109" priority="1098" operator="equal">
      <formula>"Alto"</formula>
    </cfRule>
  </conditionalFormatting>
  <conditionalFormatting sqref="G2312">
    <cfRule type="cellIs" dxfId="1108" priority="1093" operator="equal">
      <formula>"Baixo"</formula>
    </cfRule>
    <cfRule type="cellIs" dxfId="1107" priority="1094" operator="equal">
      <formula>"Médio"</formula>
    </cfRule>
    <cfRule type="cellIs" dxfId="1106" priority="1095" operator="equal">
      <formula>"Alto"</formula>
    </cfRule>
  </conditionalFormatting>
  <conditionalFormatting sqref="G2313">
    <cfRule type="cellIs" dxfId="1105" priority="1090" operator="equal">
      <formula>"Baixo"</formula>
    </cfRule>
    <cfRule type="cellIs" dxfId="1104" priority="1091" operator="equal">
      <formula>"Médio"</formula>
    </cfRule>
    <cfRule type="cellIs" dxfId="1103" priority="1092" operator="equal">
      <formula>"Alto"</formula>
    </cfRule>
  </conditionalFormatting>
  <conditionalFormatting sqref="G2314">
    <cfRule type="cellIs" dxfId="1102" priority="1087" operator="equal">
      <formula>"Baixo"</formula>
    </cfRule>
    <cfRule type="cellIs" dxfId="1101" priority="1088" operator="equal">
      <formula>"Médio"</formula>
    </cfRule>
    <cfRule type="cellIs" dxfId="1100" priority="1089" operator="equal">
      <formula>"Alto"</formula>
    </cfRule>
  </conditionalFormatting>
  <conditionalFormatting sqref="G2315">
    <cfRule type="cellIs" dxfId="1099" priority="1084" operator="equal">
      <formula>"Baixo"</formula>
    </cfRule>
    <cfRule type="cellIs" dxfId="1098" priority="1085" operator="equal">
      <formula>"Médio"</formula>
    </cfRule>
    <cfRule type="cellIs" dxfId="1097" priority="1086" operator="equal">
      <formula>"Alto"</formula>
    </cfRule>
  </conditionalFormatting>
  <conditionalFormatting sqref="G2316">
    <cfRule type="cellIs" dxfId="1096" priority="1081" operator="equal">
      <formula>"Baixo"</formula>
    </cfRule>
    <cfRule type="cellIs" dxfId="1095" priority="1082" operator="equal">
      <formula>"Médio"</formula>
    </cfRule>
    <cfRule type="cellIs" dxfId="1094" priority="1083" operator="equal">
      <formula>"Alto"</formula>
    </cfRule>
  </conditionalFormatting>
  <conditionalFormatting sqref="G2317">
    <cfRule type="cellIs" dxfId="1093" priority="1078" operator="equal">
      <formula>"Baixo"</formula>
    </cfRule>
    <cfRule type="cellIs" dxfId="1092" priority="1079" operator="equal">
      <formula>"Médio"</formula>
    </cfRule>
    <cfRule type="cellIs" dxfId="1091" priority="1080" operator="equal">
      <formula>"Alto"</formula>
    </cfRule>
  </conditionalFormatting>
  <conditionalFormatting sqref="G2318">
    <cfRule type="cellIs" dxfId="1090" priority="1075" operator="equal">
      <formula>"Baixo"</formula>
    </cfRule>
    <cfRule type="cellIs" dxfId="1089" priority="1076" operator="equal">
      <formula>"Médio"</formula>
    </cfRule>
    <cfRule type="cellIs" dxfId="1088" priority="1077" operator="equal">
      <formula>"Alto"</formula>
    </cfRule>
  </conditionalFormatting>
  <conditionalFormatting sqref="G2319">
    <cfRule type="cellIs" dxfId="1087" priority="1072" operator="equal">
      <formula>"Baixo"</formula>
    </cfRule>
    <cfRule type="cellIs" dxfId="1086" priority="1073" operator="equal">
      <formula>"Médio"</formula>
    </cfRule>
    <cfRule type="cellIs" dxfId="1085" priority="1074" operator="equal">
      <formula>"Alto"</formula>
    </cfRule>
  </conditionalFormatting>
  <conditionalFormatting sqref="G2320">
    <cfRule type="cellIs" dxfId="1084" priority="1069" operator="equal">
      <formula>"Baixo"</formula>
    </cfRule>
    <cfRule type="cellIs" dxfId="1083" priority="1070" operator="equal">
      <formula>"Médio"</formula>
    </cfRule>
    <cfRule type="cellIs" dxfId="1082" priority="1071" operator="equal">
      <formula>"Alto"</formula>
    </cfRule>
  </conditionalFormatting>
  <conditionalFormatting sqref="G2321">
    <cfRule type="cellIs" dxfId="1081" priority="1066" operator="equal">
      <formula>"Baixo"</formula>
    </cfRule>
    <cfRule type="cellIs" dxfId="1080" priority="1067" operator="equal">
      <formula>"Médio"</formula>
    </cfRule>
    <cfRule type="cellIs" dxfId="1079" priority="1068" operator="equal">
      <formula>"Alto"</formula>
    </cfRule>
  </conditionalFormatting>
  <conditionalFormatting sqref="G2322">
    <cfRule type="cellIs" dxfId="1078" priority="1063" operator="equal">
      <formula>"Baixo"</formula>
    </cfRule>
    <cfRule type="cellIs" dxfId="1077" priority="1064" operator="equal">
      <formula>"Médio"</formula>
    </cfRule>
    <cfRule type="cellIs" dxfId="1076" priority="1065" operator="equal">
      <formula>"Alto"</formula>
    </cfRule>
  </conditionalFormatting>
  <conditionalFormatting sqref="G2323">
    <cfRule type="cellIs" dxfId="1075" priority="1060" operator="equal">
      <formula>"Baixo"</formula>
    </cfRule>
    <cfRule type="cellIs" dxfId="1074" priority="1061" operator="equal">
      <formula>"Médio"</formula>
    </cfRule>
    <cfRule type="cellIs" dxfId="1073" priority="1062" operator="equal">
      <formula>"Alto"</formula>
    </cfRule>
  </conditionalFormatting>
  <conditionalFormatting sqref="G2324">
    <cfRule type="cellIs" dxfId="1072" priority="1057" operator="equal">
      <formula>"Baixo"</formula>
    </cfRule>
    <cfRule type="cellIs" dxfId="1071" priority="1058" operator="equal">
      <formula>"Médio"</formula>
    </cfRule>
    <cfRule type="cellIs" dxfId="1070" priority="1059" operator="equal">
      <formula>"Alto"</formula>
    </cfRule>
  </conditionalFormatting>
  <conditionalFormatting sqref="G2325">
    <cfRule type="cellIs" dxfId="1069" priority="1054" operator="equal">
      <formula>"Baixo"</formula>
    </cfRule>
    <cfRule type="cellIs" dxfId="1068" priority="1055" operator="equal">
      <formula>"Médio"</formula>
    </cfRule>
    <cfRule type="cellIs" dxfId="1067" priority="1056" operator="equal">
      <formula>"Alto"</formula>
    </cfRule>
  </conditionalFormatting>
  <conditionalFormatting sqref="G2326">
    <cfRule type="cellIs" dxfId="1066" priority="1051" operator="equal">
      <formula>"Baixo"</formula>
    </cfRule>
    <cfRule type="cellIs" dxfId="1065" priority="1052" operator="equal">
      <formula>"Médio"</formula>
    </cfRule>
    <cfRule type="cellIs" dxfId="1064" priority="1053" operator="equal">
      <formula>"Alto"</formula>
    </cfRule>
  </conditionalFormatting>
  <conditionalFormatting sqref="G2327">
    <cfRule type="cellIs" dxfId="1063" priority="1048" operator="equal">
      <formula>"Baixo"</formula>
    </cfRule>
    <cfRule type="cellIs" dxfId="1062" priority="1049" operator="equal">
      <formula>"Médio"</formula>
    </cfRule>
    <cfRule type="cellIs" dxfId="1061" priority="1050" operator="equal">
      <formula>"Alto"</formula>
    </cfRule>
  </conditionalFormatting>
  <conditionalFormatting sqref="G2328">
    <cfRule type="cellIs" dxfId="1060" priority="1045" operator="equal">
      <formula>"Baixo"</formula>
    </cfRule>
    <cfRule type="cellIs" dxfId="1059" priority="1046" operator="equal">
      <formula>"Médio"</formula>
    </cfRule>
    <cfRule type="cellIs" dxfId="1058" priority="1047" operator="equal">
      <formula>"Alto"</formula>
    </cfRule>
  </conditionalFormatting>
  <conditionalFormatting sqref="G2329">
    <cfRule type="cellIs" dxfId="1057" priority="1042" operator="equal">
      <formula>"Baixo"</formula>
    </cfRule>
    <cfRule type="cellIs" dxfId="1056" priority="1043" operator="equal">
      <formula>"Médio"</formula>
    </cfRule>
    <cfRule type="cellIs" dxfId="1055" priority="1044" operator="equal">
      <formula>"Alto"</formula>
    </cfRule>
  </conditionalFormatting>
  <conditionalFormatting sqref="G2330">
    <cfRule type="cellIs" dxfId="1054" priority="1039" operator="equal">
      <formula>"Baixo"</formula>
    </cfRule>
    <cfRule type="cellIs" dxfId="1053" priority="1040" operator="equal">
      <formula>"Médio"</formula>
    </cfRule>
    <cfRule type="cellIs" dxfId="1052" priority="1041" operator="equal">
      <formula>"Alto"</formula>
    </cfRule>
  </conditionalFormatting>
  <conditionalFormatting sqref="G2331">
    <cfRule type="cellIs" dxfId="1051" priority="1036" operator="equal">
      <formula>"Baixo"</formula>
    </cfRule>
    <cfRule type="cellIs" dxfId="1050" priority="1037" operator="equal">
      <formula>"Médio"</formula>
    </cfRule>
    <cfRule type="cellIs" dxfId="1049" priority="1038" operator="equal">
      <formula>"Alto"</formula>
    </cfRule>
  </conditionalFormatting>
  <conditionalFormatting sqref="G2332">
    <cfRule type="cellIs" dxfId="1048" priority="1033" operator="equal">
      <formula>"Baixo"</formula>
    </cfRule>
    <cfRule type="cellIs" dxfId="1047" priority="1034" operator="equal">
      <formula>"Médio"</formula>
    </cfRule>
    <cfRule type="cellIs" dxfId="1046" priority="1035" operator="equal">
      <formula>"Alto"</formula>
    </cfRule>
  </conditionalFormatting>
  <conditionalFormatting sqref="G2333">
    <cfRule type="cellIs" dxfId="1045" priority="1030" operator="equal">
      <formula>"Baixo"</formula>
    </cfRule>
    <cfRule type="cellIs" dxfId="1044" priority="1031" operator="equal">
      <formula>"Médio"</formula>
    </cfRule>
    <cfRule type="cellIs" dxfId="1043" priority="1032" operator="equal">
      <formula>"Alto"</formula>
    </cfRule>
  </conditionalFormatting>
  <conditionalFormatting sqref="G2334">
    <cfRule type="cellIs" dxfId="1042" priority="1027" operator="equal">
      <formula>"Baixo"</formula>
    </cfRule>
    <cfRule type="cellIs" dxfId="1041" priority="1028" operator="equal">
      <formula>"Médio"</formula>
    </cfRule>
    <cfRule type="cellIs" dxfId="1040" priority="1029" operator="equal">
      <formula>"Alto"</formula>
    </cfRule>
  </conditionalFormatting>
  <conditionalFormatting sqref="G2335">
    <cfRule type="cellIs" dxfId="1039" priority="1024" operator="equal">
      <formula>"Baixo"</formula>
    </cfRule>
    <cfRule type="cellIs" dxfId="1038" priority="1025" operator="equal">
      <formula>"Médio"</formula>
    </cfRule>
    <cfRule type="cellIs" dxfId="1037" priority="1026" operator="equal">
      <formula>"Alto"</formula>
    </cfRule>
  </conditionalFormatting>
  <conditionalFormatting sqref="G2336">
    <cfRule type="cellIs" dxfId="1036" priority="1021" operator="equal">
      <formula>"Baixo"</formula>
    </cfRule>
    <cfRule type="cellIs" dxfId="1035" priority="1022" operator="equal">
      <formula>"Médio"</formula>
    </cfRule>
    <cfRule type="cellIs" dxfId="1034" priority="1023" operator="equal">
      <formula>"Alto"</formula>
    </cfRule>
  </conditionalFormatting>
  <conditionalFormatting sqref="G2337">
    <cfRule type="cellIs" dxfId="1033" priority="1018" operator="equal">
      <formula>"Baixo"</formula>
    </cfRule>
    <cfRule type="cellIs" dxfId="1032" priority="1019" operator="equal">
      <formula>"Médio"</formula>
    </cfRule>
    <cfRule type="cellIs" dxfId="1031" priority="1020" operator="equal">
      <formula>"Alto"</formula>
    </cfRule>
  </conditionalFormatting>
  <conditionalFormatting sqref="G2338">
    <cfRule type="cellIs" dxfId="1030" priority="1015" operator="equal">
      <formula>"Baixo"</formula>
    </cfRule>
    <cfRule type="cellIs" dxfId="1029" priority="1016" operator="equal">
      <formula>"Médio"</formula>
    </cfRule>
    <cfRule type="cellIs" dxfId="1028" priority="1017" operator="equal">
      <formula>"Alto"</formula>
    </cfRule>
  </conditionalFormatting>
  <conditionalFormatting sqref="G2339">
    <cfRule type="cellIs" dxfId="1027" priority="1012" operator="equal">
      <formula>"Baixo"</formula>
    </cfRule>
    <cfRule type="cellIs" dxfId="1026" priority="1013" operator="equal">
      <formula>"Médio"</formula>
    </cfRule>
    <cfRule type="cellIs" dxfId="1025" priority="1014" operator="equal">
      <formula>"Alto"</formula>
    </cfRule>
  </conditionalFormatting>
  <conditionalFormatting sqref="G2340">
    <cfRule type="cellIs" dxfId="1024" priority="1009" operator="equal">
      <formula>"Baixo"</formula>
    </cfRule>
    <cfRule type="cellIs" dxfId="1023" priority="1010" operator="equal">
      <formula>"Médio"</formula>
    </cfRule>
    <cfRule type="cellIs" dxfId="1022" priority="1011" operator="equal">
      <formula>"Alto"</formula>
    </cfRule>
  </conditionalFormatting>
  <conditionalFormatting sqref="G2341">
    <cfRule type="cellIs" dxfId="1021" priority="1006" operator="equal">
      <formula>"Baixo"</formula>
    </cfRule>
    <cfRule type="cellIs" dxfId="1020" priority="1007" operator="equal">
      <formula>"Médio"</formula>
    </cfRule>
    <cfRule type="cellIs" dxfId="1019" priority="1008" operator="equal">
      <formula>"Alto"</formula>
    </cfRule>
  </conditionalFormatting>
  <conditionalFormatting sqref="G2342">
    <cfRule type="cellIs" dxfId="1018" priority="1003" operator="equal">
      <formula>"Baixo"</formula>
    </cfRule>
    <cfRule type="cellIs" dxfId="1017" priority="1004" operator="equal">
      <formula>"Médio"</formula>
    </cfRule>
    <cfRule type="cellIs" dxfId="1016" priority="1005" operator="equal">
      <formula>"Alto"</formula>
    </cfRule>
  </conditionalFormatting>
  <conditionalFormatting sqref="G2343">
    <cfRule type="cellIs" dxfId="1015" priority="1000" operator="equal">
      <formula>"Baixo"</formula>
    </cfRule>
    <cfRule type="cellIs" dxfId="1014" priority="1001" operator="equal">
      <formula>"Médio"</formula>
    </cfRule>
    <cfRule type="cellIs" dxfId="1013" priority="1002" operator="equal">
      <formula>"Alto"</formula>
    </cfRule>
  </conditionalFormatting>
  <conditionalFormatting sqref="G2344">
    <cfRule type="cellIs" dxfId="1012" priority="997" operator="equal">
      <formula>"Baixo"</formula>
    </cfRule>
    <cfRule type="cellIs" dxfId="1011" priority="998" operator="equal">
      <formula>"Médio"</formula>
    </cfRule>
    <cfRule type="cellIs" dxfId="1010" priority="999" operator="equal">
      <formula>"Alto"</formula>
    </cfRule>
  </conditionalFormatting>
  <conditionalFormatting sqref="G2345">
    <cfRule type="cellIs" dxfId="1009" priority="994" operator="equal">
      <formula>"Baixo"</formula>
    </cfRule>
    <cfRule type="cellIs" dxfId="1008" priority="995" operator="equal">
      <formula>"Médio"</formula>
    </cfRule>
    <cfRule type="cellIs" dxfId="1007" priority="996" operator="equal">
      <formula>"Alto"</formula>
    </cfRule>
  </conditionalFormatting>
  <conditionalFormatting sqref="G2346">
    <cfRule type="cellIs" dxfId="1006" priority="991" operator="equal">
      <formula>"Baixo"</formula>
    </cfRule>
    <cfRule type="cellIs" dxfId="1005" priority="992" operator="equal">
      <formula>"Médio"</formula>
    </cfRule>
    <cfRule type="cellIs" dxfId="1004" priority="993" operator="equal">
      <formula>"Alto"</formula>
    </cfRule>
  </conditionalFormatting>
  <conditionalFormatting sqref="G2347">
    <cfRule type="cellIs" dxfId="1003" priority="988" operator="equal">
      <formula>"Baixo"</formula>
    </cfRule>
    <cfRule type="cellIs" dxfId="1002" priority="989" operator="equal">
      <formula>"Médio"</formula>
    </cfRule>
    <cfRule type="cellIs" dxfId="1001" priority="990" operator="equal">
      <formula>"Alto"</formula>
    </cfRule>
  </conditionalFormatting>
  <conditionalFormatting sqref="G2348">
    <cfRule type="cellIs" dxfId="1000" priority="985" operator="equal">
      <formula>"Baixo"</formula>
    </cfRule>
    <cfRule type="cellIs" dxfId="999" priority="986" operator="equal">
      <formula>"Médio"</formula>
    </cfRule>
    <cfRule type="cellIs" dxfId="998" priority="987" operator="equal">
      <formula>"Alto"</formula>
    </cfRule>
  </conditionalFormatting>
  <conditionalFormatting sqref="G2349">
    <cfRule type="cellIs" dxfId="997" priority="982" operator="equal">
      <formula>"Baixo"</formula>
    </cfRule>
    <cfRule type="cellIs" dxfId="996" priority="983" operator="equal">
      <formula>"Médio"</formula>
    </cfRule>
    <cfRule type="cellIs" dxfId="995" priority="984" operator="equal">
      <formula>"Alto"</formula>
    </cfRule>
  </conditionalFormatting>
  <conditionalFormatting sqref="G2350">
    <cfRule type="cellIs" dxfId="994" priority="979" operator="equal">
      <formula>"Baixo"</formula>
    </cfRule>
    <cfRule type="cellIs" dxfId="993" priority="980" operator="equal">
      <formula>"Médio"</formula>
    </cfRule>
    <cfRule type="cellIs" dxfId="992" priority="981" operator="equal">
      <formula>"Alto"</formula>
    </cfRule>
  </conditionalFormatting>
  <conditionalFormatting sqref="G2351">
    <cfRule type="cellIs" dxfId="991" priority="976" operator="equal">
      <formula>"Baixo"</formula>
    </cfRule>
    <cfRule type="cellIs" dxfId="990" priority="977" operator="equal">
      <formula>"Médio"</formula>
    </cfRule>
    <cfRule type="cellIs" dxfId="989" priority="978" operator="equal">
      <formula>"Alto"</formula>
    </cfRule>
  </conditionalFormatting>
  <conditionalFormatting sqref="G2352">
    <cfRule type="cellIs" dxfId="988" priority="973" operator="equal">
      <formula>"Baixo"</formula>
    </cfRule>
    <cfRule type="cellIs" dxfId="987" priority="974" operator="equal">
      <formula>"Médio"</formula>
    </cfRule>
    <cfRule type="cellIs" dxfId="986" priority="975" operator="equal">
      <formula>"Alto"</formula>
    </cfRule>
  </conditionalFormatting>
  <conditionalFormatting sqref="G2353">
    <cfRule type="cellIs" dxfId="985" priority="970" operator="equal">
      <formula>"Baixo"</formula>
    </cfRule>
    <cfRule type="cellIs" dxfId="984" priority="971" operator="equal">
      <formula>"Médio"</formula>
    </cfRule>
    <cfRule type="cellIs" dxfId="983" priority="972" operator="equal">
      <formula>"Alto"</formula>
    </cfRule>
  </conditionalFormatting>
  <conditionalFormatting sqref="G2354">
    <cfRule type="cellIs" dxfId="982" priority="967" operator="equal">
      <formula>"Baixo"</formula>
    </cfRule>
    <cfRule type="cellIs" dxfId="981" priority="968" operator="equal">
      <formula>"Médio"</formula>
    </cfRule>
    <cfRule type="cellIs" dxfId="980" priority="969" operator="equal">
      <formula>"Alto"</formula>
    </cfRule>
  </conditionalFormatting>
  <conditionalFormatting sqref="G2355">
    <cfRule type="cellIs" dxfId="979" priority="964" operator="equal">
      <formula>"Baixo"</formula>
    </cfRule>
    <cfRule type="cellIs" dxfId="978" priority="965" operator="equal">
      <formula>"Médio"</formula>
    </cfRule>
    <cfRule type="cellIs" dxfId="977" priority="966" operator="equal">
      <formula>"Alto"</formula>
    </cfRule>
  </conditionalFormatting>
  <conditionalFormatting sqref="G2356">
    <cfRule type="cellIs" dxfId="976" priority="961" operator="equal">
      <formula>"Baixo"</formula>
    </cfRule>
    <cfRule type="cellIs" dxfId="975" priority="962" operator="equal">
      <formula>"Médio"</formula>
    </cfRule>
    <cfRule type="cellIs" dxfId="974" priority="963" operator="equal">
      <formula>"Alto"</formula>
    </cfRule>
  </conditionalFormatting>
  <conditionalFormatting sqref="G2357">
    <cfRule type="cellIs" dxfId="973" priority="958" operator="equal">
      <formula>"Baixo"</formula>
    </cfRule>
    <cfRule type="cellIs" dxfId="972" priority="959" operator="equal">
      <formula>"Médio"</formula>
    </cfRule>
    <cfRule type="cellIs" dxfId="971" priority="960" operator="equal">
      <formula>"Alto"</formula>
    </cfRule>
  </conditionalFormatting>
  <conditionalFormatting sqref="G2358">
    <cfRule type="cellIs" dxfId="970" priority="955" operator="equal">
      <formula>"Baixo"</formula>
    </cfRule>
    <cfRule type="cellIs" dxfId="969" priority="956" operator="equal">
      <formula>"Médio"</formula>
    </cfRule>
    <cfRule type="cellIs" dxfId="968" priority="957" operator="equal">
      <formula>"Alto"</formula>
    </cfRule>
  </conditionalFormatting>
  <conditionalFormatting sqref="G2359">
    <cfRule type="cellIs" dxfId="967" priority="952" operator="equal">
      <formula>"Baixo"</formula>
    </cfRule>
    <cfRule type="cellIs" dxfId="966" priority="953" operator="equal">
      <formula>"Médio"</formula>
    </cfRule>
    <cfRule type="cellIs" dxfId="965" priority="954" operator="equal">
      <formula>"Alto"</formula>
    </cfRule>
  </conditionalFormatting>
  <conditionalFormatting sqref="G2360">
    <cfRule type="cellIs" dxfId="964" priority="949" operator="equal">
      <formula>"Baixo"</formula>
    </cfRule>
    <cfRule type="cellIs" dxfId="963" priority="950" operator="equal">
      <formula>"Médio"</formula>
    </cfRule>
    <cfRule type="cellIs" dxfId="962" priority="951" operator="equal">
      <formula>"Alto"</formula>
    </cfRule>
  </conditionalFormatting>
  <conditionalFormatting sqref="G2361">
    <cfRule type="cellIs" dxfId="961" priority="946" operator="equal">
      <formula>"Baixo"</formula>
    </cfRule>
    <cfRule type="cellIs" dxfId="960" priority="947" operator="equal">
      <formula>"Médio"</formula>
    </cfRule>
    <cfRule type="cellIs" dxfId="959" priority="948" operator="equal">
      <formula>"Alto"</formula>
    </cfRule>
  </conditionalFormatting>
  <conditionalFormatting sqref="G2362">
    <cfRule type="cellIs" dxfId="958" priority="943" operator="equal">
      <formula>"Baixo"</formula>
    </cfRule>
    <cfRule type="cellIs" dxfId="957" priority="944" operator="equal">
      <formula>"Médio"</formula>
    </cfRule>
    <cfRule type="cellIs" dxfId="956" priority="945" operator="equal">
      <formula>"Alto"</formula>
    </cfRule>
  </conditionalFormatting>
  <conditionalFormatting sqref="G2363">
    <cfRule type="cellIs" dxfId="955" priority="940" operator="equal">
      <formula>"Baixo"</formula>
    </cfRule>
    <cfRule type="cellIs" dxfId="954" priority="941" operator="equal">
      <formula>"Médio"</formula>
    </cfRule>
    <cfRule type="cellIs" dxfId="953" priority="942" operator="equal">
      <formula>"Alto"</formula>
    </cfRule>
  </conditionalFormatting>
  <conditionalFormatting sqref="G2364">
    <cfRule type="cellIs" dxfId="952" priority="937" operator="equal">
      <formula>"Baixo"</formula>
    </cfRule>
    <cfRule type="cellIs" dxfId="951" priority="938" operator="equal">
      <formula>"Médio"</formula>
    </cfRule>
    <cfRule type="cellIs" dxfId="950" priority="939" operator="equal">
      <formula>"Alto"</formula>
    </cfRule>
  </conditionalFormatting>
  <conditionalFormatting sqref="G2365">
    <cfRule type="cellIs" dxfId="949" priority="934" operator="equal">
      <formula>"Baixo"</formula>
    </cfRule>
    <cfRule type="cellIs" dxfId="948" priority="935" operator="equal">
      <formula>"Médio"</formula>
    </cfRule>
    <cfRule type="cellIs" dxfId="947" priority="936" operator="equal">
      <formula>"Alto"</formula>
    </cfRule>
  </conditionalFormatting>
  <conditionalFormatting sqref="G2366">
    <cfRule type="cellIs" dxfId="946" priority="931" operator="equal">
      <formula>"Baixo"</formula>
    </cfRule>
    <cfRule type="cellIs" dxfId="945" priority="932" operator="equal">
      <formula>"Médio"</formula>
    </cfRule>
    <cfRule type="cellIs" dxfId="944" priority="933" operator="equal">
      <formula>"Alto"</formula>
    </cfRule>
  </conditionalFormatting>
  <conditionalFormatting sqref="G2367">
    <cfRule type="cellIs" dxfId="943" priority="928" operator="equal">
      <formula>"Baixo"</formula>
    </cfRule>
    <cfRule type="cellIs" dxfId="942" priority="929" operator="equal">
      <formula>"Médio"</formula>
    </cfRule>
    <cfRule type="cellIs" dxfId="941" priority="930" operator="equal">
      <formula>"Alto"</formula>
    </cfRule>
  </conditionalFormatting>
  <conditionalFormatting sqref="G2368">
    <cfRule type="cellIs" dxfId="940" priority="925" operator="equal">
      <formula>"Baixo"</formula>
    </cfRule>
    <cfRule type="cellIs" dxfId="939" priority="926" operator="equal">
      <formula>"Médio"</formula>
    </cfRule>
    <cfRule type="cellIs" dxfId="938" priority="927" operator="equal">
      <formula>"Alto"</formula>
    </cfRule>
  </conditionalFormatting>
  <conditionalFormatting sqref="G2369">
    <cfRule type="cellIs" dxfId="937" priority="922" operator="equal">
      <formula>"Baixo"</formula>
    </cfRule>
    <cfRule type="cellIs" dxfId="936" priority="923" operator="equal">
      <formula>"Médio"</formula>
    </cfRule>
    <cfRule type="cellIs" dxfId="935" priority="924" operator="equal">
      <formula>"Alto"</formula>
    </cfRule>
  </conditionalFormatting>
  <conditionalFormatting sqref="G2370">
    <cfRule type="cellIs" dxfId="934" priority="919" operator="equal">
      <formula>"Baixo"</formula>
    </cfRule>
    <cfRule type="cellIs" dxfId="933" priority="920" operator="equal">
      <formula>"Médio"</formula>
    </cfRule>
    <cfRule type="cellIs" dxfId="932" priority="921" operator="equal">
      <formula>"Alto"</formula>
    </cfRule>
  </conditionalFormatting>
  <conditionalFormatting sqref="G2371">
    <cfRule type="cellIs" dxfId="931" priority="916" operator="equal">
      <formula>"Baixo"</formula>
    </cfRule>
    <cfRule type="cellIs" dxfId="930" priority="917" operator="equal">
      <formula>"Médio"</formula>
    </cfRule>
    <cfRule type="cellIs" dxfId="929" priority="918" operator="equal">
      <formula>"Alto"</formula>
    </cfRule>
  </conditionalFormatting>
  <conditionalFormatting sqref="G2372">
    <cfRule type="cellIs" dxfId="928" priority="913" operator="equal">
      <formula>"Baixo"</formula>
    </cfRule>
    <cfRule type="cellIs" dxfId="927" priority="914" operator="equal">
      <formula>"Médio"</formula>
    </cfRule>
    <cfRule type="cellIs" dxfId="926" priority="915" operator="equal">
      <formula>"Alto"</formula>
    </cfRule>
  </conditionalFormatting>
  <conditionalFormatting sqref="G2373">
    <cfRule type="cellIs" dxfId="925" priority="910" operator="equal">
      <formula>"Baixo"</formula>
    </cfRule>
    <cfRule type="cellIs" dxfId="924" priority="911" operator="equal">
      <formula>"Médio"</formula>
    </cfRule>
    <cfRule type="cellIs" dxfId="923" priority="912" operator="equal">
      <formula>"Alto"</formula>
    </cfRule>
  </conditionalFormatting>
  <conditionalFormatting sqref="G2374">
    <cfRule type="cellIs" dxfId="922" priority="907" operator="equal">
      <formula>"Baixo"</formula>
    </cfRule>
    <cfRule type="cellIs" dxfId="921" priority="908" operator="equal">
      <formula>"Médio"</formula>
    </cfRule>
    <cfRule type="cellIs" dxfId="920" priority="909" operator="equal">
      <formula>"Alto"</formula>
    </cfRule>
  </conditionalFormatting>
  <conditionalFormatting sqref="G2375">
    <cfRule type="cellIs" dxfId="919" priority="904" operator="equal">
      <formula>"Baixo"</formula>
    </cfRule>
    <cfRule type="cellIs" dxfId="918" priority="905" operator="equal">
      <formula>"Médio"</formula>
    </cfRule>
    <cfRule type="cellIs" dxfId="917" priority="906" operator="equal">
      <formula>"Alto"</formula>
    </cfRule>
  </conditionalFormatting>
  <conditionalFormatting sqref="G2376">
    <cfRule type="cellIs" dxfId="916" priority="901" operator="equal">
      <formula>"Baixo"</formula>
    </cfRule>
    <cfRule type="cellIs" dxfId="915" priority="902" operator="equal">
      <formula>"Médio"</formula>
    </cfRule>
    <cfRule type="cellIs" dxfId="914" priority="903" operator="equal">
      <formula>"Alto"</formula>
    </cfRule>
  </conditionalFormatting>
  <conditionalFormatting sqref="G2377">
    <cfRule type="cellIs" dxfId="913" priority="898" operator="equal">
      <formula>"Baixo"</formula>
    </cfRule>
    <cfRule type="cellIs" dxfId="912" priority="899" operator="equal">
      <formula>"Médio"</formula>
    </cfRule>
    <cfRule type="cellIs" dxfId="911" priority="900" operator="equal">
      <formula>"Alto"</formula>
    </cfRule>
  </conditionalFormatting>
  <conditionalFormatting sqref="G2378">
    <cfRule type="cellIs" dxfId="910" priority="895" operator="equal">
      <formula>"Baixo"</formula>
    </cfRule>
    <cfRule type="cellIs" dxfId="909" priority="896" operator="equal">
      <formula>"Médio"</formula>
    </cfRule>
    <cfRule type="cellIs" dxfId="908" priority="897" operator="equal">
      <formula>"Alto"</formula>
    </cfRule>
  </conditionalFormatting>
  <conditionalFormatting sqref="G2379">
    <cfRule type="cellIs" dxfId="907" priority="892" operator="equal">
      <formula>"Baixo"</formula>
    </cfRule>
    <cfRule type="cellIs" dxfId="906" priority="893" operator="equal">
      <formula>"Médio"</formula>
    </cfRule>
    <cfRule type="cellIs" dxfId="905" priority="894" operator="equal">
      <formula>"Alto"</formula>
    </cfRule>
  </conditionalFormatting>
  <conditionalFormatting sqref="G2380">
    <cfRule type="cellIs" dxfId="904" priority="889" operator="equal">
      <formula>"Baixo"</formula>
    </cfRule>
    <cfRule type="cellIs" dxfId="903" priority="890" operator="equal">
      <formula>"Médio"</formula>
    </cfRule>
    <cfRule type="cellIs" dxfId="902" priority="891" operator="equal">
      <formula>"Alto"</formula>
    </cfRule>
  </conditionalFormatting>
  <conditionalFormatting sqref="G2381">
    <cfRule type="cellIs" dxfId="901" priority="886" operator="equal">
      <formula>"Baixo"</formula>
    </cfRule>
    <cfRule type="cellIs" dxfId="900" priority="887" operator="equal">
      <formula>"Médio"</formula>
    </cfRule>
    <cfRule type="cellIs" dxfId="899" priority="888" operator="equal">
      <formula>"Alto"</formula>
    </cfRule>
  </conditionalFormatting>
  <conditionalFormatting sqref="G2382">
    <cfRule type="cellIs" dxfId="898" priority="883" operator="equal">
      <formula>"Baixo"</formula>
    </cfRule>
    <cfRule type="cellIs" dxfId="897" priority="884" operator="equal">
      <formula>"Médio"</formula>
    </cfRule>
    <cfRule type="cellIs" dxfId="896" priority="885" operator="equal">
      <formula>"Alto"</formula>
    </cfRule>
  </conditionalFormatting>
  <conditionalFormatting sqref="G2383">
    <cfRule type="cellIs" dxfId="895" priority="880" operator="equal">
      <formula>"Baixo"</formula>
    </cfRule>
    <cfRule type="cellIs" dxfId="894" priority="881" operator="equal">
      <formula>"Médio"</formula>
    </cfRule>
    <cfRule type="cellIs" dxfId="893" priority="882" operator="equal">
      <formula>"Alto"</formula>
    </cfRule>
  </conditionalFormatting>
  <conditionalFormatting sqref="G2384">
    <cfRule type="cellIs" dxfId="892" priority="877" operator="equal">
      <formula>"Baixo"</formula>
    </cfRule>
    <cfRule type="cellIs" dxfId="891" priority="878" operator="equal">
      <formula>"Médio"</formula>
    </cfRule>
    <cfRule type="cellIs" dxfId="890" priority="879" operator="equal">
      <formula>"Alto"</formula>
    </cfRule>
  </conditionalFormatting>
  <conditionalFormatting sqref="G2385">
    <cfRule type="cellIs" dxfId="889" priority="874" operator="equal">
      <formula>"Baixo"</formula>
    </cfRule>
    <cfRule type="cellIs" dxfId="888" priority="875" operator="equal">
      <formula>"Médio"</formula>
    </cfRule>
    <cfRule type="cellIs" dxfId="887" priority="876" operator="equal">
      <formula>"Alto"</formula>
    </cfRule>
  </conditionalFormatting>
  <conditionalFormatting sqref="G2386">
    <cfRule type="cellIs" dxfId="886" priority="871" operator="equal">
      <formula>"Baixo"</formula>
    </cfRule>
    <cfRule type="cellIs" dxfId="885" priority="872" operator="equal">
      <formula>"Médio"</formula>
    </cfRule>
    <cfRule type="cellIs" dxfId="884" priority="873" operator="equal">
      <formula>"Alto"</formula>
    </cfRule>
  </conditionalFormatting>
  <conditionalFormatting sqref="G2387">
    <cfRule type="cellIs" dxfId="883" priority="868" operator="equal">
      <formula>"Baixo"</formula>
    </cfRule>
    <cfRule type="cellIs" dxfId="882" priority="869" operator="equal">
      <formula>"Médio"</formula>
    </cfRule>
    <cfRule type="cellIs" dxfId="881" priority="870" operator="equal">
      <formula>"Alto"</formula>
    </cfRule>
  </conditionalFormatting>
  <conditionalFormatting sqref="G2388">
    <cfRule type="cellIs" dxfId="880" priority="865" operator="equal">
      <formula>"Baixo"</formula>
    </cfRule>
    <cfRule type="cellIs" dxfId="879" priority="866" operator="equal">
      <formula>"Médio"</formula>
    </cfRule>
    <cfRule type="cellIs" dxfId="878" priority="867" operator="equal">
      <formula>"Alto"</formula>
    </cfRule>
  </conditionalFormatting>
  <conditionalFormatting sqref="G2389">
    <cfRule type="cellIs" dxfId="877" priority="862" operator="equal">
      <formula>"Baixo"</formula>
    </cfRule>
    <cfRule type="cellIs" dxfId="876" priority="863" operator="equal">
      <formula>"Médio"</formula>
    </cfRule>
    <cfRule type="cellIs" dxfId="875" priority="864" operator="equal">
      <formula>"Alto"</formula>
    </cfRule>
  </conditionalFormatting>
  <conditionalFormatting sqref="G2390">
    <cfRule type="cellIs" dxfId="874" priority="859" operator="equal">
      <formula>"Baixo"</formula>
    </cfRule>
    <cfRule type="cellIs" dxfId="873" priority="860" operator="equal">
      <formula>"Médio"</formula>
    </cfRule>
    <cfRule type="cellIs" dxfId="872" priority="861" operator="equal">
      <formula>"Alto"</formula>
    </cfRule>
  </conditionalFormatting>
  <conditionalFormatting sqref="G2391">
    <cfRule type="cellIs" dxfId="871" priority="856" operator="equal">
      <formula>"Baixo"</formula>
    </cfRule>
    <cfRule type="cellIs" dxfId="870" priority="857" operator="equal">
      <formula>"Médio"</formula>
    </cfRule>
    <cfRule type="cellIs" dxfId="869" priority="858" operator="equal">
      <formula>"Alto"</formula>
    </cfRule>
  </conditionalFormatting>
  <conditionalFormatting sqref="G2392">
    <cfRule type="cellIs" dxfId="868" priority="853" operator="equal">
      <formula>"Baixo"</formula>
    </cfRule>
    <cfRule type="cellIs" dxfId="867" priority="854" operator="equal">
      <formula>"Médio"</formula>
    </cfRule>
    <cfRule type="cellIs" dxfId="866" priority="855" operator="equal">
      <formula>"Alto"</formula>
    </cfRule>
  </conditionalFormatting>
  <conditionalFormatting sqref="G2393 G2395">
    <cfRule type="cellIs" dxfId="865" priority="850" operator="equal">
      <formula>"Baixo"</formula>
    </cfRule>
    <cfRule type="cellIs" dxfId="864" priority="851" operator="equal">
      <formula>"Médio"</formula>
    </cfRule>
    <cfRule type="cellIs" dxfId="863" priority="852" operator="equal">
      <formula>"Alto"</formula>
    </cfRule>
  </conditionalFormatting>
  <conditionalFormatting sqref="G2394 G2396">
    <cfRule type="cellIs" dxfId="862" priority="847" operator="equal">
      <formula>"Baixo"</formula>
    </cfRule>
    <cfRule type="cellIs" dxfId="861" priority="848" operator="equal">
      <formula>"Médio"</formula>
    </cfRule>
    <cfRule type="cellIs" dxfId="860" priority="849" operator="equal">
      <formula>"Alto"</formula>
    </cfRule>
  </conditionalFormatting>
  <conditionalFormatting sqref="G2395">
    <cfRule type="cellIs" dxfId="859" priority="844" operator="equal">
      <formula>"Baixo"</formula>
    </cfRule>
    <cfRule type="cellIs" dxfId="858" priority="845" operator="equal">
      <formula>"Médio"</formula>
    </cfRule>
    <cfRule type="cellIs" dxfId="857" priority="846" operator="equal">
      <formula>"Alto"</formula>
    </cfRule>
  </conditionalFormatting>
  <conditionalFormatting sqref="G2396">
    <cfRule type="cellIs" dxfId="856" priority="841" operator="equal">
      <formula>"Baixo"</formula>
    </cfRule>
    <cfRule type="cellIs" dxfId="855" priority="842" operator="equal">
      <formula>"Médio"</formula>
    </cfRule>
    <cfRule type="cellIs" dxfId="854" priority="843" operator="equal">
      <formula>"Alto"</formula>
    </cfRule>
  </conditionalFormatting>
  <conditionalFormatting sqref="G2397 G2399">
    <cfRule type="cellIs" dxfId="853" priority="838" operator="equal">
      <formula>"Baixo"</formula>
    </cfRule>
    <cfRule type="cellIs" dxfId="852" priority="839" operator="equal">
      <formula>"Médio"</formula>
    </cfRule>
    <cfRule type="cellIs" dxfId="851" priority="840" operator="equal">
      <formula>"Alto"</formula>
    </cfRule>
  </conditionalFormatting>
  <conditionalFormatting sqref="G2398 G2400">
    <cfRule type="cellIs" dxfId="850" priority="835" operator="equal">
      <formula>"Baixo"</formula>
    </cfRule>
    <cfRule type="cellIs" dxfId="849" priority="836" operator="equal">
      <formula>"Médio"</formula>
    </cfRule>
    <cfRule type="cellIs" dxfId="848" priority="837" operator="equal">
      <formula>"Alto"</formula>
    </cfRule>
  </conditionalFormatting>
  <conditionalFormatting sqref="G2399">
    <cfRule type="cellIs" dxfId="847" priority="832" operator="equal">
      <formula>"Baixo"</formula>
    </cfRule>
    <cfRule type="cellIs" dxfId="846" priority="833" operator="equal">
      <formula>"Médio"</formula>
    </cfRule>
    <cfRule type="cellIs" dxfId="845" priority="834" operator="equal">
      <formula>"Alto"</formula>
    </cfRule>
  </conditionalFormatting>
  <conditionalFormatting sqref="G2400">
    <cfRule type="cellIs" dxfId="844" priority="829" operator="equal">
      <formula>"Baixo"</formula>
    </cfRule>
    <cfRule type="cellIs" dxfId="843" priority="830" operator="equal">
      <formula>"Médio"</formula>
    </cfRule>
    <cfRule type="cellIs" dxfId="842" priority="831" operator="equal">
      <formula>"Alto"</formula>
    </cfRule>
  </conditionalFormatting>
  <conditionalFormatting sqref="G2401 G2403">
    <cfRule type="cellIs" dxfId="841" priority="826" operator="equal">
      <formula>"Baixo"</formula>
    </cfRule>
    <cfRule type="cellIs" dxfId="840" priority="827" operator="equal">
      <formula>"Médio"</formula>
    </cfRule>
    <cfRule type="cellIs" dxfId="839" priority="828" operator="equal">
      <formula>"Alto"</formula>
    </cfRule>
  </conditionalFormatting>
  <conditionalFormatting sqref="G2402 G2404">
    <cfRule type="cellIs" dxfId="838" priority="823" operator="equal">
      <formula>"Baixo"</formula>
    </cfRule>
    <cfRule type="cellIs" dxfId="837" priority="824" operator="equal">
      <formula>"Médio"</formula>
    </cfRule>
    <cfRule type="cellIs" dxfId="836" priority="825" operator="equal">
      <formula>"Alto"</formula>
    </cfRule>
  </conditionalFormatting>
  <conditionalFormatting sqref="G2403">
    <cfRule type="cellIs" dxfId="835" priority="820" operator="equal">
      <formula>"Baixo"</formula>
    </cfRule>
    <cfRule type="cellIs" dxfId="834" priority="821" operator="equal">
      <formula>"Médio"</formula>
    </cfRule>
    <cfRule type="cellIs" dxfId="833" priority="822" operator="equal">
      <formula>"Alto"</formula>
    </cfRule>
  </conditionalFormatting>
  <conditionalFormatting sqref="G2404">
    <cfRule type="cellIs" dxfId="832" priority="817" operator="equal">
      <formula>"Baixo"</formula>
    </cfRule>
    <cfRule type="cellIs" dxfId="831" priority="818" operator="equal">
      <formula>"Médio"</formula>
    </cfRule>
    <cfRule type="cellIs" dxfId="830" priority="819" operator="equal">
      <formula>"Alto"</formula>
    </cfRule>
  </conditionalFormatting>
  <conditionalFormatting sqref="G2405 G2407">
    <cfRule type="cellIs" dxfId="829" priority="814" operator="equal">
      <formula>"Baixo"</formula>
    </cfRule>
    <cfRule type="cellIs" dxfId="828" priority="815" operator="equal">
      <formula>"Médio"</formula>
    </cfRule>
    <cfRule type="cellIs" dxfId="827" priority="816" operator="equal">
      <formula>"Alto"</formula>
    </cfRule>
  </conditionalFormatting>
  <conditionalFormatting sqref="G2406 G2408">
    <cfRule type="cellIs" dxfId="826" priority="811" operator="equal">
      <formula>"Baixo"</formula>
    </cfRule>
    <cfRule type="cellIs" dxfId="825" priority="812" operator="equal">
      <formula>"Médio"</formula>
    </cfRule>
    <cfRule type="cellIs" dxfId="824" priority="813" operator="equal">
      <formula>"Alto"</formula>
    </cfRule>
  </conditionalFormatting>
  <conditionalFormatting sqref="G2407">
    <cfRule type="cellIs" dxfId="823" priority="808" operator="equal">
      <formula>"Baixo"</formula>
    </cfRule>
    <cfRule type="cellIs" dxfId="822" priority="809" operator="equal">
      <formula>"Médio"</formula>
    </cfRule>
    <cfRule type="cellIs" dxfId="821" priority="810" operator="equal">
      <formula>"Alto"</formula>
    </cfRule>
  </conditionalFormatting>
  <conditionalFormatting sqref="G2408">
    <cfRule type="cellIs" dxfId="820" priority="805" operator="equal">
      <formula>"Baixo"</formula>
    </cfRule>
    <cfRule type="cellIs" dxfId="819" priority="806" operator="equal">
      <formula>"Médio"</formula>
    </cfRule>
    <cfRule type="cellIs" dxfId="818" priority="807" operator="equal">
      <formula>"Alto"</formula>
    </cfRule>
  </conditionalFormatting>
  <conditionalFormatting sqref="G2409 G2411">
    <cfRule type="cellIs" dxfId="817" priority="802" operator="equal">
      <formula>"Baixo"</formula>
    </cfRule>
    <cfRule type="cellIs" dxfId="816" priority="803" operator="equal">
      <formula>"Médio"</formula>
    </cfRule>
    <cfRule type="cellIs" dxfId="815" priority="804" operator="equal">
      <formula>"Alto"</formula>
    </cfRule>
  </conditionalFormatting>
  <conditionalFormatting sqref="G2410 G2412">
    <cfRule type="cellIs" dxfId="814" priority="799" operator="equal">
      <formula>"Baixo"</formula>
    </cfRule>
    <cfRule type="cellIs" dxfId="813" priority="800" operator="equal">
      <formula>"Médio"</formula>
    </cfRule>
    <cfRule type="cellIs" dxfId="812" priority="801" operator="equal">
      <formula>"Alto"</formula>
    </cfRule>
  </conditionalFormatting>
  <conditionalFormatting sqref="G2411">
    <cfRule type="cellIs" dxfId="811" priority="796" operator="equal">
      <formula>"Baixo"</formula>
    </cfRule>
    <cfRule type="cellIs" dxfId="810" priority="797" operator="equal">
      <formula>"Médio"</formula>
    </cfRule>
    <cfRule type="cellIs" dxfId="809" priority="798" operator="equal">
      <formula>"Alto"</formula>
    </cfRule>
  </conditionalFormatting>
  <conditionalFormatting sqref="G2412">
    <cfRule type="cellIs" dxfId="808" priority="793" operator="equal">
      <formula>"Baixo"</formula>
    </cfRule>
    <cfRule type="cellIs" dxfId="807" priority="794" operator="equal">
      <formula>"Médio"</formula>
    </cfRule>
    <cfRule type="cellIs" dxfId="806" priority="795" operator="equal">
      <formula>"Alto"</formula>
    </cfRule>
  </conditionalFormatting>
  <conditionalFormatting sqref="G2413 G2415">
    <cfRule type="cellIs" dxfId="805" priority="790" operator="equal">
      <formula>"Baixo"</formula>
    </cfRule>
    <cfRule type="cellIs" dxfId="804" priority="791" operator="equal">
      <formula>"Médio"</formula>
    </cfRule>
    <cfRule type="cellIs" dxfId="803" priority="792" operator="equal">
      <formula>"Alto"</formula>
    </cfRule>
  </conditionalFormatting>
  <conditionalFormatting sqref="G2414 G2416">
    <cfRule type="cellIs" dxfId="802" priority="787" operator="equal">
      <formula>"Baixo"</formula>
    </cfRule>
    <cfRule type="cellIs" dxfId="801" priority="788" operator="equal">
      <formula>"Médio"</formula>
    </cfRule>
    <cfRule type="cellIs" dxfId="800" priority="789" operator="equal">
      <formula>"Alto"</formula>
    </cfRule>
  </conditionalFormatting>
  <conditionalFormatting sqref="G2415">
    <cfRule type="cellIs" dxfId="799" priority="784" operator="equal">
      <formula>"Baixo"</formula>
    </cfRule>
    <cfRule type="cellIs" dxfId="798" priority="785" operator="equal">
      <formula>"Médio"</formula>
    </cfRule>
    <cfRule type="cellIs" dxfId="797" priority="786" operator="equal">
      <formula>"Alto"</formula>
    </cfRule>
  </conditionalFormatting>
  <conditionalFormatting sqref="G2416">
    <cfRule type="cellIs" dxfId="796" priority="781" operator="equal">
      <formula>"Baixo"</formula>
    </cfRule>
    <cfRule type="cellIs" dxfId="795" priority="782" operator="equal">
      <formula>"Médio"</formula>
    </cfRule>
    <cfRule type="cellIs" dxfId="794" priority="783" operator="equal">
      <formula>"Alto"</formula>
    </cfRule>
  </conditionalFormatting>
  <conditionalFormatting sqref="G2417 G2419">
    <cfRule type="cellIs" dxfId="793" priority="778" operator="equal">
      <formula>"Baixo"</formula>
    </cfRule>
    <cfRule type="cellIs" dxfId="792" priority="779" operator="equal">
      <formula>"Médio"</formula>
    </cfRule>
    <cfRule type="cellIs" dxfId="791" priority="780" operator="equal">
      <formula>"Alto"</formula>
    </cfRule>
  </conditionalFormatting>
  <conditionalFormatting sqref="G2418 G2420">
    <cfRule type="cellIs" dxfId="790" priority="775" operator="equal">
      <formula>"Baixo"</formula>
    </cfRule>
    <cfRule type="cellIs" dxfId="789" priority="776" operator="equal">
      <formula>"Médio"</formula>
    </cfRule>
    <cfRule type="cellIs" dxfId="788" priority="777" operator="equal">
      <formula>"Alto"</formula>
    </cfRule>
  </conditionalFormatting>
  <conditionalFormatting sqref="G2419">
    <cfRule type="cellIs" dxfId="787" priority="772" operator="equal">
      <formula>"Baixo"</formula>
    </cfRule>
    <cfRule type="cellIs" dxfId="786" priority="773" operator="equal">
      <formula>"Médio"</formula>
    </cfRule>
    <cfRule type="cellIs" dxfId="785" priority="774" operator="equal">
      <formula>"Alto"</formula>
    </cfRule>
  </conditionalFormatting>
  <conditionalFormatting sqref="G2420">
    <cfRule type="cellIs" dxfId="784" priority="769" operator="equal">
      <formula>"Baixo"</formula>
    </cfRule>
    <cfRule type="cellIs" dxfId="783" priority="770" operator="equal">
      <formula>"Médio"</formula>
    </cfRule>
    <cfRule type="cellIs" dxfId="782" priority="771" operator="equal">
      <formula>"Alto"</formula>
    </cfRule>
  </conditionalFormatting>
  <conditionalFormatting sqref="G2421 G2423">
    <cfRule type="cellIs" dxfId="781" priority="766" operator="equal">
      <formula>"Baixo"</formula>
    </cfRule>
    <cfRule type="cellIs" dxfId="780" priority="767" operator="equal">
      <formula>"Médio"</formula>
    </cfRule>
    <cfRule type="cellIs" dxfId="779" priority="768" operator="equal">
      <formula>"Alto"</formula>
    </cfRule>
  </conditionalFormatting>
  <conditionalFormatting sqref="G2422 G2424">
    <cfRule type="cellIs" dxfId="778" priority="763" operator="equal">
      <formula>"Baixo"</formula>
    </cfRule>
    <cfRule type="cellIs" dxfId="777" priority="764" operator="equal">
      <formula>"Médio"</formula>
    </cfRule>
    <cfRule type="cellIs" dxfId="776" priority="765" operator="equal">
      <formula>"Alto"</formula>
    </cfRule>
  </conditionalFormatting>
  <conditionalFormatting sqref="G2423">
    <cfRule type="cellIs" dxfId="775" priority="760" operator="equal">
      <formula>"Baixo"</formula>
    </cfRule>
    <cfRule type="cellIs" dxfId="774" priority="761" operator="equal">
      <formula>"Médio"</formula>
    </cfRule>
    <cfRule type="cellIs" dxfId="773" priority="762" operator="equal">
      <formula>"Alto"</formula>
    </cfRule>
  </conditionalFormatting>
  <conditionalFormatting sqref="G2424">
    <cfRule type="cellIs" dxfId="772" priority="757" operator="equal">
      <formula>"Baixo"</formula>
    </cfRule>
    <cfRule type="cellIs" dxfId="771" priority="758" operator="equal">
      <formula>"Médio"</formula>
    </cfRule>
    <cfRule type="cellIs" dxfId="770" priority="759" operator="equal">
      <formula>"Alto"</formula>
    </cfRule>
  </conditionalFormatting>
  <conditionalFormatting sqref="G2425 G2427">
    <cfRule type="cellIs" dxfId="769" priority="754" operator="equal">
      <formula>"Baixo"</formula>
    </cfRule>
    <cfRule type="cellIs" dxfId="768" priority="755" operator="equal">
      <formula>"Médio"</formula>
    </cfRule>
    <cfRule type="cellIs" dxfId="767" priority="756" operator="equal">
      <formula>"Alto"</formula>
    </cfRule>
  </conditionalFormatting>
  <conditionalFormatting sqref="G2426 G2428">
    <cfRule type="cellIs" dxfId="766" priority="751" operator="equal">
      <formula>"Baixo"</formula>
    </cfRule>
    <cfRule type="cellIs" dxfId="765" priority="752" operator="equal">
      <formula>"Médio"</formula>
    </cfRule>
    <cfRule type="cellIs" dxfId="764" priority="753" operator="equal">
      <formula>"Alto"</formula>
    </cfRule>
  </conditionalFormatting>
  <conditionalFormatting sqref="G2427">
    <cfRule type="cellIs" dxfId="763" priority="748" operator="equal">
      <formula>"Baixo"</formula>
    </cfRule>
    <cfRule type="cellIs" dxfId="762" priority="749" operator="equal">
      <formula>"Médio"</formula>
    </cfRule>
    <cfRule type="cellIs" dxfId="761" priority="750" operator="equal">
      <formula>"Alto"</formula>
    </cfRule>
  </conditionalFormatting>
  <conditionalFormatting sqref="G2428">
    <cfRule type="cellIs" dxfId="760" priority="745" operator="equal">
      <formula>"Baixo"</formula>
    </cfRule>
    <cfRule type="cellIs" dxfId="759" priority="746" operator="equal">
      <formula>"Médio"</formula>
    </cfRule>
    <cfRule type="cellIs" dxfId="758" priority="747" operator="equal">
      <formula>"Alto"</formula>
    </cfRule>
  </conditionalFormatting>
  <conditionalFormatting sqref="G2429 G2431">
    <cfRule type="cellIs" dxfId="757" priority="742" operator="equal">
      <formula>"Baixo"</formula>
    </cfRule>
    <cfRule type="cellIs" dxfId="756" priority="743" operator="equal">
      <formula>"Médio"</formula>
    </cfRule>
    <cfRule type="cellIs" dxfId="755" priority="744" operator="equal">
      <formula>"Alto"</formula>
    </cfRule>
  </conditionalFormatting>
  <conditionalFormatting sqref="G2430 G2432">
    <cfRule type="cellIs" dxfId="754" priority="739" operator="equal">
      <formula>"Baixo"</formula>
    </cfRule>
    <cfRule type="cellIs" dxfId="753" priority="740" operator="equal">
      <formula>"Médio"</formula>
    </cfRule>
    <cfRule type="cellIs" dxfId="752" priority="741" operator="equal">
      <formula>"Alto"</formula>
    </cfRule>
  </conditionalFormatting>
  <conditionalFormatting sqref="G2431">
    <cfRule type="cellIs" dxfId="751" priority="736" operator="equal">
      <formula>"Baixo"</formula>
    </cfRule>
    <cfRule type="cellIs" dxfId="750" priority="737" operator="equal">
      <formula>"Médio"</formula>
    </cfRule>
    <cfRule type="cellIs" dxfId="749" priority="738" operator="equal">
      <formula>"Alto"</formula>
    </cfRule>
  </conditionalFormatting>
  <conditionalFormatting sqref="G2432">
    <cfRule type="cellIs" dxfId="748" priority="733" operator="equal">
      <formula>"Baixo"</formula>
    </cfRule>
    <cfRule type="cellIs" dxfId="747" priority="734" operator="equal">
      <formula>"Médio"</formula>
    </cfRule>
    <cfRule type="cellIs" dxfId="746" priority="735" operator="equal">
      <formula>"Alto"</formula>
    </cfRule>
  </conditionalFormatting>
  <conditionalFormatting sqref="G2433 G2435">
    <cfRule type="cellIs" dxfId="745" priority="730" operator="equal">
      <formula>"Baixo"</formula>
    </cfRule>
    <cfRule type="cellIs" dxfId="744" priority="731" operator="equal">
      <formula>"Médio"</formula>
    </cfRule>
    <cfRule type="cellIs" dxfId="743" priority="732" operator="equal">
      <formula>"Alto"</formula>
    </cfRule>
  </conditionalFormatting>
  <conditionalFormatting sqref="G2434 G2436">
    <cfRule type="cellIs" dxfId="742" priority="727" operator="equal">
      <formula>"Baixo"</formula>
    </cfRule>
    <cfRule type="cellIs" dxfId="741" priority="728" operator="equal">
      <formula>"Médio"</formula>
    </cfRule>
    <cfRule type="cellIs" dxfId="740" priority="729" operator="equal">
      <formula>"Alto"</formula>
    </cfRule>
  </conditionalFormatting>
  <conditionalFormatting sqref="G2435">
    <cfRule type="cellIs" dxfId="739" priority="724" operator="equal">
      <formula>"Baixo"</formula>
    </cfRule>
    <cfRule type="cellIs" dxfId="738" priority="725" operator="equal">
      <formula>"Médio"</formula>
    </cfRule>
    <cfRule type="cellIs" dxfId="737" priority="726" operator="equal">
      <formula>"Alto"</formula>
    </cfRule>
  </conditionalFormatting>
  <conditionalFormatting sqref="G2436">
    <cfRule type="cellIs" dxfId="736" priority="721" operator="equal">
      <formula>"Baixo"</formula>
    </cfRule>
    <cfRule type="cellIs" dxfId="735" priority="722" operator="equal">
      <formula>"Médio"</formula>
    </cfRule>
    <cfRule type="cellIs" dxfId="734" priority="723" operator="equal">
      <formula>"Alto"</formula>
    </cfRule>
  </conditionalFormatting>
  <conditionalFormatting sqref="G2437 G2439">
    <cfRule type="cellIs" dxfId="733" priority="718" operator="equal">
      <formula>"Baixo"</formula>
    </cfRule>
    <cfRule type="cellIs" dxfId="732" priority="719" operator="equal">
      <formula>"Médio"</formula>
    </cfRule>
    <cfRule type="cellIs" dxfId="731" priority="720" operator="equal">
      <formula>"Alto"</formula>
    </cfRule>
  </conditionalFormatting>
  <conditionalFormatting sqref="G2438 G2440">
    <cfRule type="cellIs" dxfId="730" priority="715" operator="equal">
      <formula>"Baixo"</formula>
    </cfRule>
    <cfRule type="cellIs" dxfId="729" priority="716" operator="equal">
      <formula>"Médio"</formula>
    </cfRule>
    <cfRule type="cellIs" dxfId="728" priority="717" operator="equal">
      <formula>"Alto"</formula>
    </cfRule>
  </conditionalFormatting>
  <conditionalFormatting sqref="G2439">
    <cfRule type="cellIs" dxfId="727" priority="712" operator="equal">
      <formula>"Baixo"</formula>
    </cfRule>
    <cfRule type="cellIs" dxfId="726" priority="713" operator="equal">
      <formula>"Médio"</formula>
    </cfRule>
    <cfRule type="cellIs" dxfId="725" priority="714" operator="equal">
      <formula>"Alto"</formula>
    </cfRule>
  </conditionalFormatting>
  <conditionalFormatting sqref="G2440">
    <cfRule type="cellIs" dxfId="724" priority="709" operator="equal">
      <formula>"Baixo"</formula>
    </cfRule>
    <cfRule type="cellIs" dxfId="723" priority="710" operator="equal">
      <formula>"Médio"</formula>
    </cfRule>
    <cfRule type="cellIs" dxfId="722" priority="711" operator="equal">
      <formula>"Alto"</formula>
    </cfRule>
  </conditionalFormatting>
  <conditionalFormatting sqref="G2441">
    <cfRule type="cellIs" dxfId="721" priority="706" operator="equal">
      <formula>"Baixo"</formula>
    </cfRule>
    <cfRule type="cellIs" dxfId="720" priority="707" operator="equal">
      <formula>"Médio"</formula>
    </cfRule>
    <cfRule type="cellIs" dxfId="719" priority="708" operator="equal">
      <formula>"Alto"</formula>
    </cfRule>
  </conditionalFormatting>
  <conditionalFormatting sqref="G2442">
    <cfRule type="cellIs" dxfId="718" priority="703" operator="equal">
      <formula>"Baixo"</formula>
    </cfRule>
    <cfRule type="cellIs" dxfId="717" priority="704" operator="equal">
      <formula>"Médio"</formula>
    </cfRule>
    <cfRule type="cellIs" dxfId="716" priority="705" operator="equal">
      <formula>"Alto"</formula>
    </cfRule>
  </conditionalFormatting>
  <conditionalFormatting sqref="G2441">
    <cfRule type="cellIs" dxfId="715" priority="700" operator="equal">
      <formula>"Baixo"</formula>
    </cfRule>
    <cfRule type="cellIs" dxfId="714" priority="701" operator="equal">
      <formula>"Médio"</formula>
    </cfRule>
    <cfRule type="cellIs" dxfId="713" priority="702" operator="equal">
      <formula>"Alto"</formula>
    </cfRule>
  </conditionalFormatting>
  <conditionalFormatting sqref="G2442">
    <cfRule type="cellIs" dxfId="712" priority="697" operator="equal">
      <formula>"Baixo"</formula>
    </cfRule>
    <cfRule type="cellIs" dxfId="711" priority="698" operator="equal">
      <formula>"Médio"</formula>
    </cfRule>
    <cfRule type="cellIs" dxfId="710" priority="699" operator="equal">
      <formula>"Alto"</formula>
    </cfRule>
  </conditionalFormatting>
  <conditionalFormatting sqref="G2443 G2445">
    <cfRule type="cellIs" dxfId="709" priority="694" operator="equal">
      <formula>"Baixo"</formula>
    </cfRule>
    <cfRule type="cellIs" dxfId="708" priority="695" operator="equal">
      <formula>"Médio"</formula>
    </cfRule>
    <cfRule type="cellIs" dxfId="707" priority="696" operator="equal">
      <formula>"Alto"</formula>
    </cfRule>
  </conditionalFormatting>
  <conditionalFormatting sqref="G2444 G2446">
    <cfRule type="cellIs" dxfId="706" priority="691" operator="equal">
      <formula>"Baixo"</formula>
    </cfRule>
    <cfRule type="cellIs" dxfId="705" priority="692" operator="equal">
      <formula>"Médio"</formula>
    </cfRule>
    <cfRule type="cellIs" dxfId="704" priority="693" operator="equal">
      <formula>"Alto"</formula>
    </cfRule>
  </conditionalFormatting>
  <conditionalFormatting sqref="G2445">
    <cfRule type="cellIs" dxfId="703" priority="688" operator="equal">
      <formula>"Baixo"</formula>
    </cfRule>
    <cfRule type="cellIs" dxfId="702" priority="689" operator="equal">
      <formula>"Médio"</formula>
    </cfRule>
    <cfRule type="cellIs" dxfId="701" priority="690" operator="equal">
      <formula>"Alto"</formula>
    </cfRule>
  </conditionalFormatting>
  <conditionalFormatting sqref="G2446">
    <cfRule type="cellIs" dxfId="700" priority="685" operator="equal">
      <formula>"Baixo"</formula>
    </cfRule>
    <cfRule type="cellIs" dxfId="699" priority="686" operator="equal">
      <formula>"Médio"</formula>
    </cfRule>
    <cfRule type="cellIs" dxfId="698" priority="687" operator="equal">
      <formula>"Alto"</formula>
    </cfRule>
  </conditionalFormatting>
  <conditionalFormatting sqref="G2447">
    <cfRule type="cellIs" dxfId="697" priority="682" operator="equal">
      <formula>"Baixo"</formula>
    </cfRule>
    <cfRule type="cellIs" dxfId="696" priority="683" operator="equal">
      <formula>"Médio"</formula>
    </cfRule>
    <cfRule type="cellIs" dxfId="695" priority="684" operator="equal">
      <formula>"Alto"</formula>
    </cfRule>
  </conditionalFormatting>
  <conditionalFormatting sqref="G2448">
    <cfRule type="cellIs" dxfId="694" priority="679" operator="equal">
      <formula>"Baixo"</formula>
    </cfRule>
    <cfRule type="cellIs" dxfId="693" priority="680" operator="equal">
      <formula>"Médio"</formula>
    </cfRule>
    <cfRule type="cellIs" dxfId="692" priority="681" operator="equal">
      <formula>"Alto"</formula>
    </cfRule>
  </conditionalFormatting>
  <conditionalFormatting sqref="G2447">
    <cfRule type="cellIs" dxfId="691" priority="676" operator="equal">
      <formula>"Baixo"</formula>
    </cfRule>
    <cfRule type="cellIs" dxfId="690" priority="677" operator="equal">
      <formula>"Médio"</formula>
    </cfRule>
    <cfRule type="cellIs" dxfId="689" priority="678" operator="equal">
      <formula>"Alto"</formula>
    </cfRule>
  </conditionalFormatting>
  <conditionalFormatting sqref="G2448">
    <cfRule type="cellIs" dxfId="688" priority="673" operator="equal">
      <formula>"Baixo"</formula>
    </cfRule>
    <cfRule type="cellIs" dxfId="687" priority="674" operator="equal">
      <formula>"Médio"</formula>
    </cfRule>
    <cfRule type="cellIs" dxfId="686" priority="675" operator="equal">
      <formula>"Alto"</formula>
    </cfRule>
  </conditionalFormatting>
  <conditionalFormatting sqref="G2449 G2451">
    <cfRule type="cellIs" dxfId="685" priority="670" operator="equal">
      <formula>"Baixo"</formula>
    </cfRule>
    <cfRule type="cellIs" dxfId="684" priority="671" operator="equal">
      <formula>"Médio"</formula>
    </cfRule>
    <cfRule type="cellIs" dxfId="683" priority="672" operator="equal">
      <formula>"Alto"</formula>
    </cfRule>
  </conditionalFormatting>
  <conditionalFormatting sqref="G2450 G2452">
    <cfRule type="cellIs" dxfId="682" priority="667" operator="equal">
      <formula>"Baixo"</formula>
    </cfRule>
    <cfRule type="cellIs" dxfId="681" priority="668" operator="equal">
      <formula>"Médio"</formula>
    </cfRule>
    <cfRule type="cellIs" dxfId="680" priority="669" operator="equal">
      <formula>"Alto"</formula>
    </cfRule>
  </conditionalFormatting>
  <conditionalFormatting sqref="G2451">
    <cfRule type="cellIs" dxfId="679" priority="664" operator="equal">
      <formula>"Baixo"</formula>
    </cfRule>
    <cfRule type="cellIs" dxfId="678" priority="665" operator="equal">
      <formula>"Médio"</formula>
    </cfRule>
    <cfRule type="cellIs" dxfId="677" priority="666" operator="equal">
      <formula>"Alto"</formula>
    </cfRule>
  </conditionalFormatting>
  <conditionalFormatting sqref="G2452">
    <cfRule type="cellIs" dxfId="676" priority="661" operator="equal">
      <formula>"Baixo"</formula>
    </cfRule>
    <cfRule type="cellIs" dxfId="675" priority="662" operator="equal">
      <formula>"Médio"</formula>
    </cfRule>
    <cfRule type="cellIs" dxfId="674" priority="663" operator="equal">
      <formula>"Alto"</formula>
    </cfRule>
  </conditionalFormatting>
  <conditionalFormatting sqref="G2453">
    <cfRule type="cellIs" dxfId="673" priority="658" operator="equal">
      <formula>"Baixo"</formula>
    </cfRule>
    <cfRule type="cellIs" dxfId="672" priority="659" operator="equal">
      <formula>"Médio"</formula>
    </cfRule>
    <cfRule type="cellIs" dxfId="671" priority="660" operator="equal">
      <formula>"Alto"</formula>
    </cfRule>
  </conditionalFormatting>
  <conditionalFormatting sqref="G2454">
    <cfRule type="cellIs" dxfId="670" priority="655" operator="equal">
      <formula>"Baixo"</formula>
    </cfRule>
    <cfRule type="cellIs" dxfId="669" priority="656" operator="equal">
      <formula>"Médio"</formula>
    </cfRule>
    <cfRule type="cellIs" dxfId="668" priority="657" operator="equal">
      <formula>"Alto"</formula>
    </cfRule>
  </conditionalFormatting>
  <conditionalFormatting sqref="G2453">
    <cfRule type="cellIs" dxfId="667" priority="652" operator="equal">
      <formula>"Baixo"</formula>
    </cfRule>
    <cfRule type="cellIs" dxfId="666" priority="653" operator="equal">
      <formula>"Médio"</formula>
    </cfRule>
    <cfRule type="cellIs" dxfId="665" priority="654" operator="equal">
      <formula>"Alto"</formula>
    </cfRule>
  </conditionalFormatting>
  <conditionalFormatting sqref="G2454">
    <cfRule type="cellIs" dxfId="664" priority="649" operator="equal">
      <formula>"Baixo"</formula>
    </cfRule>
    <cfRule type="cellIs" dxfId="663" priority="650" operator="equal">
      <formula>"Médio"</formula>
    </cfRule>
    <cfRule type="cellIs" dxfId="662" priority="651" operator="equal">
      <formula>"Alto"</formula>
    </cfRule>
  </conditionalFormatting>
  <conditionalFormatting sqref="G2455 G2457">
    <cfRule type="cellIs" dxfId="661" priority="646" operator="equal">
      <formula>"Baixo"</formula>
    </cfRule>
    <cfRule type="cellIs" dxfId="660" priority="647" operator="equal">
      <formula>"Médio"</formula>
    </cfRule>
    <cfRule type="cellIs" dxfId="659" priority="648" operator="equal">
      <formula>"Alto"</formula>
    </cfRule>
  </conditionalFormatting>
  <conditionalFormatting sqref="G2456 G2458">
    <cfRule type="cellIs" dxfId="658" priority="643" operator="equal">
      <formula>"Baixo"</formula>
    </cfRule>
    <cfRule type="cellIs" dxfId="657" priority="644" operator="equal">
      <formula>"Médio"</formula>
    </cfRule>
    <cfRule type="cellIs" dxfId="656" priority="645" operator="equal">
      <formula>"Alto"</formula>
    </cfRule>
  </conditionalFormatting>
  <conditionalFormatting sqref="G2457">
    <cfRule type="cellIs" dxfId="655" priority="640" operator="equal">
      <formula>"Baixo"</formula>
    </cfRule>
    <cfRule type="cellIs" dxfId="654" priority="641" operator="equal">
      <formula>"Médio"</formula>
    </cfRule>
    <cfRule type="cellIs" dxfId="653" priority="642" operator="equal">
      <formula>"Alto"</formula>
    </cfRule>
  </conditionalFormatting>
  <conditionalFormatting sqref="G2458">
    <cfRule type="cellIs" dxfId="652" priority="637" operator="equal">
      <formula>"Baixo"</formula>
    </cfRule>
    <cfRule type="cellIs" dxfId="651" priority="638" operator="equal">
      <formula>"Médio"</formula>
    </cfRule>
    <cfRule type="cellIs" dxfId="650" priority="639" operator="equal">
      <formula>"Alto"</formula>
    </cfRule>
  </conditionalFormatting>
  <conditionalFormatting sqref="G2459">
    <cfRule type="cellIs" dxfId="649" priority="634" operator="equal">
      <formula>"Baixo"</formula>
    </cfRule>
    <cfRule type="cellIs" dxfId="648" priority="635" operator="equal">
      <formula>"Médio"</formula>
    </cfRule>
    <cfRule type="cellIs" dxfId="647" priority="636" operator="equal">
      <formula>"Alto"</formula>
    </cfRule>
  </conditionalFormatting>
  <conditionalFormatting sqref="G2460">
    <cfRule type="cellIs" dxfId="646" priority="631" operator="equal">
      <formula>"Baixo"</formula>
    </cfRule>
    <cfRule type="cellIs" dxfId="645" priority="632" operator="equal">
      <formula>"Médio"</formula>
    </cfRule>
    <cfRule type="cellIs" dxfId="644" priority="633" operator="equal">
      <formula>"Alto"</formula>
    </cfRule>
  </conditionalFormatting>
  <conditionalFormatting sqref="G2459">
    <cfRule type="cellIs" dxfId="643" priority="628" operator="equal">
      <formula>"Baixo"</formula>
    </cfRule>
    <cfRule type="cellIs" dxfId="642" priority="629" operator="equal">
      <formula>"Médio"</formula>
    </cfRule>
    <cfRule type="cellIs" dxfId="641" priority="630" operator="equal">
      <formula>"Alto"</formula>
    </cfRule>
  </conditionalFormatting>
  <conditionalFormatting sqref="G2460">
    <cfRule type="cellIs" dxfId="640" priority="625" operator="equal">
      <formula>"Baixo"</formula>
    </cfRule>
    <cfRule type="cellIs" dxfId="639" priority="626" operator="equal">
      <formula>"Médio"</formula>
    </cfRule>
    <cfRule type="cellIs" dxfId="638" priority="627" operator="equal">
      <formula>"Alto"</formula>
    </cfRule>
  </conditionalFormatting>
  <conditionalFormatting sqref="G2461 G2463">
    <cfRule type="cellIs" dxfId="637" priority="622" operator="equal">
      <formula>"Baixo"</formula>
    </cfRule>
    <cfRule type="cellIs" dxfId="636" priority="623" operator="equal">
      <formula>"Médio"</formula>
    </cfRule>
    <cfRule type="cellIs" dxfId="635" priority="624" operator="equal">
      <formula>"Alto"</formula>
    </cfRule>
  </conditionalFormatting>
  <conditionalFormatting sqref="G2462 G2464">
    <cfRule type="cellIs" dxfId="634" priority="619" operator="equal">
      <formula>"Baixo"</formula>
    </cfRule>
    <cfRule type="cellIs" dxfId="633" priority="620" operator="equal">
      <formula>"Médio"</formula>
    </cfRule>
    <cfRule type="cellIs" dxfId="632" priority="621" operator="equal">
      <formula>"Alto"</formula>
    </cfRule>
  </conditionalFormatting>
  <conditionalFormatting sqref="G2463">
    <cfRule type="cellIs" dxfId="631" priority="616" operator="equal">
      <formula>"Baixo"</formula>
    </cfRule>
    <cfRule type="cellIs" dxfId="630" priority="617" operator="equal">
      <formula>"Médio"</formula>
    </cfRule>
    <cfRule type="cellIs" dxfId="629" priority="618" operator="equal">
      <formula>"Alto"</formula>
    </cfRule>
  </conditionalFormatting>
  <conditionalFormatting sqref="G2464">
    <cfRule type="cellIs" dxfId="628" priority="613" operator="equal">
      <formula>"Baixo"</formula>
    </cfRule>
    <cfRule type="cellIs" dxfId="627" priority="614" operator="equal">
      <formula>"Médio"</formula>
    </cfRule>
    <cfRule type="cellIs" dxfId="626" priority="615" operator="equal">
      <formula>"Alto"</formula>
    </cfRule>
  </conditionalFormatting>
  <conditionalFormatting sqref="G2465">
    <cfRule type="cellIs" dxfId="625" priority="610" operator="equal">
      <formula>"Baixo"</formula>
    </cfRule>
    <cfRule type="cellIs" dxfId="624" priority="611" operator="equal">
      <formula>"Médio"</formula>
    </cfRule>
    <cfRule type="cellIs" dxfId="623" priority="612" operator="equal">
      <formula>"Alto"</formula>
    </cfRule>
  </conditionalFormatting>
  <conditionalFormatting sqref="G2466">
    <cfRule type="cellIs" dxfId="622" priority="607" operator="equal">
      <formula>"Baixo"</formula>
    </cfRule>
    <cfRule type="cellIs" dxfId="621" priority="608" operator="equal">
      <formula>"Médio"</formula>
    </cfRule>
    <cfRule type="cellIs" dxfId="620" priority="609" operator="equal">
      <formula>"Alto"</formula>
    </cfRule>
  </conditionalFormatting>
  <conditionalFormatting sqref="G2465">
    <cfRule type="cellIs" dxfId="619" priority="604" operator="equal">
      <formula>"Baixo"</formula>
    </cfRule>
    <cfRule type="cellIs" dxfId="618" priority="605" operator="equal">
      <formula>"Médio"</formula>
    </cfRule>
    <cfRule type="cellIs" dxfId="617" priority="606" operator="equal">
      <formula>"Alto"</formula>
    </cfRule>
  </conditionalFormatting>
  <conditionalFormatting sqref="G2466">
    <cfRule type="cellIs" dxfId="616" priority="601" operator="equal">
      <formula>"Baixo"</formula>
    </cfRule>
    <cfRule type="cellIs" dxfId="615" priority="602" operator="equal">
      <formula>"Médio"</formula>
    </cfRule>
    <cfRule type="cellIs" dxfId="614" priority="603" operator="equal">
      <formula>"Alto"</formula>
    </cfRule>
  </conditionalFormatting>
  <conditionalFormatting sqref="G2467 G2469">
    <cfRule type="cellIs" dxfId="613" priority="598" operator="equal">
      <formula>"Baixo"</formula>
    </cfRule>
    <cfRule type="cellIs" dxfId="612" priority="599" operator="equal">
      <formula>"Médio"</formula>
    </cfRule>
    <cfRule type="cellIs" dxfId="611" priority="600" operator="equal">
      <formula>"Alto"</formula>
    </cfRule>
  </conditionalFormatting>
  <conditionalFormatting sqref="G2468 G2470">
    <cfRule type="cellIs" dxfId="610" priority="595" operator="equal">
      <formula>"Baixo"</formula>
    </cfRule>
    <cfRule type="cellIs" dxfId="609" priority="596" operator="equal">
      <formula>"Médio"</formula>
    </cfRule>
    <cfRule type="cellIs" dxfId="608" priority="597" operator="equal">
      <formula>"Alto"</formula>
    </cfRule>
  </conditionalFormatting>
  <conditionalFormatting sqref="G2469">
    <cfRule type="cellIs" dxfId="607" priority="592" operator="equal">
      <formula>"Baixo"</formula>
    </cfRule>
    <cfRule type="cellIs" dxfId="606" priority="593" operator="equal">
      <formula>"Médio"</formula>
    </cfRule>
    <cfRule type="cellIs" dxfId="605" priority="594" operator="equal">
      <formula>"Alto"</formula>
    </cfRule>
  </conditionalFormatting>
  <conditionalFormatting sqref="G2470">
    <cfRule type="cellIs" dxfId="604" priority="589" operator="equal">
      <formula>"Baixo"</formula>
    </cfRule>
    <cfRule type="cellIs" dxfId="603" priority="590" operator="equal">
      <formula>"Médio"</formula>
    </cfRule>
    <cfRule type="cellIs" dxfId="602" priority="591" operator="equal">
      <formula>"Alto"</formula>
    </cfRule>
  </conditionalFormatting>
  <conditionalFormatting sqref="G2471">
    <cfRule type="cellIs" dxfId="601" priority="586" operator="equal">
      <formula>"Baixo"</formula>
    </cfRule>
    <cfRule type="cellIs" dxfId="600" priority="587" operator="equal">
      <formula>"Médio"</formula>
    </cfRule>
    <cfRule type="cellIs" dxfId="599" priority="588" operator="equal">
      <formula>"Alto"</formula>
    </cfRule>
  </conditionalFormatting>
  <conditionalFormatting sqref="G2472">
    <cfRule type="cellIs" dxfId="598" priority="583" operator="equal">
      <formula>"Baixo"</formula>
    </cfRule>
    <cfRule type="cellIs" dxfId="597" priority="584" operator="equal">
      <formula>"Médio"</formula>
    </cfRule>
    <cfRule type="cellIs" dxfId="596" priority="585" operator="equal">
      <formula>"Alto"</formula>
    </cfRule>
  </conditionalFormatting>
  <conditionalFormatting sqref="G2471">
    <cfRule type="cellIs" dxfId="595" priority="580" operator="equal">
      <formula>"Baixo"</formula>
    </cfRule>
    <cfRule type="cellIs" dxfId="594" priority="581" operator="equal">
      <formula>"Médio"</formula>
    </cfRule>
    <cfRule type="cellIs" dxfId="593" priority="582" operator="equal">
      <formula>"Alto"</formula>
    </cfRule>
  </conditionalFormatting>
  <conditionalFormatting sqref="G2472">
    <cfRule type="cellIs" dxfId="592" priority="577" operator="equal">
      <formula>"Baixo"</formula>
    </cfRule>
    <cfRule type="cellIs" dxfId="591" priority="578" operator="equal">
      <formula>"Médio"</formula>
    </cfRule>
    <cfRule type="cellIs" dxfId="590" priority="579" operator="equal">
      <formula>"Alto"</formula>
    </cfRule>
  </conditionalFormatting>
  <conditionalFormatting sqref="G2473 G2475">
    <cfRule type="cellIs" dxfId="589" priority="574" operator="equal">
      <formula>"Baixo"</formula>
    </cfRule>
    <cfRule type="cellIs" dxfId="588" priority="575" operator="equal">
      <formula>"Médio"</formula>
    </cfRule>
    <cfRule type="cellIs" dxfId="587" priority="576" operator="equal">
      <formula>"Alto"</formula>
    </cfRule>
  </conditionalFormatting>
  <conditionalFormatting sqref="G2474 G2476">
    <cfRule type="cellIs" dxfId="586" priority="571" operator="equal">
      <formula>"Baixo"</formula>
    </cfRule>
    <cfRule type="cellIs" dxfId="585" priority="572" operator="equal">
      <formula>"Médio"</formula>
    </cfRule>
    <cfRule type="cellIs" dxfId="584" priority="573" operator="equal">
      <formula>"Alto"</formula>
    </cfRule>
  </conditionalFormatting>
  <conditionalFormatting sqref="G2475">
    <cfRule type="cellIs" dxfId="583" priority="568" operator="equal">
      <formula>"Baixo"</formula>
    </cfRule>
    <cfRule type="cellIs" dxfId="582" priority="569" operator="equal">
      <formula>"Médio"</formula>
    </cfRule>
    <cfRule type="cellIs" dxfId="581" priority="570" operator="equal">
      <formula>"Alto"</formula>
    </cfRule>
  </conditionalFormatting>
  <conditionalFormatting sqref="G2476">
    <cfRule type="cellIs" dxfId="580" priority="565" operator="equal">
      <formula>"Baixo"</formula>
    </cfRule>
    <cfRule type="cellIs" dxfId="579" priority="566" operator="equal">
      <formula>"Médio"</formula>
    </cfRule>
    <cfRule type="cellIs" dxfId="578" priority="567" operator="equal">
      <formula>"Alto"</formula>
    </cfRule>
  </conditionalFormatting>
  <conditionalFormatting sqref="G2477">
    <cfRule type="cellIs" dxfId="577" priority="562" operator="equal">
      <formula>"Baixo"</formula>
    </cfRule>
    <cfRule type="cellIs" dxfId="576" priority="563" operator="equal">
      <formula>"Médio"</formula>
    </cfRule>
    <cfRule type="cellIs" dxfId="575" priority="564" operator="equal">
      <formula>"Alto"</formula>
    </cfRule>
  </conditionalFormatting>
  <conditionalFormatting sqref="G2478">
    <cfRule type="cellIs" dxfId="574" priority="559" operator="equal">
      <formula>"Baixo"</formula>
    </cfRule>
    <cfRule type="cellIs" dxfId="573" priority="560" operator="equal">
      <formula>"Médio"</formula>
    </cfRule>
    <cfRule type="cellIs" dxfId="572" priority="561" operator="equal">
      <formula>"Alto"</formula>
    </cfRule>
  </conditionalFormatting>
  <conditionalFormatting sqref="G2477">
    <cfRule type="cellIs" dxfId="571" priority="556" operator="equal">
      <formula>"Baixo"</formula>
    </cfRule>
    <cfRule type="cellIs" dxfId="570" priority="557" operator="equal">
      <formula>"Médio"</formula>
    </cfRule>
    <cfRule type="cellIs" dxfId="569" priority="558" operator="equal">
      <formula>"Alto"</formula>
    </cfRule>
  </conditionalFormatting>
  <conditionalFormatting sqref="G2478">
    <cfRule type="cellIs" dxfId="568" priority="553" operator="equal">
      <formula>"Baixo"</formula>
    </cfRule>
    <cfRule type="cellIs" dxfId="567" priority="554" operator="equal">
      <formula>"Médio"</formula>
    </cfRule>
    <cfRule type="cellIs" dxfId="566" priority="555" operator="equal">
      <formula>"Alto"</formula>
    </cfRule>
  </conditionalFormatting>
  <conditionalFormatting sqref="G2479">
    <cfRule type="cellIs" dxfId="565" priority="550" operator="equal">
      <formula>"Baixo"</formula>
    </cfRule>
    <cfRule type="cellIs" dxfId="564" priority="551" operator="equal">
      <formula>"Médio"</formula>
    </cfRule>
    <cfRule type="cellIs" dxfId="563" priority="552" operator="equal">
      <formula>"Alto"</formula>
    </cfRule>
  </conditionalFormatting>
  <conditionalFormatting sqref="G2480">
    <cfRule type="cellIs" dxfId="562" priority="547" operator="equal">
      <formula>"Baixo"</formula>
    </cfRule>
    <cfRule type="cellIs" dxfId="561" priority="548" operator="equal">
      <formula>"Médio"</formula>
    </cfRule>
    <cfRule type="cellIs" dxfId="560" priority="549" operator="equal">
      <formula>"Alto"</formula>
    </cfRule>
  </conditionalFormatting>
  <conditionalFormatting sqref="G2479">
    <cfRule type="cellIs" dxfId="559" priority="544" operator="equal">
      <formula>"Baixo"</formula>
    </cfRule>
    <cfRule type="cellIs" dxfId="558" priority="545" operator="equal">
      <formula>"Médio"</formula>
    </cfRule>
    <cfRule type="cellIs" dxfId="557" priority="546" operator="equal">
      <formula>"Alto"</formula>
    </cfRule>
  </conditionalFormatting>
  <conditionalFormatting sqref="G2480">
    <cfRule type="cellIs" dxfId="556" priority="541" operator="equal">
      <formula>"Baixo"</formula>
    </cfRule>
    <cfRule type="cellIs" dxfId="555" priority="542" operator="equal">
      <formula>"Médio"</formula>
    </cfRule>
    <cfRule type="cellIs" dxfId="554" priority="543" operator="equal">
      <formula>"Alto"</formula>
    </cfRule>
  </conditionalFormatting>
  <conditionalFormatting sqref="G2481 G2483">
    <cfRule type="cellIs" dxfId="553" priority="538" operator="equal">
      <formula>"Baixo"</formula>
    </cfRule>
    <cfRule type="cellIs" dxfId="552" priority="539" operator="equal">
      <formula>"Médio"</formula>
    </cfRule>
    <cfRule type="cellIs" dxfId="551" priority="540" operator="equal">
      <formula>"Alto"</formula>
    </cfRule>
  </conditionalFormatting>
  <conditionalFormatting sqref="G2482 G2484">
    <cfRule type="cellIs" dxfId="550" priority="535" operator="equal">
      <formula>"Baixo"</formula>
    </cfRule>
    <cfRule type="cellIs" dxfId="549" priority="536" operator="equal">
      <formula>"Médio"</formula>
    </cfRule>
    <cfRule type="cellIs" dxfId="548" priority="537" operator="equal">
      <formula>"Alto"</formula>
    </cfRule>
  </conditionalFormatting>
  <conditionalFormatting sqref="G2483">
    <cfRule type="cellIs" dxfId="547" priority="532" operator="equal">
      <formula>"Baixo"</formula>
    </cfRule>
    <cfRule type="cellIs" dxfId="546" priority="533" operator="equal">
      <formula>"Médio"</formula>
    </cfRule>
    <cfRule type="cellIs" dxfId="545" priority="534" operator="equal">
      <formula>"Alto"</formula>
    </cfRule>
  </conditionalFormatting>
  <conditionalFormatting sqref="G2484">
    <cfRule type="cellIs" dxfId="544" priority="529" operator="equal">
      <formula>"Baixo"</formula>
    </cfRule>
    <cfRule type="cellIs" dxfId="543" priority="530" operator="equal">
      <formula>"Médio"</formula>
    </cfRule>
    <cfRule type="cellIs" dxfId="542" priority="531" operator="equal">
      <formula>"Alto"</formula>
    </cfRule>
  </conditionalFormatting>
  <conditionalFormatting sqref="G2485">
    <cfRule type="cellIs" dxfId="541" priority="526" operator="equal">
      <formula>"Baixo"</formula>
    </cfRule>
    <cfRule type="cellIs" dxfId="540" priority="527" operator="equal">
      <formula>"Médio"</formula>
    </cfRule>
    <cfRule type="cellIs" dxfId="539" priority="528" operator="equal">
      <formula>"Alto"</formula>
    </cfRule>
  </conditionalFormatting>
  <conditionalFormatting sqref="G2486">
    <cfRule type="cellIs" dxfId="538" priority="523" operator="equal">
      <formula>"Baixo"</formula>
    </cfRule>
    <cfRule type="cellIs" dxfId="537" priority="524" operator="equal">
      <formula>"Médio"</formula>
    </cfRule>
    <cfRule type="cellIs" dxfId="536" priority="525" operator="equal">
      <formula>"Alto"</formula>
    </cfRule>
  </conditionalFormatting>
  <conditionalFormatting sqref="G2485">
    <cfRule type="cellIs" dxfId="535" priority="520" operator="equal">
      <formula>"Baixo"</formula>
    </cfRule>
    <cfRule type="cellIs" dxfId="534" priority="521" operator="equal">
      <formula>"Médio"</formula>
    </cfRule>
    <cfRule type="cellIs" dxfId="533" priority="522" operator="equal">
      <formula>"Alto"</formula>
    </cfRule>
  </conditionalFormatting>
  <conditionalFormatting sqref="G2486">
    <cfRule type="cellIs" dxfId="532" priority="517" operator="equal">
      <formula>"Baixo"</formula>
    </cfRule>
    <cfRule type="cellIs" dxfId="531" priority="518" operator="equal">
      <formula>"Médio"</formula>
    </cfRule>
    <cfRule type="cellIs" dxfId="530" priority="519" operator="equal">
      <formula>"Alto"</formula>
    </cfRule>
  </conditionalFormatting>
  <conditionalFormatting sqref="G2487">
    <cfRule type="cellIs" dxfId="529" priority="514" operator="equal">
      <formula>"Baixo"</formula>
    </cfRule>
    <cfRule type="cellIs" dxfId="528" priority="515" operator="equal">
      <formula>"Médio"</formula>
    </cfRule>
    <cfRule type="cellIs" dxfId="527" priority="516" operator="equal">
      <formula>"Alto"</formula>
    </cfRule>
  </conditionalFormatting>
  <conditionalFormatting sqref="G2488">
    <cfRule type="cellIs" dxfId="526" priority="511" operator="equal">
      <formula>"Baixo"</formula>
    </cfRule>
    <cfRule type="cellIs" dxfId="525" priority="512" operator="equal">
      <formula>"Médio"</formula>
    </cfRule>
    <cfRule type="cellIs" dxfId="524" priority="513" operator="equal">
      <formula>"Alto"</formula>
    </cfRule>
  </conditionalFormatting>
  <conditionalFormatting sqref="G2487">
    <cfRule type="cellIs" dxfId="523" priority="508" operator="equal">
      <formula>"Baixo"</formula>
    </cfRule>
    <cfRule type="cellIs" dxfId="522" priority="509" operator="equal">
      <formula>"Médio"</formula>
    </cfRule>
    <cfRule type="cellIs" dxfId="521" priority="510" operator="equal">
      <formula>"Alto"</formula>
    </cfRule>
  </conditionalFormatting>
  <conditionalFormatting sqref="G2488">
    <cfRule type="cellIs" dxfId="520" priority="505" operator="equal">
      <formula>"Baixo"</formula>
    </cfRule>
    <cfRule type="cellIs" dxfId="519" priority="506" operator="equal">
      <formula>"Médio"</formula>
    </cfRule>
    <cfRule type="cellIs" dxfId="518" priority="507" operator="equal">
      <formula>"Alto"</formula>
    </cfRule>
  </conditionalFormatting>
  <conditionalFormatting sqref="G2489 G2491">
    <cfRule type="cellIs" dxfId="517" priority="502" operator="equal">
      <formula>"Baixo"</formula>
    </cfRule>
    <cfRule type="cellIs" dxfId="516" priority="503" operator="equal">
      <formula>"Médio"</formula>
    </cfRule>
    <cfRule type="cellIs" dxfId="515" priority="504" operator="equal">
      <formula>"Alto"</formula>
    </cfRule>
  </conditionalFormatting>
  <conditionalFormatting sqref="G2490 G2492">
    <cfRule type="cellIs" dxfId="514" priority="499" operator="equal">
      <formula>"Baixo"</formula>
    </cfRule>
    <cfRule type="cellIs" dxfId="513" priority="500" operator="equal">
      <formula>"Médio"</formula>
    </cfRule>
    <cfRule type="cellIs" dxfId="512" priority="501" operator="equal">
      <formula>"Alto"</formula>
    </cfRule>
  </conditionalFormatting>
  <conditionalFormatting sqref="G2491">
    <cfRule type="cellIs" dxfId="511" priority="496" operator="equal">
      <formula>"Baixo"</formula>
    </cfRule>
    <cfRule type="cellIs" dxfId="510" priority="497" operator="equal">
      <formula>"Médio"</formula>
    </cfRule>
    <cfRule type="cellIs" dxfId="509" priority="498" operator="equal">
      <formula>"Alto"</formula>
    </cfRule>
  </conditionalFormatting>
  <conditionalFormatting sqref="G2492">
    <cfRule type="cellIs" dxfId="508" priority="493" operator="equal">
      <formula>"Baixo"</formula>
    </cfRule>
    <cfRule type="cellIs" dxfId="507" priority="494" operator="equal">
      <formula>"Médio"</formula>
    </cfRule>
    <cfRule type="cellIs" dxfId="506" priority="495" operator="equal">
      <formula>"Alto"</formula>
    </cfRule>
  </conditionalFormatting>
  <conditionalFormatting sqref="G2493">
    <cfRule type="cellIs" dxfId="505" priority="490" operator="equal">
      <formula>"Baixo"</formula>
    </cfRule>
    <cfRule type="cellIs" dxfId="504" priority="491" operator="equal">
      <formula>"Médio"</formula>
    </cfRule>
    <cfRule type="cellIs" dxfId="503" priority="492" operator="equal">
      <formula>"Alto"</formula>
    </cfRule>
  </conditionalFormatting>
  <conditionalFormatting sqref="G2494">
    <cfRule type="cellIs" dxfId="502" priority="487" operator="equal">
      <formula>"Baixo"</formula>
    </cfRule>
    <cfRule type="cellIs" dxfId="501" priority="488" operator="equal">
      <formula>"Médio"</formula>
    </cfRule>
    <cfRule type="cellIs" dxfId="500" priority="489" operator="equal">
      <formula>"Alto"</formula>
    </cfRule>
  </conditionalFormatting>
  <conditionalFormatting sqref="G2493">
    <cfRule type="cellIs" dxfId="499" priority="484" operator="equal">
      <formula>"Baixo"</formula>
    </cfRule>
    <cfRule type="cellIs" dxfId="498" priority="485" operator="equal">
      <formula>"Médio"</formula>
    </cfRule>
    <cfRule type="cellIs" dxfId="497" priority="486" operator="equal">
      <formula>"Alto"</formula>
    </cfRule>
  </conditionalFormatting>
  <conditionalFormatting sqref="G2494">
    <cfRule type="cellIs" dxfId="496" priority="481" operator="equal">
      <formula>"Baixo"</formula>
    </cfRule>
    <cfRule type="cellIs" dxfId="495" priority="482" operator="equal">
      <formula>"Médio"</formula>
    </cfRule>
    <cfRule type="cellIs" dxfId="494" priority="483" operator="equal">
      <formula>"Alto"</formula>
    </cfRule>
  </conditionalFormatting>
  <conditionalFormatting sqref="G2495">
    <cfRule type="cellIs" dxfId="493" priority="478" operator="equal">
      <formula>"Baixo"</formula>
    </cfRule>
    <cfRule type="cellIs" dxfId="492" priority="479" operator="equal">
      <formula>"Médio"</formula>
    </cfRule>
    <cfRule type="cellIs" dxfId="491" priority="480" operator="equal">
      <formula>"Alto"</formula>
    </cfRule>
  </conditionalFormatting>
  <conditionalFormatting sqref="G2496">
    <cfRule type="cellIs" dxfId="490" priority="475" operator="equal">
      <formula>"Baixo"</formula>
    </cfRule>
    <cfRule type="cellIs" dxfId="489" priority="476" operator="equal">
      <formula>"Médio"</formula>
    </cfRule>
    <cfRule type="cellIs" dxfId="488" priority="477" operator="equal">
      <formula>"Alto"</formula>
    </cfRule>
  </conditionalFormatting>
  <conditionalFormatting sqref="G2495">
    <cfRule type="cellIs" dxfId="487" priority="472" operator="equal">
      <formula>"Baixo"</formula>
    </cfRule>
    <cfRule type="cellIs" dxfId="486" priority="473" operator="equal">
      <formula>"Médio"</formula>
    </cfRule>
    <cfRule type="cellIs" dxfId="485" priority="474" operator="equal">
      <formula>"Alto"</formula>
    </cfRule>
  </conditionalFormatting>
  <conditionalFormatting sqref="G2496">
    <cfRule type="cellIs" dxfId="484" priority="469" operator="equal">
      <formula>"Baixo"</formula>
    </cfRule>
    <cfRule type="cellIs" dxfId="483" priority="470" operator="equal">
      <formula>"Médio"</formula>
    </cfRule>
    <cfRule type="cellIs" dxfId="482" priority="471" operator="equal">
      <formula>"Alto"</formula>
    </cfRule>
  </conditionalFormatting>
  <conditionalFormatting sqref="G2497 G2499">
    <cfRule type="cellIs" dxfId="481" priority="466" operator="equal">
      <formula>"Baixo"</formula>
    </cfRule>
    <cfRule type="cellIs" dxfId="480" priority="467" operator="equal">
      <formula>"Médio"</formula>
    </cfRule>
    <cfRule type="cellIs" dxfId="479" priority="468" operator="equal">
      <formula>"Alto"</formula>
    </cfRule>
  </conditionalFormatting>
  <conditionalFormatting sqref="G2498 G2500">
    <cfRule type="cellIs" dxfId="478" priority="463" operator="equal">
      <formula>"Baixo"</formula>
    </cfRule>
    <cfRule type="cellIs" dxfId="477" priority="464" operator="equal">
      <formula>"Médio"</formula>
    </cfRule>
    <cfRule type="cellIs" dxfId="476" priority="465" operator="equal">
      <formula>"Alto"</formula>
    </cfRule>
  </conditionalFormatting>
  <conditionalFormatting sqref="G2499">
    <cfRule type="cellIs" dxfId="475" priority="460" operator="equal">
      <formula>"Baixo"</formula>
    </cfRule>
    <cfRule type="cellIs" dxfId="474" priority="461" operator="equal">
      <formula>"Médio"</formula>
    </cfRule>
    <cfRule type="cellIs" dxfId="473" priority="462" operator="equal">
      <formula>"Alto"</formula>
    </cfRule>
  </conditionalFormatting>
  <conditionalFormatting sqref="G2500">
    <cfRule type="cellIs" dxfId="472" priority="457" operator="equal">
      <formula>"Baixo"</formula>
    </cfRule>
    <cfRule type="cellIs" dxfId="471" priority="458" operator="equal">
      <formula>"Médio"</formula>
    </cfRule>
    <cfRule type="cellIs" dxfId="470" priority="459" operator="equal">
      <formula>"Alto"</formula>
    </cfRule>
  </conditionalFormatting>
  <conditionalFormatting sqref="G2501">
    <cfRule type="cellIs" dxfId="469" priority="454" operator="equal">
      <formula>"Baixo"</formula>
    </cfRule>
    <cfRule type="cellIs" dxfId="468" priority="455" operator="equal">
      <formula>"Médio"</formula>
    </cfRule>
    <cfRule type="cellIs" dxfId="467" priority="456" operator="equal">
      <formula>"Alto"</formula>
    </cfRule>
  </conditionalFormatting>
  <conditionalFormatting sqref="G2502">
    <cfRule type="cellIs" dxfId="466" priority="451" operator="equal">
      <formula>"Baixo"</formula>
    </cfRule>
    <cfRule type="cellIs" dxfId="465" priority="452" operator="equal">
      <formula>"Médio"</formula>
    </cfRule>
    <cfRule type="cellIs" dxfId="464" priority="453" operator="equal">
      <formula>"Alto"</formula>
    </cfRule>
  </conditionalFormatting>
  <conditionalFormatting sqref="G2501">
    <cfRule type="cellIs" dxfId="463" priority="448" operator="equal">
      <formula>"Baixo"</formula>
    </cfRule>
    <cfRule type="cellIs" dxfId="462" priority="449" operator="equal">
      <formula>"Médio"</formula>
    </cfRule>
    <cfRule type="cellIs" dxfId="461" priority="450" operator="equal">
      <formula>"Alto"</formula>
    </cfRule>
  </conditionalFormatting>
  <conditionalFormatting sqref="G2502">
    <cfRule type="cellIs" dxfId="460" priority="445" operator="equal">
      <formula>"Baixo"</formula>
    </cfRule>
    <cfRule type="cellIs" dxfId="459" priority="446" operator="equal">
      <formula>"Médio"</formula>
    </cfRule>
    <cfRule type="cellIs" dxfId="458" priority="447" operator="equal">
      <formula>"Alto"</formula>
    </cfRule>
  </conditionalFormatting>
  <conditionalFormatting sqref="G2503">
    <cfRule type="cellIs" dxfId="457" priority="442" operator="equal">
      <formula>"Baixo"</formula>
    </cfRule>
    <cfRule type="cellIs" dxfId="456" priority="443" operator="equal">
      <formula>"Médio"</formula>
    </cfRule>
    <cfRule type="cellIs" dxfId="455" priority="444" operator="equal">
      <formula>"Alto"</formula>
    </cfRule>
  </conditionalFormatting>
  <conditionalFormatting sqref="G2504">
    <cfRule type="cellIs" dxfId="454" priority="439" operator="equal">
      <formula>"Baixo"</formula>
    </cfRule>
    <cfRule type="cellIs" dxfId="453" priority="440" operator="equal">
      <formula>"Médio"</formula>
    </cfRule>
    <cfRule type="cellIs" dxfId="452" priority="441" operator="equal">
      <formula>"Alto"</formula>
    </cfRule>
  </conditionalFormatting>
  <conditionalFormatting sqref="G2503">
    <cfRule type="cellIs" dxfId="451" priority="436" operator="equal">
      <formula>"Baixo"</formula>
    </cfRule>
    <cfRule type="cellIs" dxfId="450" priority="437" operator="equal">
      <formula>"Médio"</formula>
    </cfRule>
    <cfRule type="cellIs" dxfId="449" priority="438" operator="equal">
      <formula>"Alto"</formula>
    </cfRule>
  </conditionalFormatting>
  <conditionalFormatting sqref="G2504">
    <cfRule type="cellIs" dxfId="448" priority="433" operator="equal">
      <formula>"Baixo"</formula>
    </cfRule>
    <cfRule type="cellIs" dxfId="447" priority="434" operator="equal">
      <formula>"Médio"</formula>
    </cfRule>
    <cfRule type="cellIs" dxfId="446" priority="435" operator="equal">
      <formula>"Alto"</formula>
    </cfRule>
  </conditionalFormatting>
  <conditionalFormatting sqref="G2505 G2507">
    <cfRule type="cellIs" dxfId="445" priority="430" operator="equal">
      <formula>"Baixo"</formula>
    </cfRule>
    <cfRule type="cellIs" dxfId="444" priority="431" operator="equal">
      <formula>"Médio"</formula>
    </cfRule>
    <cfRule type="cellIs" dxfId="443" priority="432" operator="equal">
      <formula>"Alto"</formula>
    </cfRule>
  </conditionalFormatting>
  <conditionalFormatting sqref="G2506 G2508">
    <cfRule type="cellIs" dxfId="442" priority="427" operator="equal">
      <formula>"Baixo"</formula>
    </cfRule>
    <cfRule type="cellIs" dxfId="441" priority="428" operator="equal">
      <formula>"Médio"</formula>
    </cfRule>
    <cfRule type="cellIs" dxfId="440" priority="429" operator="equal">
      <formula>"Alto"</formula>
    </cfRule>
  </conditionalFormatting>
  <conditionalFormatting sqref="G2507">
    <cfRule type="cellIs" dxfId="439" priority="424" operator="equal">
      <formula>"Baixo"</formula>
    </cfRule>
    <cfRule type="cellIs" dxfId="438" priority="425" operator="equal">
      <formula>"Médio"</formula>
    </cfRule>
    <cfRule type="cellIs" dxfId="437" priority="426" operator="equal">
      <formula>"Alto"</formula>
    </cfRule>
  </conditionalFormatting>
  <conditionalFormatting sqref="G2508">
    <cfRule type="cellIs" dxfId="436" priority="421" operator="equal">
      <formula>"Baixo"</formula>
    </cfRule>
    <cfRule type="cellIs" dxfId="435" priority="422" operator="equal">
      <formula>"Médio"</formula>
    </cfRule>
    <cfRule type="cellIs" dxfId="434" priority="423" operator="equal">
      <formula>"Alto"</formula>
    </cfRule>
  </conditionalFormatting>
  <conditionalFormatting sqref="G2509">
    <cfRule type="cellIs" dxfId="433" priority="418" operator="equal">
      <formula>"Baixo"</formula>
    </cfRule>
    <cfRule type="cellIs" dxfId="432" priority="419" operator="equal">
      <formula>"Médio"</formula>
    </cfRule>
    <cfRule type="cellIs" dxfId="431" priority="420" operator="equal">
      <formula>"Alto"</formula>
    </cfRule>
  </conditionalFormatting>
  <conditionalFormatting sqref="G2510">
    <cfRule type="cellIs" dxfId="430" priority="415" operator="equal">
      <formula>"Baixo"</formula>
    </cfRule>
    <cfRule type="cellIs" dxfId="429" priority="416" operator="equal">
      <formula>"Médio"</formula>
    </cfRule>
    <cfRule type="cellIs" dxfId="428" priority="417" operator="equal">
      <formula>"Alto"</formula>
    </cfRule>
  </conditionalFormatting>
  <conditionalFormatting sqref="G2509">
    <cfRule type="cellIs" dxfId="427" priority="412" operator="equal">
      <formula>"Baixo"</formula>
    </cfRule>
    <cfRule type="cellIs" dxfId="426" priority="413" operator="equal">
      <formula>"Médio"</formula>
    </cfRule>
    <cfRule type="cellIs" dxfId="425" priority="414" operator="equal">
      <formula>"Alto"</formula>
    </cfRule>
  </conditionalFormatting>
  <conditionalFormatting sqref="G2510">
    <cfRule type="cellIs" dxfId="424" priority="409" operator="equal">
      <formula>"Baixo"</formula>
    </cfRule>
    <cfRule type="cellIs" dxfId="423" priority="410" operator="equal">
      <formula>"Médio"</formula>
    </cfRule>
    <cfRule type="cellIs" dxfId="422" priority="411" operator="equal">
      <formula>"Alto"</formula>
    </cfRule>
  </conditionalFormatting>
  <conditionalFormatting sqref="G2511">
    <cfRule type="cellIs" dxfId="421" priority="406" operator="equal">
      <formula>"Baixo"</formula>
    </cfRule>
    <cfRule type="cellIs" dxfId="420" priority="407" operator="equal">
      <formula>"Médio"</formula>
    </cfRule>
    <cfRule type="cellIs" dxfId="419" priority="408" operator="equal">
      <formula>"Alto"</formula>
    </cfRule>
  </conditionalFormatting>
  <conditionalFormatting sqref="G2512">
    <cfRule type="cellIs" dxfId="418" priority="403" operator="equal">
      <formula>"Baixo"</formula>
    </cfRule>
    <cfRule type="cellIs" dxfId="417" priority="404" operator="equal">
      <formula>"Médio"</formula>
    </cfRule>
    <cfRule type="cellIs" dxfId="416" priority="405" operator="equal">
      <formula>"Alto"</formula>
    </cfRule>
  </conditionalFormatting>
  <conditionalFormatting sqref="G2511">
    <cfRule type="cellIs" dxfId="415" priority="400" operator="equal">
      <formula>"Baixo"</formula>
    </cfRule>
    <cfRule type="cellIs" dxfId="414" priority="401" operator="equal">
      <formula>"Médio"</formula>
    </cfRule>
    <cfRule type="cellIs" dxfId="413" priority="402" operator="equal">
      <formula>"Alto"</formula>
    </cfRule>
  </conditionalFormatting>
  <conditionalFormatting sqref="G2512">
    <cfRule type="cellIs" dxfId="412" priority="397" operator="equal">
      <formula>"Baixo"</formula>
    </cfRule>
    <cfRule type="cellIs" dxfId="411" priority="398" operator="equal">
      <formula>"Médio"</formula>
    </cfRule>
    <cfRule type="cellIs" dxfId="410" priority="399" operator="equal">
      <formula>"Alto"</formula>
    </cfRule>
  </conditionalFormatting>
  <conditionalFormatting sqref="G2513 G2515">
    <cfRule type="cellIs" dxfId="409" priority="394" operator="equal">
      <formula>"Baixo"</formula>
    </cfRule>
    <cfRule type="cellIs" dxfId="408" priority="395" operator="equal">
      <formula>"Médio"</formula>
    </cfRule>
    <cfRule type="cellIs" dxfId="407" priority="396" operator="equal">
      <formula>"Alto"</formula>
    </cfRule>
  </conditionalFormatting>
  <conditionalFormatting sqref="G2514 G2516">
    <cfRule type="cellIs" dxfId="406" priority="391" operator="equal">
      <formula>"Baixo"</formula>
    </cfRule>
    <cfRule type="cellIs" dxfId="405" priority="392" operator="equal">
      <formula>"Médio"</formula>
    </cfRule>
    <cfRule type="cellIs" dxfId="404" priority="393" operator="equal">
      <formula>"Alto"</formula>
    </cfRule>
  </conditionalFormatting>
  <conditionalFormatting sqref="G2515">
    <cfRule type="cellIs" dxfId="403" priority="388" operator="equal">
      <formula>"Baixo"</formula>
    </cfRule>
    <cfRule type="cellIs" dxfId="402" priority="389" operator="equal">
      <formula>"Médio"</formula>
    </cfRule>
    <cfRule type="cellIs" dxfId="401" priority="390" operator="equal">
      <formula>"Alto"</formula>
    </cfRule>
  </conditionalFormatting>
  <conditionalFormatting sqref="G2516">
    <cfRule type="cellIs" dxfId="400" priority="385" operator="equal">
      <formula>"Baixo"</formula>
    </cfRule>
    <cfRule type="cellIs" dxfId="399" priority="386" operator="equal">
      <formula>"Médio"</formula>
    </cfRule>
    <cfRule type="cellIs" dxfId="398" priority="387" operator="equal">
      <formula>"Alto"</formula>
    </cfRule>
  </conditionalFormatting>
  <conditionalFormatting sqref="G2517">
    <cfRule type="cellIs" dxfId="397" priority="382" operator="equal">
      <formula>"Baixo"</formula>
    </cfRule>
    <cfRule type="cellIs" dxfId="396" priority="383" operator="equal">
      <formula>"Médio"</formula>
    </cfRule>
    <cfRule type="cellIs" dxfId="395" priority="384" operator="equal">
      <formula>"Alto"</formula>
    </cfRule>
  </conditionalFormatting>
  <conditionalFormatting sqref="G2518">
    <cfRule type="cellIs" dxfId="394" priority="379" operator="equal">
      <formula>"Baixo"</formula>
    </cfRule>
    <cfRule type="cellIs" dxfId="393" priority="380" operator="equal">
      <formula>"Médio"</formula>
    </cfRule>
    <cfRule type="cellIs" dxfId="392" priority="381" operator="equal">
      <formula>"Alto"</formula>
    </cfRule>
  </conditionalFormatting>
  <conditionalFormatting sqref="G2517">
    <cfRule type="cellIs" dxfId="391" priority="376" operator="equal">
      <formula>"Baixo"</formula>
    </cfRule>
    <cfRule type="cellIs" dxfId="390" priority="377" operator="equal">
      <formula>"Médio"</formula>
    </cfRule>
    <cfRule type="cellIs" dxfId="389" priority="378" operator="equal">
      <formula>"Alto"</formula>
    </cfRule>
  </conditionalFormatting>
  <conditionalFormatting sqref="G2518">
    <cfRule type="cellIs" dxfId="388" priority="373" operator="equal">
      <formula>"Baixo"</formula>
    </cfRule>
    <cfRule type="cellIs" dxfId="387" priority="374" operator="equal">
      <formula>"Médio"</formula>
    </cfRule>
    <cfRule type="cellIs" dxfId="386" priority="375" operator="equal">
      <formula>"Alto"</formula>
    </cfRule>
  </conditionalFormatting>
  <conditionalFormatting sqref="G2519">
    <cfRule type="cellIs" dxfId="385" priority="370" operator="equal">
      <formula>"Baixo"</formula>
    </cfRule>
    <cfRule type="cellIs" dxfId="384" priority="371" operator="equal">
      <formula>"Médio"</formula>
    </cfRule>
    <cfRule type="cellIs" dxfId="383" priority="372" operator="equal">
      <formula>"Alto"</formula>
    </cfRule>
  </conditionalFormatting>
  <conditionalFormatting sqref="G2520">
    <cfRule type="cellIs" dxfId="382" priority="367" operator="equal">
      <formula>"Baixo"</formula>
    </cfRule>
    <cfRule type="cellIs" dxfId="381" priority="368" operator="equal">
      <formula>"Médio"</formula>
    </cfRule>
    <cfRule type="cellIs" dxfId="380" priority="369" operator="equal">
      <formula>"Alto"</formula>
    </cfRule>
  </conditionalFormatting>
  <conditionalFormatting sqref="G2519">
    <cfRule type="cellIs" dxfId="379" priority="364" operator="equal">
      <formula>"Baixo"</formula>
    </cfRule>
    <cfRule type="cellIs" dxfId="378" priority="365" operator="equal">
      <formula>"Médio"</formula>
    </cfRule>
    <cfRule type="cellIs" dxfId="377" priority="366" operator="equal">
      <formula>"Alto"</formula>
    </cfRule>
  </conditionalFormatting>
  <conditionalFormatting sqref="G2520">
    <cfRule type="cellIs" dxfId="376" priority="361" operator="equal">
      <formula>"Baixo"</formula>
    </cfRule>
    <cfRule type="cellIs" dxfId="375" priority="362" operator="equal">
      <formula>"Médio"</formula>
    </cfRule>
    <cfRule type="cellIs" dxfId="374" priority="363" operator="equal">
      <formula>"Alto"</formula>
    </cfRule>
  </conditionalFormatting>
  <conditionalFormatting sqref="G2521 G2523">
    <cfRule type="cellIs" dxfId="373" priority="358" operator="equal">
      <formula>"Baixo"</formula>
    </cfRule>
    <cfRule type="cellIs" dxfId="372" priority="359" operator="equal">
      <formula>"Médio"</formula>
    </cfRule>
    <cfRule type="cellIs" dxfId="371" priority="360" operator="equal">
      <formula>"Alto"</formula>
    </cfRule>
  </conditionalFormatting>
  <conditionalFormatting sqref="G2522 G2524">
    <cfRule type="cellIs" dxfId="370" priority="355" operator="equal">
      <formula>"Baixo"</formula>
    </cfRule>
    <cfRule type="cellIs" dxfId="369" priority="356" operator="equal">
      <formula>"Médio"</formula>
    </cfRule>
    <cfRule type="cellIs" dxfId="368" priority="357" operator="equal">
      <formula>"Alto"</formula>
    </cfRule>
  </conditionalFormatting>
  <conditionalFormatting sqref="G2523">
    <cfRule type="cellIs" dxfId="367" priority="352" operator="equal">
      <formula>"Baixo"</formula>
    </cfRule>
    <cfRule type="cellIs" dxfId="366" priority="353" operator="equal">
      <formula>"Médio"</formula>
    </cfRule>
    <cfRule type="cellIs" dxfId="365" priority="354" operator="equal">
      <formula>"Alto"</formula>
    </cfRule>
  </conditionalFormatting>
  <conditionalFormatting sqref="G2524">
    <cfRule type="cellIs" dxfId="364" priority="349" operator="equal">
      <formula>"Baixo"</formula>
    </cfRule>
    <cfRule type="cellIs" dxfId="363" priority="350" operator="equal">
      <formula>"Médio"</formula>
    </cfRule>
    <cfRule type="cellIs" dxfId="362" priority="351" operator="equal">
      <formula>"Alto"</formula>
    </cfRule>
  </conditionalFormatting>
  <conditionalFormatting sqref="G2526">
    <cfRule type="cellIs" dxfId="361" priority="346" operator="equal">
      <formula>"Baixo"</formula>
    </cfRule>
    <cfRule type="cellIs" dxfId="360" priority="347" operator="equal">
      <formula>"Médio"</formula>
    </cfRule>
    <cfRule type="cellIs" dxfId="359" priority="348" operator="equal">
      <formula>"Alto"</formula>
    </cfRule>
  </conditionalFormatting>
  <conditionalFormatting sqref="G2525 G2527">
    <cfRule type="cellIs" dxfId="358" priority="343" operator="equal">
      <formula>"Baixo"</formula>
    </cfRule>
    <cfRule type="cellIs" dxfId="357" priority="344" operator="equal">
      <formula>"Médio"</formula>
    </cfRule>
    <cfRule type="cellIs" dxfId="356" priority="345" operator="equal">
      <formula>"Alto"</formula>
    </cfRule>
  </conditionalFormatting>
  <conditionalFormatting sqref="G2526">
    <cfRule type="cellIs" dxfId="355" priority="340" operator="equal">
      <formula>"Baixo"</formula>
    </cfRule>
    <cfRule type="cellIs" dxfId="354" priority="341" operator="equal">
      <formula>"Médio"</formula>
    </cfRule>
    <cfRule type="cellIs" dxfId="353" priority="342" operator="equal">
      <formula>"Alto"</formula>
    </cfRule>
  </conditionalFormatting>
  <conditionalFormatting sqref="G2527">
    <cfRule type="cellIs" dxfId="352" priority="337" operator="equal">
      <formula>"Baixo"</formula>
    </cfRule>
    <cfRule type="cellIs" dxfId="351" priority="338" operator="equal">
      <formula>"Médio"</formula>
    </cfRule>
    <cfRule type="cellIs" dxfId="350" priority="339" operator="equal">
      <formula>"Alto"</formula>
    </cfRule>
  </conditionalFormatting>
  <conditionalFormatting sqref="G2529">
    <cfRule type="cellIs" dxfId="349" priority="334" operator="equal">
      <formula>"Baixo"</formula>
    </cfRule>
    <cfRule type="cellIs" dxfId="348" priority="335" operator="equal">
      <formula>"Médio"</formula>
    </cfRule>
    <cfRule type="cellIs" dxfId="347" priority="336" operator="equal">
      <formula>"Alto"</formula>
    </cfRule>
  </conditionalFormatting>
  <conditionalFormatting sqref="G2528 G2530">
    <cfRule type="cellIs" dxfId="346" priority="331" operator="equal">
      <formula>"Baixo"</formula>
    </cfRule>
    <cfRule type="cellIs" dxfId="345" priority="332" operator="equal">
      <formula>"Médio"</formula>
    </cfRule>
    <cfRule type="cellIs" dxfId="344" priority="333" operator="equal">
      <formula>"Alto"</formula>
    </cfRule>
  </conditionalFormatting>
  <conditionalFormatting sqref="G2529">
    <cfRule type="cellIs" dxfId="343" priority="328" operator="equal">
      <formula>"Baixo"</formula>
    </cfRule>
    <cfRule type="cellIs" dxfId="342" priority="329" operator="equal">
      <formula>"Médio"</formula>
    </cfRule>
    <cfRule type="cellIs" dxfId="341" priority="330" operator="equal">
      <formula>"Alto"</formula>
    </cfRule>
  </conditionalFormatting>
  <conditionalFormatting sqref="G2530">
    <cfRule type="cellIs" dxfId="340" priority="325" operator="equal">
      <formula>"Baixo"</formula>
    </cfRule>
    <cfRule type="cellIs" dxfId="339" priority="326" operator="equal">
      <formula>"Médio"</formula>
    </cfRule>
    <cfRule type="cellIs" dxfId="338" priority="327" operator="equal">
      <formula>"Alto"</formula>
    </cfRule>
  </conditionalFormatting>
  <conditionalFormatting sqref="G2532">
    <cfRule type="cellIs" dxfId="337" priority="322" operator="equal">
      <formula>"Baixo"</formula>
    </cfRule>
    <cfRule type="cellIs" dxfId="336" priority="323" operator="equal">
      <formula>"Médio"</formula>
    </cfRule>
    <cfRule type="cellIs" dxfId="335" priority="324" operator="equal">
      <formula>"Alto"</formula>
    </cfRule>
  </conditionalFormatting>
  <conditionalFormatting sqref="G2531 G2533">
    <cfRule type="cellIs" dxfId="334" priority="319" operator="equal">
      <formula>"Baixo"</formula>
    </cfRule>
    <cfRule type="cellIs" dxfId="333" priority="320" operator="equal">
      <formula>"Médio"</formula>
    </cfRule>
    <cfRule type="cellIs" dxfId="332" priority="321" operator="equal">
      <formula>"Alto"</formula>
    </cfRule>
  </conditionalFormatting>
  <conditionalFormatting sqref="G2532">
    <cfRule type="cellIs" dxfId="331" priority="316" operator="equal">
      <formula>"Baixo"</formula>
    </cfRule>
    <cfRule type="cellIs" dxfId="330" priority="317" operator="equal">
      <formula>"Médio"</formula>
    </cfRule>
    <cfRule type="cellIs" dxfId="329" priority="318" operator="equal">
      <formula>"Alto"</formula>
    </cfRule>
  </conditionalFormatting>
  <conditionalFormatting sqref="G2533">
    <cfRule type="cellIs" dxfId="328" priority="313" operator="equal">
      <formula>"Baixo"</formula>
    </cfRule>
    <cfRule type="cellIs" dxfId="327" priority="314" operator="equal">
      <formula>"Médio"</formula>
    </cfRule>
    <cfRule type="cellIs" dxfId="326" priority="315" operator="equal">
      <formula>"Alto"</formula>
    </cfRule>
  </conditionalFormatting>
  <conditionalFormatting sqref="G2535">
    <cfRule type="cellIs" dxfId="325" priority="310" operator="equal">
      <formula>"Baixo"</formula>
    </cfRule>
    <cfRule type="cellIs" dxfId="324" priority="311" operator="equal">
      <formula>"Médio"</formula>
    </cfRule>
    <cfRule type="cellIs" dxfId="323" priority="312" operator="equal">
      <formula>"Alto"</formula>
    </cfRule>
  </conditionalFormatting>
  <conditionalFormatting sqref="G2534 G2536">
    <cfRule type="cellIs" dxfId="322" priority="307" operator="equal">
      <formula>"Baixo"</formula>
    </cfRule>
    <cfRule type="cellIs" dxfId="321" priority="308" operator="equal">
      <formula>"Médio"</formula>
    </cfRule>
    <cfRule type="cellIs" dxfId="320" priority="309" operator="equal">
      <formula>"Alto"</formula>
    </cfRule>
  </conditionalFormatting>
  <conditionalFormatting sqref="G2535">
    <cfRule type="cellIs" dxfId="319" priority="304" operator="equal">
      <formula>"Baixo"</formula>
    </cfRule>
    <cfRule type="cellIs" dxfId="318" priority="305" operator="equal">
      <formula>"Médio"</formula>
    </cfRule>
    <cfRule type="cellIs" dxfId="317" priority="306" operator="equal">
      <formula>"Alto"</formula>
    </cfRule>
  </conditionalFormatting>
  <conditionalFormatting sqref="G2536">
    <cfRule type="cellIs" dxfId="316" priority="301" operator="equal">
      <formula>"Baixo"</formula>
    </cfRule>
    <cfRule type="cellIs" dxfId="315" priority="302" operator="equal">
      <formula>"Médio"</formula>
    </cfRule>
    <cfRule type="cellIs" dxfId="314" priority="303" operator="equal">
      <formula>"Alto"</formula>
    </cfRule>
  </conditionalFormatting>
  <conditionalFormatting sqref="G2538">
    <cfRule type="cellIs" dxfId="313" priority="298" operator="equal">
      <formula>"Baixo"</formula>
    </cfRule>
    <cfRule type="cellIs" dxfId="312" priority="299" operator="equal">
      <formula>"Médio"</formula>
    </cfRule>
    <cfRule type="cellIs" dxfId="311" priority="300" operator="equal">
      <formula>"Alto"</formula>
    </cfRule>
  </conditionalFormatting>
  <conditionalFormatting sqref="G2537 G2539">
    <cfRule type="cellIs" dxfId="310" priority="295" operator="equal">
      <formula>"Baixo"</formula>
    </cfRule>
    <cfRule type="cellIs" dxfId="309" priority="296" operator="equal">
      <formula>"Médio"</formula>
    </cfRule>
    <cfRule type="cellIs" dxfId="308" priority="297" operator="equal">
      <formula>"Alto"</formula>
    </cfRule>
  </conditionalFormatting>
  <conditionalFormatting sqref="G2538">
    <cfRule type="cellIs" dxfId="307" priority="292" operator="equal">
      <formula>"Baixo"</formula>
    </cfRule>
    <cfRule type="cellIs" dxfId="306" priority="293" operator="equal">
      <formula>"Médio"</formula>
    </cfRule>
    <cfRule type="cellIs" dxfId="305" priority="294" operator="equal">
      <formula>"Alto"</formula>
    </cfRule>
  </conditionalFormatting>
  <conditionalFormatting sqref="G2539">
    <cfRule type="cellIs" dxfId="304" priority="289" operator="equal">
      <formula>"Baixo"</formula>
    </cfRule>
    <cfRule type="cellIs" dxfId="303" priority="290" operator="equal">
      <formula>"Médio"</formula>
    </cfRule>
    <cfRule type="cellIs" dxfId="302" priority="291" operator="equal">
      <formula>"Alto"</formula>
    </cfRule>
  </conditionalFormatting>
  <conditionalFormatting sqref="G2541">
    <cfRule type="cellIs" dxfId="301" priority="286" operator="equal">
      <formula>"Baixo"</formula>
    </cfRule>
    <cfRule type="cellIs" dxfId="300" priority="287" operator="equal">
      <formula>"Médio"</formula>
    </cfRule>
    <cfRule type="cellIs" dxfId="299" priority="288" operator="equal">
      <formula>"Alto"</formula>
    </cfRule>
  </conditionalFormatting>
  <conditionalFormatting sqref="G2540 G2542">
    <cfRule type="cellIs" dxfId="298" priority="283" operator="equal">
      <formula>"Baixo"</formula>
    </cfRule>
    <cfRule type="cellIs" dxfId="297" priority="284" operator="equal">
      <formula>"Médio"</formula>
    </cfRule>
    <cfRule type="cellIs" dxfId="296" priority="285" operator="equal">
      <formula>"Alto"</formula>
    </cfRule>
  </conditionalFormatting>
  <conditionalFormatting sqref="G2541">
    <cfRule type="cellIs" dxfId="295" priority="280" operator="equal">
      <formula>"Baixo"</formula>
    </cfRule>
    <cfRule type="cellIs" dxfId="294" priority="281" operator="equal">
      <formula>"Médio"</formula>
    </cfRule>
    <cfRule type="cellIs" dxfId="293" priority="282" operator="equal">
      <formula>"Alto"</formula>
    </cfRule>
  </conditionalFormatting>
  <conditionalFormatting sqref="G2542">
    <cfRule type="cellIs" dxfId="292" priority="277" operator="equal">
      <formula>"Baixo"</formula>
    </cfRule>
    <cfRule type="cellIs" dxfId="291" priority="278" operator="equal">
      <formula>"Médio"</formula>
    </cfRule>
    <cfRule type="cellIs" dxfId="290" priority="279" operator="equal">
      <formula>"Alto"</formula>
    </cfRule>
  </conditionalFormatting>
  <conditionalFormatting sqref="G2544">
    <cfRule type="cellIs" dxfId="289" priority="274" operator="equal">
      <formula>"Baixo"</formula>
    </cfRule>
    <cfRule type="cellIs" dxfId="288" priority="275" operator="equal">
      <formula>"Médio"</formula>
    </cfRule>
    <cfRule type="cellIs" dxfId="287" priority="276" operator="equal">
      <formula>"Alto"</formula>
    </cfRule>
  </conditionalFormatting>
  <conditionalFormatting sqref="G2543 G2545">
    <cfRule type="cellIs" dxfId="286" priority="271" operator="equal">
      <formula>"Baixo"</formula>
    </cfRule>
    <cfRule type="cellIs" dxfId="285" priority="272" operator="equal">
      <formula>"Médio"</formula>
    </cfRule>
    <cfRule type="cellIs" dxfId="284" priority="273" operator="equal">
      <formula>"Alto"</formula>
    </cfRule>
  </conditionalFormatting>
  <conditionalFormatting sqref="G2544">
    <cfRule type="cellIs" dxfId="283" priority="268" operator="equal">
      <formula>"Baixo"</formula>
    </cfRule>
    <cfRule type="cellIs" dxfId="282" priority="269" operator="equal">
      <formula>"Médio"</formula>
    </cfRule>
    <cfRule type="cellIs" dxfId="281" priority="270" operator="equal">
      <formula>"Alto"</formula>
    </cfRule>
  </conditionalFormatting>
  <conditionalFormatting sqref="G2545">
    <cfRule type="cellIs" dxfId="280" priority="265" operator="equal">
      <formula>"Baixo"</formula>
    </cfRule>
    <cfRule type="cellIs" dxfId="279" priority="266" operator="equal">
      <formula>"Médio"</formula>
    </cfRule>
    <cfRule type="cellIs" dxfId="278" priority="267" operator="equal">
      <formula>"Alto"</formula>
    </cfRule>
  </conditionalFormatting>
  <conditionalFormatting sqref="G2547">
    <cfRule type="cellIs" dxfId="277" priority="262" operator="equal">
      <formula>"Baixo"</formula>
    </cfRule>
    <cfRule type="cellIs" dxfId="276" priority="263" operator="equal">
      <formula>"Médio"</formula>
    </cfRule>
    <cfRule type="cellIs" dxfId="275" priority="264" operator="equal">
      <formula>"Alto"</formula>
    </cfRule>
  </conditionalFormatting>
  <conditionalFormatting sqref="G2546 G2548">
    <cfRule type="cellIs" dxfId="274" priority="259" operator="equal">
      <formula>"Baixo"</formula>
    </cfRule>
    <cfRule type="cellIs" dxfId="273" priority="260" operator="equal">
      <formula>"Médio"</formula>
    </cfRule>
    <cfRule type="cellIs" dxfId="272" priority="261" operator="equal">
      <formula>"Alto"</formula>
    </cfRule>
  </conditionalFormatting>
  <conditionalFormatting sqref="G2547">
    <cfRule type="cellIs" dxfId="271" priority="256" operator="equal">
      <formula>"Baixo"</formula>
    </cfRule>
    <cfRule type="cellIs" dxfId="270" priority="257" operator="equal">
      <formula>"Médio"</formula>
    </cfRule>
    <cfRule type="cellIs" dxfId="269" priority="258" operator="equal">
      <formula>"Alto"</formula>
    </cfRule>
  </conditionalFormatting>
  <conditionalFormatting sqref="G2548">
    <cfRule type="cellIs" dxfId="268" priority="253" operator="equal">
      <formula>"Baixo"</formula>
    </cfRule>
    <cfRule type="cellIs" dxfId="267" priority="254" operator="equal">
      <formula>"Médio"</formula>
    </cfRule>
    <cfRule type="cellIs" dxfId="266" priority="255" operator="equal">
      <formula>"Alto"</formula>
    </cfRule>
  </conditionalFormatting>
  <conditionalFormatting sqref="G2550">
    <cfRule type="cellIs" dxfId="265" priority="250" operator="equal">
      <formula>"Baixo"</formula>
    </cfRule>
    <cfRule type="cellIs" dxfId="264" priority="251" operator="equal">
      <formula>"Médio"</formula>
    </cfRule>
    <cfRule type="cellIs" dxfId="263" priority="252" operator="equal">
      <formula>"Alto"</formula>
    </cfRule>
  </conditionalFormatting>
  <conditionalFormatting sqref="G2549 G2551">
    <cfRule type="cellIs" dxfId="262" priority="247" operator="equal">
      <formula>"Baixo"</formula>
    </cfRule>
    <cfRule type="cellIs" dxfId="261" priority="248" operator="equal">
      <formula>"Médio"</formula>
    </cfRule>
    <cfRule type="cellIs" dxfId="260" priority="249" operator="equal">
      <formula>"Alto"</formula>
    </cfRule>
  </conditionalFormatting>
  <conditionalFormatting sqref="G2550">
    <cfRule type="cellIs" dxfId="259" priority="244" operator="equal">
      <formula>"Baixo"</formula>
    </cfRule>
    <cfRule type="cellIs" dxfId="258" priority="245" operator="equal">
      <formula>"Médio"</formula>
    </cfRule>
    <cfRule type="cellIs" dxfId="257" priority="246" operator="equal">
      <formula>"Alto"</formula>
    </cfRule>
  </conditionalFormatting>
  <conditionalFormatting sqref="G2551">
    <cfRule type="cellIs" dxfId="256" priority="241" operator="equal">
      <formula>"Baixo"</formula>
    </cfRule>
    <cfRule type="cellIs" dxfId="255" priority="242" operator="equal">
      <formula>"Médio"</formula>
    </cfRule>
    <cfRule type="cellIs" dxfId="254" priority="243" operator="equal">
      <formula>"Alto"</formula>
    </cfRule>
  </conditionalFormatting>
  <conditionalFormatting sqref="G2553">
    <cfRule type="cellIs" dxfId="253" priority="238" operator="equal">
      <formula>"Baixo"</formula>
    </cfRule>
    <cfRule type="cellIs" dxfId="252" priority="239" operator="equal">
      <formula>"Médio"</formula>
    </cfRule>
    <cfRule type="cellIs" dxfId="251" priority="240" operator="equal">
      <formula>"Alto"</formula>
    </cfRule>
  </conditionalFormatting>
  <conditionalFormatting sqref="G2552 G2554">
    <cfRule type="cellIs" dxfId="250" priority="235" operator="equal">
      <formula>"Baixo"</formula>
    </cfRule>
    <cfRule type="cellIs" dxfId="249" priority="236" operator="equal">
      <formula>"Médio"</formula>
    </cfRule>
    <cfRule type="cellIs" dxfId="248" priority="237" operator="equal">
      <formula>"Alto"</formula>
    </cfRule>
  </conditionalFormatting>
  <conditionalFormatting sqref="G2553">
    <cfRule type="cellIs" dxfId="247" priority="232" operator="equal">
      <formula>"Baixo"</formula>
    </cfRule>
    <cfRule type="cellIs" dxfId="246" priority="233" operator="equal">
      <formula>"Médio"</formula>
    </cfRule>
    <cfRule type="cellIs" dxfId="245" priority="234" operator="equal">
      <formula>"Alto"</formula>
    </cfRule>
  </conditionalFormatting>
  <conditionalFormatting sqref="G2554">
    <cfRule type="cellIs" dxfId="244" priority="229" operator="equal">
      <formula>"Baixo"</formula>
    </cfRule>
    <cfRule type="cellIs" dxfId="243" priority="230" operator="equal">
      <formula>"Médio"</formula>
    </cfRule>
    <cfRule type="cellIs" dxfId="242" priority="231" operator="equal">
      <formula>"Alto"</formula>
    </cfRule>
  </conditionalFormatting>
  <conditionalFormatting sqref="G2556">
    <cfRule type="cellIs" dxfId="241" priority="226" operator="equal">
      <formula>"Baixo"</formula>
    </cfRule>
    <cfRule type="cellIs" dxfId="240" priority="227" operator="equal">
      <formula>"Médio"</formula>
    </cfRule>
    <cfRule type="cellIs" dxfId="239" priority="228" operator="equal">
      <formula>"Alto"</formula>
    </cfRule>
  </conditionalFormatting>
  <conditionalFormatting sqref="G2555 G2557">
    <cfRule type="cellIs" dxfId="238" priority="223" operator="equal">
      <formula>"Baixo"</formula>
    </cfRule>
    <cfRule type="cellIs" dxfId="237" priority="224" operator="equal">
      <formula>"Médio"</formula>
    </cfRule>
    <cfRule type="cellIs" dxfId="236" priority="225" operator="equal">
      <formula>"Alto"</formula>
    </cfRule>
  </conditionalFormatting>
  <conditionalFormatting sqref="G2556">
    <cfRule type="cellIs" dxfId="235" priority="220" operator="equal">
      <formula>"Baixo"</formula>
    </cfRule>
    <cfRule type="cellIs" dxfId="234" priority="221" operator="equal">
      <formula>"Médio"</formula>
    </cfRule>
    <cfRule type="cellIs" dxfId="233" priority="222" operator="equal">
      <formula>"Alto"</formula>
    </cfRule>
  </conditionalFormatting>
  <conditionalFormatting sqref="G2557">
    <cfRule type="cellIs" dxfId="232" priority="217" operator="equal">
      <formula>"Baixo"</formula>
    </cfRule>
    <cfRule type="cellIs" dxfId="231" priority="218" operator="equal">
      <formula>"Médio"</formula>
    </cfRule>
    <cfRule type="cellIs" dxfId="230" priority="219" operator="equal">
      <formula>"Alto"</formula>
    </cfRule>
  </conditionalFormatting>
  <conditionalFormatting sqref="G2559">
    <cfRule type="cellIs" dxfId="229" priority="214" operator="equal">
      <formula>"Baixo"</formula>
    </cfRule>
    <cfRule type="cellIs" dxfId="228" priority="215" operator="equal">
      <formula>"Médio"</formula>
    </cfRule>
    <cfRule type="cellIs" dxfId="227" priority="216" operator="equal">
      <formula>"Alto"</formula>
    </cfRule>
  </conditionalFormatting>
  <conditionalFormatting sqref="G2558 G2560">
    <cfRule type="cellIs" dxfId="226" priority="211" operator="equal">
      <formula>"Baixo"</formula>
    </cfRule>
    <cfRule type="cellIs" dxfId="225" priority="212" operator="equal">
      <formula>"Médio"</formula>
    </cfRule>
    <cfRule type="cellIs" dxfId="224" priority="213" operator="equal">
      <formula>"Alto"</formula>
    </cfRule>
  </conditionalFormatting>
  <conditionalFormatting sqref="G2559">
    <cfRule type="cellIs" dxfId="223" priority="208" operator="equal">
      <formula>"Baixo"</formula>
    </cfRule>
    <cfRule type="cellIs" dxfId="222" priority="209" operator="equal">
      <formula>"Médio"</formula>
    </cfRule>
    <cfRule type="cellIs" dxfId="221" priority="210" operator="equal">
      <formula>"Alto"</formula>
    </cfRule>
  </conditionalFormatting>
  <conditionalFormatting sqref="G2560">
    <cfRule type="cellIs" dxfId="220" priority="205" operator="equal">
      <formula>"Baixo"</formula>
    </cfRule>
    <cfRule type="cellIs" dxfId="219" priority="206" operator="equal">
      <formula>"Médio"</formula>
    </cfRule>
    <cfRule type="cellIs" dxfId="218" priority="207" operator="equal">
      <formula>"Alto"</formula>
    </cfRule>
  </conditionalFormatting>
  <conditionalFormatting sqref="G2562">
    <cfRule type="cellIs" dxfId="217" priority="202" operator="equal">
      <formula>"Baixo"</formula>
    </cfRule>
    <cfRule type="cellIs" dxfId="216" priority="203" operator="equal">
      <formula>"Médio"</formula>
    </cfRule>
    <cfRule type="cellIs" dxfId="215" priority="204" operator="equal">
      <formula>"Alto"</formula>
    </cfRule>
  </conditionalFormatting>
  <conditionalFormatting sqref="G2561 G2563">
    <cfRule type="cellIs" dxfId="214" priority="199" operator="equal">
      <formula>"Baixo"</formula>
    </cfRule>
    <cfRule type="cellIs" dxfId="213" priority="200" operator="equal">
      <formula>"Médio"</formula>
    </cfRule>
    <cfRule type="cellIs" dxfId="212" priority="201" operator="equal">
      <formula>"Alto"</formula>
    </cfRule>
  </conditionalFormatting>
  <conditionalFormatting sqref="G2562">
    <cfRule type="cellIs" dxfId="211" priority="196" operator="equal">
      <formula>"Baixo"</formula>
    </cfRule>
    <cfRule type="cellIs" dxfId="210" priority="197" operator="equal">
      <formula>"Médio"</formula>
    </cfRule>
    <cfRule type="cellIs" dxfId="209" priority="198" operator="equal">
      <formula>"Alto"</formula>
    </cfRule>
  </conditionalFormatting>
  <conditionalFormatting sqref="G2563">
    <cfRule type="cellIs" dxfId="208" priority="193" operator="equal">
      <formula>"Baixo"</formula>
    </cfRule>
    <cfRule type="cellIs" dxfId="207" priority="194" operator="equal">
      <formula>"Médio"</formula>
    </cfRule>
    <cfRule type="cellIs" dxfId="206" priority="195" operator="equal">
      <formula>"Alto"</formula>
    </cfRule>
  </conditionalFormatting>
  <conditionalFormatting sqref="G2565">
    <cfRule type="cellIs" dxfId="205" priority="190" operator="equal">
      <formula>"Baixo"</formula>
    </cfRule>
    <cfRule type="cellIs" dxfId="204" priority="191" operator="equal">
      <formula>"Médio"</formula>
    </cfRule>
    <cfRule type="cellIs" dxfId="203" priority="192" operator="equal">
      <formula>"Alto"</formula>
    </cfRule>
  </conditionalFormatting>
  <conditionalFormatting sqref="G2564 G2566">
    <cfRule type="cellIs" dxfId="202" priority="187" operator="equal">
      <formula>"Baixo"</formula>
    </cfRule>
    <cfRule type="cellIs" dxfId="201" priority="188" operator="equal">
      <formula>"Médio"</formula>
    </cfRule>
    <cfRule type="cellIs" dxfId="200" priority="189" operator="equal">
      <formula>"Alto"</formula>
    </cfRule>
  </conditionalFormatting>
  <conditionalFormatting sqref="G2565">
    <cfRule type="cellIs" dxfId="199" priority="184" operator="equal">
      <formula>"Baixo"</formula>
    </cfRule>
    <cfRule type="cellIs" dxfId="198" priority="185" operator="equal">
      <formula>"Médio"</formula>
    </cfRule>
    <cfRule type="cellIs" dxfId="197" priority="186" operator="equal">
      <formula>"Alto"</formula>
    </cfRule>
  </conditionalFormatting>
  <conditionalFormatting sqref="G2566">
    <cfRule type="cellIs" dxfId="196" priority="181" operator="equal">
      <formula>"Baixo"</formula>
    </cfRule>
    <cfRule type="cellIs" dxfId="195" priority="182" operator="equal">
      <formula>"Médio"</formula>
    </cfRule>
    <cfRule type="cellIs" dxfId="194" priority="183" operator="equal">
      <formula>"Alto"</formula>
    </cfRule>
  </conditionalFormatting>
  <conditionalFormatting sqref="G2568">
    <cfRule type="cellIs" dxfId="193" priority="178" operator="equal">
      <formula>"Baixo"</formula>
    </cfRule>
    <cfRule type="cellIs" dxfId="192" priority="179" operator="equal">
      <formula>"Médio"</formula>
    </cfRule>
    <cfRule type="cellIs" dxfId="191" priority="180" operator="equal">
      <formula>"Alto"</formula>
    </cfRule>
  </conditionalFormatting>
  <conditionalFormatting sqref="G2567 G2569">
    <cfRule type="cellIs" dxfId="190" priority="175" operator="equal">
      <formula>"Baixo"</formula>
    </cfRule>
    <cfRule type="cellIs" dxfId="189" priority="176" operator="equal">
      <formula>"Médio"</formula>
    </cfRule>
    <cfRule type="cellIs" dxfId="188" priority="177" operator="equal">
      <formula>"Alto"</formula>
    </cfRule>
  </conditionalFormatting>
  <conditionalFormatting sqref="G2568">
    <cfRule type="cellIs" dxfId="187" priority="172" operator="equal">
      <formula>"Baixo"</formula>
    </cfRule>
    <cfRule type="cellIs" dxfId="186" priority="173" operator="equal">
      <formula>"Médio"</formula>
    </cfRule>
    <cfRule type="cellIs" dxfId="185" priority="174" operator="equal">
      <formula>"Alto"</formula>
    </cfRule>
  </conditionalFormatting>
  <conditionalFormatting sqref="G2569">
    <cfRule type="cellIs" dxfId="184" priority="169" operator="equal">
      <formula>"Baixo"</formula>
    </cfRule>
    <cfRule type="cellIs" dxfId="183" priority="170" operator="equal">
      <formula>"Médio"</formula>
    </cfRule>
    <cfRule type="cellIs" dxfId="182" priority="171" operator="equal">
      <formula>"Alto"</formula>
    </cfRule>
  </conditionalFormatting>
  <conditionalFormatting sqref="G2571">
    <cfRule type="cellIs" dxfId="181" priority="166" operator="equal">
      <formula>"Baixo"</formula>
    </cfRule>
    <cfRule type="cellIs" dxfId="180" priority="167" operator="equal">
      <formula>"Médio"</formula>
    </cfRule>
    <cfRule type="cellIs" dxfId="179" priority="168" operator="equal">
      <formula>"Alto"</formula>
    </cfRule>
  </conditionalFormatting>
  <conditionalFormatting sqref="G2570 G2572">
    <cfRule type="cellIs" dxfId="178" priority="163" operator="equal">
      <formula>"Baixo"</formula>
    </cfRule>
    <cfRule type="cellIs" dxfId="177" priority="164" operator="equal">
      <formula>"Médio"</formula>
    </cfRule>
    <cfRule type="cellIs" dxfId="176" priority="165" operator="equal">
      <formula>"Alto"</formula>
    </cfRule>
  </conditionalFormatting>
  <conditionalFormatting sqref="G2571">
    <cfRule type="cellIs" dxfId="175" priority="160" operator="equal">
      <formula>"Baixo"</formula>
    </cfRule>
    <cfRule type="cellIs" dxfId="174" priority="161" operator="equal">
      <formula>"Médio"</formula>
    </cfRule>
    <cfRule type="cellIs" dxfId="173" priority="162" operator="equal">
      <formula>"Alto"</formula>
    </cfRule>
  </conditionalFormatting>
  <conditionalFormatting sqref="G2572">
    <cfRule type="cellIs" dxfId="172" priority="157" operator="equal">
      <formula>"Baixo"</formula>
    </cfRule>
    <cfRule type="cellIs" dxfId="171" priority="158" operator="equal">
      <formula>"Médio"</formula>
    </cfRule>
    <cfRule type="cellIs" dxfId="170" priority="159" operator="equal">
      <formula>"Alto"</formula>
    </cfRule>
  </conditionalFormatting>
  <conditionalFormatting sqref="G2574">
    <cfRule type="cellIs" dxfId="169" priority="154" operator="equal">
      <formula>"Baixo"</formula>
    </cfRule>
    <cfRule type="cellIs" dxfId="168" priority="155" operator="equal">
      <formula>"Médio"</formula>
    </cfRule>
    <cfRule type="cellIs" dxfId="167" priority="156" operator="equal">
      <formula>"Alto"</formula>
    </cfRule>
  </conditionalFormatting>
  <conditionalFormatting sqref="G2573 G2575">
    <cfRule type="cellIs" dxfId="166" priority="151" operator="equal">
      <formula>"Baixo"</formula>
    </cfRule>
    <cfRule type="cellIs" dxfId="165" priority="152" operator="equal">
      <formula>"Médio"</formula>
    </cfRule>
    <cfRule type="cellIs" dxfId="164" priority="153" operator="equal">
      <formula>"Alto"</formula>
    </cfRule>
  </conditionalFormatting>
  <conditionalFormatting sqref="G2574">
    <cfRule type="cellIs" dxfId="163" priority="148" operator="equal">
      <formula>"Baixo"</formula>
    </cfRule>
    <cfRule type="cellIs" dxfId="162" priority="149" operator="equal">
      <formula>"Médio"</formula>
    </cfRule>
    <cfRule type="cellIs" dxfId="161" priority="150" operator="equal">
      <formula>"Alto"</formula>
    </cfRule>
  </conditionalFormatting>
  <conditionalFormatting sqref="G2575">
    <cfRule type="cellIs" dxfId="160" priority="145" operator="equal">
      <formula>"Baixo"</formula>
    </cfRule>
    <cfRule type="cellIs" dxfId="159" priority="146" operator="equal">
      <formula>"Médio"</formula>
    </cfRule>
    <cfRule type="cellIs" dxfId="158" priority="147" operator="equal">
      <formula>"Alto"</formula>
    </cfRule>
  </conditionalFormatting>
  <conditionalFormatting sqref="G2577">
    <cfRule type="cellIs" dxfId="157" priority="142" operator="equal">
      <formula>"Baixo"</formula>
    </cfRule>
    <cfRule type="cellIs" dxfId="156" priority="143" operator="equal">
      <formula>"Médio"</formula>
    </cfRule>
    <cfRule type="cellIs" dxfId="155" priority="144" operator="equal">
      <formula>"Alto"</formula>
    </cfRule>
  </conditionalFormatting>
  <conditionalFormatting sqref="G2576 G2578">
    <cfRule type="cellIs" dxfId="154" priority="139" operator="equal">
      <formula>"Baixo"</formula>
    </cfRule>
    <cfRule type="cellIs" dxfId="153" priority="140" operator="equal">
      <formula>"Médio"</formula>
    </cfRule>
    <cfRule type="cellIs" dxfId="152" priority="141" operator="equal">
      <formula>"Alto"</formula>
    </cfRule>
  </conditionalFormatting>
  <conditionalFormatting sqref="G2577">
    <cfRule type="cellIs" dxfId="151" priority="136" operator="equal">
      <formula>"Baixo"</formula>
    </cfRule>
    <cfRule type="cellIs" dxfId="150" priority="137" operator="equal">
      <formula>"Médio"</formula>
    </cfRule>
    <cfRule type="cellIs" dxfId="149" priority="138" operator="equal">
      <formula>"Alto"</formula>
    </cfRule>
  </conditionalFormatting>
  <conditionalFormatting sqref="G2578">
    <cfRule type="cellIs" dxfId="148" priority="133" operator="equal">
      <formula>"Baixo"</formula>
    </cfRule>
    <cfRule type="cellIs" dxfId="147" priority="134" operator="equal">
      <formula>"Médio"</formula>
    </cfRule>
    <cfRule type="cellIs" dxfId="146" priority="135" operator="equal">
      <formula>"Alto"</formula>
    </cfRule>
  </conditionalFormatting>
  <conditionalFormatting sqref="G2580">
    <cfRule type="cellIs" dxfId="145" priority="130" operator="equal">
      <formula>"Baixo"</formula>
    </cfRule>
    <cfRule type="cellIs" dxfId="144" priority="131" operator="equal">
      <formula>"Médio"</formula>
    </cfRule>
    <cfRule type="cellIs" dxfId="143" priority="132" operator="equal">
      <formula>"Alto"</formula>
    </cfRule>
  </conditionalFormatting>
  <conditionalFormatting sqref="G2579 G2581">
    <cfRule type="cellIs" dxfId="142" priority="127" operator="equal">
      <formula>"Baixo"</formula>
    </cfRule>
    <cfRule type="cellIs" dxfId="141" priority="128" operator="equal">
      <formula>"Médio"</formula>
    </cfRule>
    <cfRule type="cellIs" dxfId="140" priority="129" operator="equal">
      <formula>"Alto"</formula>
    </cfRule>
  </conditionalFormatting>
  <conditionalFormatting sqref="G2580">
    <cfRule type="cellIs" dxfId="139" priority="124" operator="equal">
      <formula>"Baixo"</formula>
    </cfRule>
    <cfRule type="cellIs" dxfId="138" priority="125" operator="equal">
      <formula>"Médio"</formula>
    </cfRule>
    <cfRule type="cellIs" dxfId="137" priority="126" operator="equal">
      <formula>"Alto"</formula>
    </cfRule>
  </conditionalFormatting>
  <conditionalFormatting sqref="G2581">
    <cfRule type="cellIs" dxfId="136" priority="121" operator="equal">
      <formula>"Baixo"</formula>
    </cfRule>
    <cfRule type="cellIs" dxfId="135" priority="122" operator="equal">
      <formula>"Médio"</formula>
    </cfRule>
    <cfRule type="cellIs" dxfId="134" priority="123" operator="equal">
      <formula>"Alto"</formula>
    </cfRule>
  </conditionalFormatting>
  <conditionalFormatting sqref="G2583">
    <cfRule type="cellIs" dxfId="133" priority="118" operator="equal">
      <formula>"Baixo"</formula>
    </cfRule>
    <cfRule type="cellIs" dxfId="132" priority="119" operator="equal">
      <formula>"Médio"</formula>
    </cfRule>
    <cfRule type="cellIs" dxfId="131" priority="120" operator="equal">
      <formula>"Alto"</formula>
    </cfRule>
  </conditionalFormatting>
  <conditionalFormatting sqref="G2582 G2584">
    <cfRule type="cellIs" dxfId="130" priority="115" operator="equal">
      <formula>"Baixo"</formula>
    </cfRule>
    <cfRule type="cellIs" dxfId="129" priority="116" operator="equal">
      <formula>"Médio"</formula>
    </cfRule>
    <cfRule type="cellIs" dxfId="128" priority="117" operator="equal">
      <formula>"Alto"</formula>
    </cfRule>
  </conditionalFormatting>
  <conditionalFormatting sqref="G2583">
    <cfRule type="cellIs" dxfId="127" priority="112" operator="equal">
      <formula>"Baixo"</formula>
    </cfRule>
    <cfRule type="cellIs" dxfId="126" priority="113" operator="equal">
      <formula>"Médio"</formula>
    </cfRule>
    <cfRule type="cellIs" dxfId="125" priority="114" operator="equal">
      <formula>"Alto"</formula>
    </cfRule>
  </conditionalFormatting>
  <conditionalFormatting sqref="G2584">
    <cfRule type="cellIs" dxfId="124" priority="109" operator="equal">
      <formula>"Baixo"</formula>
    </cfRule>
    <cfRule type="cellIs" dxfId="123" priority="110" operator="equal">
      <formula>"Médio"</formula>
    </cfRule>
    <cfRule type="cellIs" dxfId="122" priority="111" operator="equal">
      <formula>"Alto"</formula>
    </cfRule>
  </conditionalFormatting>
  <conditionalFormatting sqref="G2586">
    <cfRule type="cellIs" dxfId="121" priority="106" operator="equal">
      <formula>"Baixo"</formula>
    </cfRule>
    <cfRule type="cellIs" dxfId="120" priority="107" operator="equal">
      <formula>"Médio"</formula>
    </cfRule>
    <cfRule type="cellIs" dxfId="119" priority="108" operator="equal">
      <formula>"Alto"</formula>
    </cfRule>
  </conditionalFormatting>
  <conditionalFormatting sqref="G2585 G2587">
    <cfRule type="cellIs" dxfId="118" priority="103" operator="equal">
      <formula>"Baixo"</formula>
    </cfRule>
    <cfRule type="cellIs" dxfId="117" priority="104" operator="equal">
      <formula>"Médio"</formula>
    </cfRule>
    <cfRule type="cellIs" dxfId="116" priority="105" operator="equal">
      <formula>"Alto"</formula>
    </cfRule>
  </conditionalFormatting>
  <conditionalFormatting sqref="G2586">
    <cfRule type="cellIs" dxfId="115" priority="100" operator="equal">
      <formula>"Baixo"</formula>
    </cfRule>
    <cfRule type="cellIs" dxfId="114" priority="101" operator="equal">
      <formula>"Médio"</formula>
    </cfRule>
    <cfRule type="cellIs" dxfId="113" priority="102" operator="equal">
      <formula>"Alto"</formula>
    </cfRule>
  </conditionalFormatting>
  <conditionalFormatting sqref="G2587">
    <cfRule type="cellIs" dxfId="112" priority="97" operator="equal">
      <formula>"Baixo"</formula>
    </cfRule>
    <cfRule type="cellIs" dxfId="111" priority="98" operator="equal">
      <formula>"Médio"</formula>
    </cfRule>
    <cfRule type="cellIs" dxfId="110" priority="99" operator="equal">
      <formula>"Alto"</formula>
    </cfRule>
  </conditionalFormatting>
  <conditionalFormatting sqref="G2589">
    <cfRule type="cellIs" dxfId="109" priority="94" operator="equal">
      <formula>"Baixo"</formula>
    </cfRule>
    <cfRule type="cellIs" dxfId="108" priority="95" operator="equal">
      <formula>"Médio"</formula>
    </cfRule>
    <cfRule type="cellIs" dxfId="107" priority="96" operator="equal">
      <formula>"Alto"</formula>
    </cfRule>
  </conditionalFormatting>
  <conditionalFormatting sqref="G2588 G2590">
    <cfRule type="cellIs" dxfId="106" priority="91" operator="equal">
      <formula>"Baixo"</formula>
    </cfRule>
    <cfRule type="cellIs" dxfId="105" priority="92" operator="equal">
      <formula>"Médio"</formula>
    </cfRule>
    <cfRule type="cellIs" dxfId="104" priority="93" operator="equal">
      <formula>"Alto"</formula>
    </cfRule>
  </conditionalFormatting>
  <conditionalFormatting sqref="G2589">
    <cfRule type="cellIs" dxfId="103" priority="88" operator="equal">
      <formula>"Baixo"</formula>
    </cfRule>
    <cfRule type="cellIs" dxfId="102" priority="89" operator="equal">
      <formula>"Médio"</formula>
    </cfRule>
    <cfRule type="cellIs" dxfId="101" priority="90" operator="equal">
      <formula>"Alto"</formula>
    </cfRule>
  </conditionalFormatting>
  <conditionalFormatting sqref="G2590">
    <cfRule type="cellIs" dxfId="100" priority="85" operator="equal">
      <formula>"Baixo"</formula>
    </cfRule>
    <cfRule type="cellIs" dxfId="99" priority="86" operator="equal">
      <formula>"Médio"</formula>
    </cfRule>
    <cfRule type="cellIs" dxfId="98" priority="87" operator="equal">
      <formula>"Alto"</formula>
    </cfRule>
  </conditionalFormatting>
  <conditionalFormatting sqref="G2592">
    <cfRule type="cellIs" dxfId="97" priority="82" operator="equal">
      <formula>"Baixo"</formula>
    </cfRule>
    <cfRule type="cellIs" dxfId="96" priority="83" operator="equal">
      <formula>"Médio"</formula>
    </cfRule>
    <cfRule type="cellIs" dxfId="95" priority="84" operator="equal">
      <formula>"Alto"</formula>
    </cfRule>
  </conditionalFormatting>
  <conditionalFormatting sqref="G2591 G2593">
    <cfRule type="cellIs" dxfId="94" priority="79" operator="equal">
      <formula>"Baixo"</formula>
    </cfRule>
    <cfRule type="cellIs" dxfId="93" priority="80" operator="equal">
      <formula>"Médio"</formula>
    </cfRule>
    <cfRule type="cellIs" dxfId="92" priority="81" operator="equal">
      <formula>"Alto"</formula>
    </cfRule>
  </conditionalFormatting>
  <conditionalFormatting sqref="G2592">
    <cfRule type="cellIs" dxfId="91" priority="76" operator="equal">
      <formula>"Baixo"</formula>
    </cfRule>
    <cfRule type="cellIs" dxfId="90" priority="77" operator="equal">
      <formula>"Médio"</formula>
    </cfRule>
    <cfRule type="cellIs" dxfId="89" priority="78" operator="equal">
      <formula>"Alto"</formula>
    </cfRule>
  </conditionalFormatting>
  <conditionalFormatting sqref="G2593">
    <cfRule type="cellIs" dxfId="88" priority="73" operator="equal">
      <formula>"Baixo"</formula>
    </cfRule>
    <cfRule type="cellIs" dxfId="87" priority="74" operator="equal">
      <formula>"Médio"</formula>
    </cfRule>
    <cfRule type="cellIs" dxfId="86" priority="75" operator="equal">
      <formula>"Alto"</formula>
    </cfRule>
  </conditionalFormatting>
  <conditionalFormatting sqref="G2595">
    <cfRule type="cellIs" dxfId="85" priority="70" operator="equal">
      <formula>"Baixo"</formula>
    </cfRule>
    <cfRule type="cellIs" dxfId="84" priority="71" operator="equal">
      <formula>"Médio"</formula>
    </cfRule>
    <cfRule type="cellIs" dxfId="83" priority="72" operator="equal">
      <formula>"Alto"</formula>
    </cfRule>
  </conditionalFormatting>
  <conditionalFormatting sqref="G2594 G2596">
    <cfRule type="cellIs" dxfId="82" priority="67" operator="equal">
      <formula>"Baixo"</formula>
    </cfRule>
    <cfRule type="cellIs" dxfId="81" priority="68" operator="equal">
      <formula>"Médio"</formula>
    </cfRule>
    <cfRule type="cellIs" dxfId="80" priority="69" operator="equal">
      <formula>"Alto"</formula>
    </cfRule>
  </conditionalFormatting>
  <conditionalFormatting sqref="G2595">
    <cfRule type="cellIs" dxfId="79" priority="64" operator="equal">
      <formula>"Baixo"</formula>
    </cfRule>
    <cfRule type="cellIs" dxfId="78" priority="65" operator="equal">
      <formula>"Médio"</formula>
    </cfRule>
    <cfRule type="cellIs" dxfId="77" priority="66" operator="equal">
      <formula>"Alto"</formula>
    </cfRule>
  </conditionalFormatting>
  <conditionalFormatting sqref="G2596">
    <cfRule type="cellIs" dxfId="76" priority="61" operator="equal">
      <formula>"Baixo"</formula>
    </cfRule>
    <cfRule type="cellIs" dxfId="75" priority="62" operator="equal">
      <formula>"Médio"</formula>
    </cfRule>
    <cfRule type="cellIs" dxfId="74" priority="63" operator="equal">
      <formula>"Alto"</formula>
    </cfRule>
  </conditionalFormatting>
  <conditionalFormatting sqref="G2598">
    <cfRule type="cellIs" dxfId="73" priority="58" operator="equal">
      <formula>"Baixo"</formula>
    </cfRule>
    <cfRule type="cellIs" dxfId="72" priority="59" operator="equal">
      <formula>"Médio"</formula>
    </cfRule>
    <cfRule type="cellIs" dxfId="71" priority="60" operator="equal">
      <formula>"Alto"</formula>
    </cfRule>
  </conditionalFormatting>
  <conditionalFormatting sqref="G2597 G2599">
    <cfRule type="cellIs" dxfId="70" priority="55" operator="equal">
      <formula>"Baixo"</formula>
    </cfRule>
    <cfRule type="cellIs" dxfId="69" priority="56" operator="equal">
      <formula>"Médio"</formula>
    </cfRule>
    <cfRule type="cellIs" dxfId="68" priority="57" operator="equal">
      <formula>"Alto"</formula>
    </cfRule>
  </conditionalFormatting>
  <conditionalFormatting sqref="G2598">
    <cfRule type="cellIs" dxfId="67" priority="52" operator="equal">
      <formula>"Baixo"</formula>
    </cfRule>
    <cfRule type="cellIs" dxfId="66" priority="53" operator="equal">
      <formula>"Médio"</formula>
    </cfRule>
    <cfRule type="cellIs" dxfId="65" priority="54" operator="equal">
      <formula>"Alto"</formula>
    </cfRule>
  </conditionalFormatting>
  <conditionalFormatting sqref="G2599">
    <cfRule type="cellIs" dxfId="64" priority="49" operator="equal">
      <formula>"Baixo"</formula>
    </cfRule>
    <cfRule type="cellIs" dxfId="63" priority="50" operator="equal">
      <formula>"Médio"</formula>
    </cfRule>
    <cfRule type="cellIs" dxfId="62" priority="51" operator="equal">
      <formula>"Alto"</formula>
    </cfRule>
  </conditionalFormatting>
  <conditionalFormatting sqref="G2601">
    <cfRule type="cellIs" dxfId="61" priority="46" operator="equal">
      <formula>"Baixo"</formula>
    </cfRule>
    <cfRule type="cellIs" dxfId="60" priority="47" operator="equal">
      <formula>"Médio"</formula>
    </cfRule>
    <cfRule type="cellIs" dxfId="59" priority="48" operator="equal">
      <formula>"Alto"</formula>
    </cfRule>
  </conditionalFormatting>
  <conditionalFormatting sqref="G2600 G2602">
    <cfRule type="cellIs" dxfId="58" priority="43" operator="equal">
      <formula>"Baixo"</formula>
    </cfRule>
    <cfRule type="cellIs" dxfId="57" priority="44" operator="equal">
      <formula>"Médio"</formula>
    </cfRule>
    <cfRule type="cellIs" dxfId="56" priority="45" operator="equal">
      <formula>"Alto"</formula>
    </cfRule>
  </conditionalFormatting>
  <conditionalFormatting sqref="G2601">
    <cfRule type="cellIs" dxfId="55" priority="40" operator="equal">
      <formula>"Baixo"</formula>
    </cfRule>
    <cfRule type="cellIs" dxfId="54" priority="41" operator="equal">
      <formula>"Médio"</formula>
    </cfRule>
    <cfRule type="cellIs" dxfId="53" priority="42" operator="equal">
      <formula>"Alto"</formula>
    </cfRule>
  </conditionalFormatting>
  <conditionalFormatting sqref="G2602">
    <cfRule type="cellIs" dxfId="52" priority="37" operator="equal">
      <formula>"Baixo"</formula>
    </cfRule>
    <cfRule type="cellIs" dxfId="51" priority="38" operator="equal">
      <formula>"Médio"</formula>
    </cfRule>
    <cfRule type="cellIs" dxfId="50" priority="39" operator="equal">
      <formula>"Alto"</formula>
    </cfRule>
  </conditionalFormatting>
  <conditionalFormatting sqref="G2604">
    <cfRule type="cellIs" dxfId="49" priority="34" operator="equal">
      <formula>"Baixo"</formula>
    </cfRule>
    <cfRule type="cellIs" dxfId="48" priority="35" operator="equal">
      <formula>"Médio"</formula>
    </cfRule>
    <cfRule type="cellIs" dxfId="47" priority="36" operator="equal">
      <formula>"Alto"</formula>
    </cfRule>
  </conditionalFormatting>
  <conditionalFormatting sqref="G2603 G2605">
    <cfRule type="cellIs" dxfId="46" priority="31" operator="equal">
      <formula>"Baixo"</formula>
    </cfRule>
    <cfRule type="cellIs" dxfId="45" priority="32" operator="equal">
      <formula>"Médio"</formula>
    </cfRule>
    <cfRule type="cellIs" dxfId="44" priority="33" operator="equal">
      <formula>"Alto"</formula>
    </cfRule>
  </conditionalFormatting>
  <conditionalFormatting sqref="G2604">
    <cfRule type="cellIs" dxfId="43" priority="28" operator="equal">
      <formula>"Baixo"</formula>
    </cfRule>
    <cfRule type="cellIs" dxfId="42" priority="29" operator="equal">
      <formula>"Médio"</formula>
    </cfRule>
    <cfRule type="cellIs" dxfId="41" priority="30" operator="equal">
      <formula>"Alto"</formula>
    </cfRule>
  </conditionalFormatting>
  <conditionalFormatting sqref="G2605">
    <cfRule type="cellIs" dxfId="40" priority="25" operator="equal">
      <formula>"Baixo"</formula>
    </cfRule>
    <cfRule type="cellIs" dxfId="39" priority="26" operator="equal">
      <formula>"Médio"</formula>
    </cfRule>
    <cfRule type="cellIs" dxfId="38" priority="27" operator="equal">
      <formula>"Alto"</formula>
    </cfRule>
  </conditionalFormatting>
  <conditionalFormatting sqref="G2607">
    <cfRule type="cellIs" dxfId="37" priority="22" operator="equal">
      <formula>"Baixo"</formula>
    </cfRule>
    <cfRule type="cellIs" dxfId="36" priority="23" operator="equal">
      <formula>"Médio"</formula>
    </cfRule>
    <cfRule type="cellIs" dxfId="35" priority="24" operator="equal">
      <formula>"Alto"</formula>
    </cfRule>
  </conditionalFormatting>
  <conditionalFormatting sqref="G2606 G2608">
    <cfRule type="cellIs" dxfId="34" priority="19" operator="equal">
      <formula>"Baixo"</formula>
    </cfRule>
    <cfRule type="cellIs" dxfId="33" priority="20" operator="equal">
      <formula>"Médio"</formula>
    </cfRule>
    <cfRule type="cellIs" dxfId="32" priority="21" operator="equal">
      <formula>"Alto"</formula>
    </cfRule>
  </conditionalFormatting>
  <conditionalFormatting sqref="G2607">
    <cfRule type="cellIs" dxfId="31" priority="16" operator="equal">
      <formula>"Baixo"</formula>
    </cfRule>
    <cfRule type="cellIs" dxfId="30" priority="17" operator="equal">
      <formula>"Médio"</formula>
    </cfRule>
    <cfRule type="cellIs" dxfId="29" priority="18" operator="equal">
      <formula>"Alto"</formula>
    </cfRule>
  </conditionalFormatting>
  <conditionalFormatting sqref="G2608">
    <cfRule type="cellIs" dxfId="28" priority="13" operator="equal">
      <formula>"Baixo"</formula>
    </cfRule>
    <cfRule type="cellIs" dxfId="27" priority="14" operator="equal">
      <formula>"Médio"</formula>
    </cfRule>
    <cfRule type="cellIs" dxfId="26" priority="15" operator="equal">
      <formula>"Alto"</formula>
    </cfRule>
  </conditionalFormatting>
  <conditionalFormatting sqref="G2610">
    <cfRule type="cellIs" dxfId="25" priority="10" operator="equal">
      <formula>"Baixo"</formula>
    </cfRule>
    <cfRule type="cellIs" dxfId="24" priority="11" operator="equal">
      <formula>"Médio"</formula>
    </cfRule>
    <cfRule type="cellIs" dxfId="23" priority="12" operator="equal">
      <formula>"Alto"</formula>
    </cfRule>
  </conditionalFormatting>
  <conditionalFormatting sqref="G2609 G2611">
    <cfRule type="cellIs" dxfId="22" priority="7" operator="equal">
      <formula>"Baixo"</formula>
    </cfRule>
    <cfRule type="cellIs" dxfId="21" priority="8" operator="equal">
      <formula>"Médio"</formula>
    </cfRule>
    <cfRule type="cellIs" dxfId="20" priority="9" operator="equal">
      <formula>"Alto"</formula>
    </cfRule>
  </conditionalFormatting>
  <conditionalFormatting sqref="G2610">
    <cfRule type="cellIs" dxfId="19" priority="4" operator="equal">
      <formula>"Baixo"</formula>
    </cfRule>
    <cfRule type="cellIs" dxfId="18" priority="5" operator="equal">
      <formula>"Médio"</formula>
    </cfRule>
    <cfRule type="cellIs" dxfId="17" priority="6" operator="equal">
      <formula>"Alto"</formula>
    </cfRule>
  </conditionalFormatting>
  <conditionalFormatting sqref="G2611">
    <cfRule type="cellIs" dxfId="16" priority="1" operator="equal">
      <formula>"Baixo"</formula>
    </cfRule>
    <cfRule type="cellIs" dxfId="15" priority="2" operator="equal">
      <formula>"Médio"</formula>
    </cfRule>
    <cfRule type="cellIs" dxfId="14" priority="3" operator="equal">
      <formula>"Alto"</formula>
    </cfRule>
  </conditionalFormatting>
  <dataValidations count="1">
    <dataValidation type="list" allowBlank="1" showInputMessage="1" showErrorMessage="1" sqref="C1068:C2611 C13:C1064" xr:uid="{00000000-0002-0000-0000-000000000000}">
      <formula1>"Análise, Revisão, Elaboração, Reunião, Gestão, Outro, Suporte, Execução, Pesquisa"</formula1>
    </dataValidation>
  </dataValidations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headerFooter>
    <oddHeader>&amp;R&amp;G</oddHeader>
    <oddFooter>&amp;LDocumento exclusivamente técnico – Documento em que os principais intervenientes são a AGPPI e/ou Direcção de Informática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Q188"/>
  <sheetViews>
    <sheetView topLeftCell="A16" zoomScale="85" zoomScaleNormal="85" workbookViewId="0">
      <selection activeCell="A25" sqref="A1:XFD1048576"/>
    </sheetView>
  </sheetViews>
  <sheetFormatPr defaultRowHeight="15" x14ac:dyDescent="0.25"/>
  <cols>
    <col min="1" max="1" width="10.7109375" bestFit="1" customWidth="1"/>
    <col min="2" max="2" width="13.42578125" customWidth="1"/>
    <col min="3" max="3" width="10.5703125" bestFit="1" customWidth="1"/>
    <col min="4" max="4" width="10.7109375" bestFit="1" customWidth="1"/>
    <col min="7" max="7" width="10.7109375" bestFit="1" customWidth="1"/>
    <col min="8" max="8" width="11.28515625" bestFit="1" customWidth="1"/>
    <col min="9" max="10" width="11.28515625" customWidth="1"/>
    <col min="12" max="13" width="10.7109375" bestFit="1" customWidth="1"/>
    <col min="14" max="14" width="10.42578125" bestFit="1" customWidth="1"/>
    <col min="15" max="16" width="10.7109375" bestFit="1" customWidth="1"/>
    <col min="18" max="19" width="10.7109375" bestFit="1" customWidth="1"/>
    <col min="23" max="23" width="10.7109375" bestFit="1" customWidth="1"/>
    <col min="29" max="29" width="10.85546875" bestFit="1" customWidth="1"/>
    <col min="32" max="32" width="10.7109375" bestFit="1" customWidth="1"/>
    <col min="40" max="40" width="10.85546875" bestFit="1" customWidth="1"/>
    <col min="41" max="41" width="10.7109375" bestFit="1" customWidth="1"/>
    <col min="42" max="42" width="10.85546875" bestFit="1" customWidth="1"/>
    <col min="53" max="53" width="10.85546875" bestFit="1" customWidth="1"/>
    <col min="55" max="55" width="10.85546875" bestFit="1" customWidth="1"/>
  </cols>
  <sheetData>
    <row r="2" spans="1:27" x14ac:dyDescent="0.25">
      <c r="A2" t="s">
        <v>48</v>
      </c>
      <c r="B2" t="s">
        <v>37</v>
      </c>
      <c r="O2" t="s">
        <v>48</v>
      </c>
      <c r="P2" t="s">
        <v>36</v>
      </c>
    </row>
    <row r="3" spans="1:27" x14ac:dyDescent="0.25">
      <c r="A3" s="8" t="s">
        <v>19</v>
      </c>
      <c r="B3" s="4" t="s">
        <v>6</v>
      </c>
      <c r="C3" s="4" t="s">
        <v>8</v>
      </c>
      <c r="D3" s="4" t="s">
        <v>10</v>
      </c>
      <c r="E3" s="4" t="s">
        <v>11</v>
      </c>
      <c r="F3" s="4" t="s">
        <v>9</v>
      </c>
      <c r="G3" s="4" t="s">
        <v>7</v>
      </c>
      <c r="H3" s="4" t="s">
        <v>76</v>
      </c>
      <c r="I3" s="4" t="s">
        <v>77</v>
      </c>
      <c r="J3" s="4" t="s">
        <v>78</v>
      </c>
      <c r="K3" s="4" t="s">
        <v>12</v>
      </c>
      <c r="L3" s="8" t="s">
        <v>51</v>
      </c>
      <c r="M3" s="8" t="s">
        <v>52</v>
      </c>
      <c r="O3" s="8" t="s">
        <v>19</v>
      </c>
      <c r="P3" s="4" t="s">
        <v>6</v>
      </c>
      <c r="Q3" s="4" t="s">
        <v>8</v>
      </c>
      <c r="R3" s="4" t="s">
        <v>10</v>
      </c>
      <c r="S3" s="4" t="s">
        <v>11</v>
      </c>
      <c r="T3" s="4" t="s">
        <v>9</v>
      </c>
      <c r="U3" s="4" t="s">
        <v>7</v>
      </c>
      <c r="V3" s="4" t="s">
        <v>76</v>
      </c>
      <c r="W3" s="4" t="s">
        <v>77</v>
      </c>
      <c r="X3" s="4" t="s">
        <v>78</v>
      </c>
      <c r="Y3" s="4" t="s">
        <v>12</v>
      </c>
      <c r="Z3" s="8" t="s">
        <v>51</v>
      </c>
      <c r="AA3" s="8" t="s">
        <v>52</v>
      </c>
    </row>
    <row r="4" spans="1:27" x14ac:dyDescent="0.25">
      <c r="A4" s="1">
        <v>44927</v>
      </c>
      <c r="B4" s="6">
        <f>SUMIFS(Timesheet!$F$13:$F$11461,Timesheet!$A$13:$A$11461,'Mês 1'!A4,Timesheet!$C$13:$C$11461,'Mês 1'!$B$40)</f>
        <v>0</v>
      </c>
      <c r="C4" s="6">
        <f>SUMIFS(Timesheet!$F$13:$F$11461,Timesheet!$A$13:$A$11461,'Mês 1'!A4,Timesheet!$C$13:$C$11461,'Mês 1'!$C$40)</f>
        <v>0</v>
      </c>
      <c r="D4" s="6">
        <f>SUMIFS(Timesheet!$F$13:$F$11461,Timesheet!$A$13:$A$11461,'Mês 1'!A4,Timesheet!$C$13:$C$11461,'Mês 1'!$D$40)</f>
        <v>0</v>
      </c>
      <c r="E4" s="6">
        <f>SUMIFS(Timesheet!$F$13:$F$11461,Timesheet!$A$13:$A$11461,'Mês 1'!A4,Timesheet!$C$13:$C$11461,'Mês 1'!$E$40)</f>
        <v>0</v>
      </c>
      <c r="F4" s="6">
        <f>SUMIFS(Timesheet!$F$13:$F$11461,Timesheet!$A$13:$A$11461,'Mês 1'!A4,Timesheet!$C$13:$C$11461,'Mês 1'!$F$40)</f>
        <v>0</v>
      </c>
      <c r="G4" s="6">
        <f>SUMIFS(Timesheet!$F$13:$F$11461,Timesheet!$A$13:$A$11461,'Mês 1'!A4,Timesheet!$C$13:$C$11461,'Mês 1'!$G$40)</f>
        <v>0</v>
      </c>
      <c r="H4" s="6">
        <f>SUMIFS(Timesheet!$F$13:$F$2615,Timesheet!$A$13:$A$2615,'Mês 1'!A4,Timesheet!$C$13:$C$2615,'Mês 1'!$H$3)</f>
        <v>0</v>
      </c>
      <c r="I4" s="6">
        <f>SUMIFS(Timesheet!$F$13:$F$2615,Timesheet!$A$13:$A$2615,'Mês 1'!A4,Timesheet!$C$13:$C$2615,'Mês 1'!$I$3)</f>
        <v>0</v>
      </c>
      <c r="J4" s="6">
        <f>SUMIFS(Timesheet!$F$13:$F$2615,Timesheet!$A$13:$A$2615,'Mês 1'!A4,Timesheet!$C$13:$C$2615,'Mês 1'!$J$3)</f>
        <v>0</v>
      </c>
      <c r="K4" s="6">
        <f t="shared" ref="K4:K34" si="0">SUM(B4:I4)</f>
        <v>0</v>
      </c>
      <c r="L4" s="6">
        <f t="array" ref="L4">MIN(IF(Timesheet!$A$13:$A$11483='Mês 1'!A4,Timesheet!$D$13:$D$11483))</f>
        <v>0</v>
      </c>
      <c r="M4" s="6">
        <f t="array" ref="M4">MAX(IF(Timesheet!$A$13:$A$11483='Mês 1'!A4,Timesheet!$E$13:$E$11483))</f>
        <v>0</v>
      </c>
      <c r="O4" s="1">
        <v>44958</v>
      </c>
      <c r="P4" s="6">
        <f>SUMIFS(Timesheet!$F$13:$F$11461,Timesheet!$A$13:$A$11461,'Mês 1'!O4,Timesheet!$C$13:$C$11461,'Mês 1'!$B$40)</f>
        <v>0</v>
      </c>
      <c r="Q4" s="6">
        <f>SUMIFS(Timesheet!$F$13:$F$11461,Timesheet!$A$13:$A$11461,'Mês 1'!O4,Timesheet!$C$13:$C$11461,'Mês 1'!$C$40)</f>
        <v>0</v>
      </c>
      <c r="R4" s="6">
        <f>SUMIFS(Timesheet!$F$13:$F$11461,Timesheet!$A$13:$A$11461,'Mês 1'!O4,Timesheet!$C$13:$C$11461,'Mês 1'!$D$40)</f>
        <v>0</v>
      </c>
      <c r="S4" s="6">
        <f>SUMIFS(Timesheet!$F$13:$F$11461,Timesheet!$A$13:$A$11461,'Mês 1'!O4,Timesheet!$C$13:$C$11461,'Mês 1'!$E$40)</f>
        <v>0</v>
      </c>
      <c r="T4" s="6">
        <f>SUMIFS(Timesheet!$F$13:$F$11461,Timesheet!$A$13:$A$11461,'Mês 1'!O4,Timesheet!$C$13:$C$11461,'Mês 1'!$F$40)</f>
        <v>0</v>
      </c>
      <c r="U4" s="6">
        <f>SUMIFS(Timesheet!$F$13:$F$11461,Timesheet!$A$13:$A$11461,'Mês 1'!O4,Timesheet!$C$13:$C$11461,'Mês 1'!$G$40)</f>
        <v>0</v>
      </c>
      <c r="V4" s="6">
        <f>SUMIFS(Timesheet!$F$13:$F$11461,Timesheet!$A$13:$A$11461,'Mês 1'!O4,Timesheet!$C$13:$C$11461,'Mês 1'!$V$3)</f>
        <v>0</v>
      </c>
      <c r="W4" s="6">
        <f>SUMIFS(Timesheet!$F$13:$F$11461,Timesheet!$A$13:$A$11461,'Mês 1'!O4,Timesheet!$C$13:$C$11461,'Mês 1'!$W$3)</f>
        <v>0</v>
      </c>
      <c r="X4" s="6">
        <f>SUMIFS(Timesheet!$F$13:$F$11461,Timesheet!$A$13:$A$11461,'Mês 1'!O4,Timesheet!$C$13:$C$11461,'Mês 1'!$X$3)</f>
        <v>0</v>
      </c>
      <c r="Y4" s="6">
        <f t="shared" ref="Y4:Y31" si="1">SUM(P4:W4)</f>
        <v>0</v>
      </c>
      <c r="Z4" s="6">
        <f t="array" ref="Z4">MIN(IF(Timesheet!$A$13:$A$11483='Mês 1'!O4,Timesheet!$D$13:$D$11483))</f>
        <v>0</v>
      </c>
      <c r="AA4" s="6">
        <f t="array" ref="AA4">MAX(IF(Timesheet!$A$13:$A$11483='Mês 1'!O4,Timesheet!$E$13:$E$11483))</f>
        <v>0</v>
      </c>
    </row>
    <row r="5" spans="1:27" x14ac:dyDescent="0.25">
      <c r="A5" s="1">
        <v>44928</v>
      </c>
      <c r="B5" s="6">
        <f>SUMIFS(Timesheet!$F$13:$F$11461,Timesheet!$A$13:$A$11461,'Mês 1'!A5,Timesheet!$C$13:$C$11461,'Mês 1'!$B$40)</f>
        <v>0</v>
      </c>
      <c r="C5" s="6">
        <f>SUMIFS(Timesheet!$F$13:$F$11461,Timesheet!$A$13:$A$11461,'Mês 1'!A5,Timesheet!$C$13:$C$11461,'Mês 1'!$C$40)</f>
        <v>0</v>
      </c>
      <c r="D5" s="6">
        <f>SUMIFS(Timesheet!$F$13:$F$11461,Timesheet!$A$13:$A$11461,'Mês 1'!A5,Timesheet!$C$13:$C$11461,'Mês 1'!$D$40)</f>
        <v>0</v>
      </c>
      <c r="E5" s="6">
        <f>SUMIFS(Timesheet!$F$13:$F$11461,Timesheet!$A$13:$A$11461,'Mês 1'!A5,Timesheet!$C$13:$C$11461,'Mês 1'!$E$40)</f>
        <v>0</v>
      </c>
      <c r="F5" s="6">
        <f>SUMIFS(Timesheet!$F$13:$F$11461,Timesheet!$A$13:$A$11461,'Mês 1'!A5,Timesheet!$C$13:$C$11461,'Mês 1'!$F$40)</f>
        <v>0</v>
      </c>
      <c r="G5" s="6">
        <f>SUMIFS(Timesheet!$F$13:$F$11461,Timesheet!$A$13:$A$11461,'Mês 1'!A5,Timesheet!$C$13:$C$11461,'Mês 1'!$G$40)</f>
        <v>0</v>
      </c>
      <c r="H5" s="6">
        <f>SUMIFS(Timesheet!$F$13:$F$2615,Timesheet!$A$13:$A$2615,'Mês 1'!A5,Timesheet!$C$13:$C$2615,'Mês 1'!$H$3)</f>
        <v>0</v>
      </c>
      <c r="I5" s="6">
        <f>SUMIFS(Timesheet!$F$13:$F$2615,Timesheet!$A$13:$A$2615,'Mês 1'!A5,Timesheet!$C$13:$C$2615,'Mês 1'!$I$3)</f>
        <v>0</v>
      </c>
      <c r="J5" s="6">
        <f>SUMIFS(Timesheet!$F$13:$F$2615,Timesheet!$A$13:$A$2615,'Mês 1'!A5,Timesheet!$C$13:$C$2615,'Mês 1'!$J$3)</f>
        <v>0</v>
      </c>
      <c r="K5" s="6">
        <f t="shared" si="0"/>
        <v>0</v>
      </c>
      <c r="L5" s="6">
        <f t="array" ref="L5">MIN(IF(Timesheet!$A$13:$A$11483='Mês 1'!A5,Timesheet!$D$13:$D$11483))</f>
        <v>0</v>
      </c>
      <c r="M5" s="6">
        <f t="array" ref="M5">MAX(IF(Timesheet!$A$13:$A$11483='Mês 1'!A5,Timesheet!$E$13:$E$11483))</f>
        <v>0</v>
      </c>
      <c r="O5" s="1">
        <v>44959</v>
      </c>
      <c r="P5" s="6">
        <f>SUMIFS(Timesheet!$F$13:$F$11461,Timesheet!$A$13:$A$11461,'Mês 1'!O5,Timesheet!$C$13:$C$11461,'Mês 1'!$B$40)</f>
        <v>0</v>
      </c>
      <c r="Q5" s="6">
        <f>SUMIFS(Timesheet!$F$13:$F$11461,Timesheet!$A$13:$A$11461,'Mês 1'!O5,Timesheet!$C$13:$C$11461,'Mês 1'!$C$40)</f>
        <v>0</v>
      </c>
      <c r="R5" s="6">
        <f>SUMIFS(Timesheet!$F$13:$F$11461,Timesheet!$A$13:$A$11461,'Mês 1'!O5,Timesheet!$C$13:$C$11461,'Mês 1'!$D$40)</f>
        <v>0</v>
      </c>
      <c r="S5" s="6">
        <f>SUMIFS(Timesheet!$F$13:$F$11461,Timesheet!$A$13:$A$11461,'Mês 1'!O5,Timesheet!$C$13:$C$11461,'Mês 1'!$E$40)</f>
        <v>0</v>
      </c>
      <c r="T5" s="6">
        <f>SUMIFS(Timesheet!$F$13:$F$11461,Timesheet!$A$13:$A$11461,'Mês 1'!O5,Timesheet!$C$13:$C$11461,'Mês 1'!$F$40)</f>
        <v>0</v>
      </c>
      <c r="U5" s="6">
        <f>SUMIFS(Timesheet!$F$13:$F$11461,Timesheet!$A$13:$A$11461,'Mês 1'!O5,Timesheet!$C$13:$C$11461,'Mês 1'!$G$40)</f>
        <v>0</v>
      </c>
      <c r="V5" s="6">
        <f>SUMIFS(Timesheet!$F$13:$F$11461,Timesheet!$A$13:$A$11461,'Mês 1'!O5,Timesheet!$C$13:$C$11461,'Mês 1'!$V$3)</f>
        <v>0</v>
      </c>
      <c r="W5" s="6">
        <f>SUMIFS(Timesheet!$F$13:$F$11461,Timesheet!$A$13:$A$11461,'Mês 1'!O5,Timesheet!$C$13:$C$11461,'Mês 1'!$W$3)</f>
        <v>0</v>
      </c>
      <c r="X5" s="6">
        <f>SUMIFS(Timesheet!$F$13:$F$11461,Timesheet!$A$13:$A$11461,'Mês 1'!O5,Timesheet!$C$13:$C$11461,'Mês 1'!$X$3)</f>
        <v>0</v>
      </c>
      <c r="Y5" s="6">
        <f t="shared" si="1"/>
        <v>0</v>
      </c>
      <c r="Z5" s="6">
        <f t="array" ref="Z5">MIN(IF(Timesheet!$A$13:$A$11483='Mês 1'!O5,Timesheet!$D$13:$D$11483))</f>
        <v>0</v>
      </c>
      <c r="AA5" s="6">
        <f t="array" ref="AA5">MAX(IF(Timesheet!$A$13:$A$11483='Mês 1'!O5,Timesheet!$E$13:$E$11483))</f>
        <v>0</v>
      </c>
    </row>
    <row r="6" spans="1:27" x14ac:dyDescent="0.25">
      <c r="A6" s="1">
        <v>44929</v>
      </c>
      <c r="B6" s="6">
        <f>SUMIFS(Timesheet!$F$13:$F$11461,Timesheet!$A$13:$A$11461,'Mês 1'!A6,Timesheet!$C$13:$C$11461,'Mês 1'!$B$40)</f>
        <v>0</v>
      </c>
      <c r="C6" s="6">
        <f>SUMIFS(Timesheet!$F$13:$F$11461,Timesheet!$A$13:$A$11461,'Mês 1'!A6,Timesheet!$C$13:$C$11461,'Mês 1'!$C$40)</f>
        <v>0</v>
      </c>
      <c r="D6" s="6">
        <f>SUMIFS(Timesheet!$F$13:$F$11461,Timesheet!$A$13:$A$11461,'Mês 1'!A6,Timesheet!$C$13:$C$11461,'Mês 1'!$D$40)</f>
        <v>0</v>
      </c>
      <c r="E6" s="6">
        <f>SUMIFS(Timesheet!$F$13:$F$11461,Timesheet!$A$13:$A$11461,'Mês 1'!A6,Timesheet!$C$13:$C$11461,'Mês 1'!$E$40)</f>
        <v>0</v>
      </c>
      <c r="F6" s="6">
        <f>SUMIFS(Timesheet!$F$13:$F$11461,Timesheet!$A$13:$A$11461,'Mês 1'!A6,Timesheet!$C$13:$C$11461,'Mês 1'!$F$40)</f>
        <v>0</v>
      </c>
      <c r="G6" s="6">
        <f>SUMIFS(Timesheet!$F$13:$F$11461,Timesheet!$A$13:$A$11461,'Mês 1'!A6,Timesheet!$C$13:$C$11461,'Mês 1'!$G$40)</f>
        <v>0</v>
      </c>
      <c r="H6" s="6">
        <f>SUMIFS(Timesheet!$F$13:$F$2615,Timesheet!$A$13:$A$2615,'Mês 1'!A6,Timesheet!$C$13:$C$2615,'Mês 1'!$H$3)</f>
        <v>0</v>
      </c>
      <c r="I6" s="6">
        <f>SUMIFS(Timesheet!$F$13:$F$2615,Timesheet!$A$13:$A$2615,'Mês 1'!A6,Timesheet!$C$13:$C$2615,'Mês 1'!$I$3)</f>
        <v>0</v>
      </c>
      <c r="J6" s="6">
        <f>SUMIFS(Timesheet!$F$13:$F$2615,Timesheet!$A$13:$A$2615,'Mês 1'!A6,Timesheet!$C$13:$C$2615,'Mês 1'!$J$3)</f>
        <v>0</v>
      </c>
      <c r="K6" s="6">
        <f t="shared" si="0"/>
        <v>0</v>
      </c>
      <c r="L6" s="6">
        <f t="array" ref="L6">MIN(IF(Timesheet!$A$13:$A$11483='Mês 1'!A6,Timesheet!$D$13:$D$11483))</f>
        <v>0</v>
      </c>
      <c r="M6" s="6">
        <f t="array" ref="M6">MAX(IF(Timesheet!$A$13:$A$11483='Mês 1'!A6,Timesheet!$E$13:$E$11483))</f>
        <v>0</v>
      </c>
      <c r="O6" s="1">
        <v>44960</v>
      </c>
      <c r="P6" s="6">
        <f>SUMIFS(Timesheet!$F$13:$F$11461,Timesheet!$A$13:$A$11461,'Mês 1'!O6,Timesheet!$C$13:$C$11461,'Mês 1'!$B$40)</f>
        <v>0</v>
      </c>
      <c r="Q6" s="6">
        <f>SUMIFS(Timesheet!$F$13:$F$11461,Timesheet!$A$13:$A$11461,'Mês 1'!O6,Timesheet!$C$13:$C$11461,'Mês 1'!$C$40)</f>
        <v>0</v>
      </c>
      <c r="R6" s="6">
        <f>SUMIFS(Timesheet!$F$13:$F$11461,Timesheet!$A$13:$A$11461,'Mês 1'!O6,Timesheet!$C$13:$C$11461,'Mês 1'!$D$40)</f>
        <v>0</v>
      </c>
      <c r="S6" s="6">
        <f>SUMIFS(Timesheet!$F$13:$F$11461,Timesheet!$A$13:$A$11461,'Mês 1'!O6,Timesheet!$C$13:$C$11461,'Mês 1'!$E$40)</f>
        <v>0</v>
      </c>
      <c r="T6" s="6">
        <f>SUMIFS(Timesheet!$F$13:$F$11461,Timesheet!$A$13:$A$11461,'Mês 1'!O6,Timesheet!$C$13:$C$11461,'Mês 1'!$F$40)</f>
        <v>0</v>
      </c>
      <c r="U6" s="6">
        <f>SUMIFS(Timesheet!$F$13:$F$11461,Timesheet!$A$13:$A$11461,'Mês 1'!O6,Timesheet!$C$13:$C$11461,'Mês 1'!$G$40)</f>
        <v>0</v>
      </c>
      <c r="V6" s="6">
        <f>SUMIFS(Timesheet!$F$13:$F$11461,Timesheet!$A$13:$A$11461,'Mês 1'!O6,Timesheet!$C$13:$C$11461,'Mês 1'!$V$3)</f>
        <v>0</v>
      </c>
      <c r="W6" s="6">
        <f>SUMIFS(Timesheet!$F$13:$F$11461,Timesheet!$A$13:$A$11461,'Mês 1'!O6,Timesheet!$C$13:$C$11461,'Mês 1'!$W$3)</f>
        <v>0</v>
      </c>
      <c r="X6" s="6">
        <f>SUMIFS(Timesheet!$F$13:$F$11461,Timesheet!$A$13:$A$11461,'Mês 1'!O6,Timesheet!$C$13:$C$11461,'Mês 1'!$X$3)</f>
        <v>0</v>
      </c>
      <c r="Y6" s="6">
        <f t="shared" si="1"/>
        <v>0</v>
      </c>
      <c r="Z6" s="6">
        <f t="array" ref="Z6">MIN(IF(Timesheet!$A$13:$A$11483='Mês 1'!O6,Timesheet!$D$13:$D$11483))</f>
        <v>0</v>
      </c>
      <c r="AA6" s="6">
        <f t="array" ref="AA6">MAX(IF(Timesheet!$A$13:$A$11483='Mês 1'!O6,Timesheet!$E$13:$E$11483))</f>
        <v>0</v>
      </c>
    </row>
    <row r="7" spans="1:27" x14ac:dyDescent="0.25">
      <c r="A7" s="1">
        <v>44930</v>
      </c>
      <c r="B7" s="6">
        <f>SUMIFS(Timesheet!$F$13:$F$11461,Timesheet!$A$13:$A$11461,'Mês 1'!A7,Timesheet!$C$13:$C$11461,'Mês 1'!$B$40)</f>
        <v>0</v>
      </c>
      <c r="C7" s="6">
        <f>SUMIFS(Timesheet!$F$13:$F$11461,Timesheet!$A$13:$A$11461,'Mês 1'!A7,Timesheet!$C$13:$C$11461,'Mês 1'!$C$40)</f>
        <v>0</v>
      </c>
      <c r="D7" s="6">
        <f>SUMIFS(Timesheet!$F$13:$F$11461,Timesheet!$A$13:$A$11461,'Mês 1'!A7,Timesheet!$C$13:$C$11461,'Mês 1'!$D$40)</f>
        <v>0</v>
      </c>
      <c r="E7" s="6">
        <f>SUMIFS(Timesheet!$F$13:$F$11461,Timesheet!$A$13:$A$11461,'Mês 1'!A7,Timesheet!$C$13:$C$11461,'Mês 1'!$E$40)</f>
        <v>0</v>
      </c>
      <c r="F7" s="6">
        <f>SUMIFS(Timesheet!$F$13:$F$11461,Timesheet!$A$13:$A$11461,'Mês 1'!A7,Timesheet!$C$13:$C$11461,'Mês 1'!$F$40)</f>
        <v>0</v>
      </c>
      <c r="G7" s="6">
        <f>SUMIFS(Timesheet!$F$13:$F$11461,Timesheet!$A$13:$A$11461,'Mês 1'!A7,Timesheet!$C$13:$C$11461,'Mês 1'!$G$40)</f>
        <v>0</v>
      </c>
      <c r="H7" s="6">
        <f>SUMIFS(Timesheet!$F$13:$F$2615,Timesheet!$A$13:$A$2615,'Mês 1'!A7,Timesheet!$C$13:$C$2615,'Mês 1'!$H$3)</f>
        <v>0</v>
      </c>
      <c r="I7" s="6">
        <f>SUMIFS(Timesheet!$F$13:$F$2615,Timesheet!$A$13:$A$2615,'Mês 1'!A7,Timesheet!$C$13:$C$2615,'Mês 1'!$I$3)</f>
        <v>0</v>
      </c>
      <c r="J7" s="6">
        <f>SUMIFS(Timesheet!$F$13:$F$2615,Timesheet!$A$13:$A$2615,'Mês 1'!A7,Timesheet!$C$13:$C$2615,'Mês 1'!$J$3)</f>
        <v>0</v>
      </c>
      <c r="K7" s="6">
        <f t="shared" si="0"/>
        <v>0</v>
      </c>
      <c r="L7" s="6">
        <f t="array" ref="L7">MIN(IF(Timesheet!$A$13:$A$11483='Mês 1'!A7,Timesheet!$D$13:$D$11483))</f>
        <v>0</v>
      </c>
      <c r="M7" s="6">
        <f t="array" ref="M7">MAX(IF(Timesheet!$A$13:$A$11483='Mês 1'!A7,Timesheet!$E$13:$E$11483))</f>
        <v>0</v>
      </c>
      <c r="O7" s="1">
        <v>44961</v>
      </c>
      <c r="P7" s="6">
        <f>SUMIFS(Timesheet!$F$13:$F$11461,Timesheet!$A$13:$A$11461,'Mês 1'!O7,Timesheet!$C$13:$C$11461,'Mês 1'!$B$40)</f>
        <v>0</v>
      </c>
      <c r="Q7" s="6">
        <f>SUMIFS(Timesheet!$F$13:$F$11461,Timesheet!$A$13:$A$11461,'Mês 1'!O7,Timesheet!$C$13:$C$11461,'Mês 1'!$C$40)</f>
        <v>0</v>
      </c>
      <c r="R7" s="6">
        <f>SUMIFS(Timesheet!$F$13:$F$11461,Timesheet!$A$13:$A$11461,'Mês 1'!O7,Timesheet!$C$13:$C$11461,'Mês 1'!$D$40)</f>
        <v>0</v>
      </c>
      <c r="S7" s="6">
        <f>SUMIFS(Timesheet!$F$13:$F$11461,Timesheet!$A$13:$A$11461,'Mês 1'!O7,Timesheet!$C$13:$C$11461,'Mês 1'!$E$40)</f>
        <v>0</v>
      </c>
      <c r="T7" s="6">
        <f>SUMIFS(Timesheet!$F$13:$F$11461,Timesheet!$A$13:$A$11461,'Mês 1'!O7,Timesheet!$C$13:$C$11461,'Mês 1'!$F$40)</f>
        <v>0</v>
      </c>
      <c r="U7" s="6">
        <f>SUMIFS(Timesheet!$F$13:$F$11461,Timesheet!$A$13:$A$11461,'Mês 1'!O7,Timesheet!$C$13:$C$11461,'Mês 1'!$G$40)</f>
        <v>0</v>
      </c>
      <c r="V7" s="6">
        <f>SUMIFS(Timesheet!$F$13:$F$11461,Timesheet!$A$13:$A$11461,'Mês 1'!O7,Timesheet!$C$13:$C$11461,'Mês 1'!$V$3)</f>
        <v>0</v>
      </c>
      <c r="W7" s="6">
        <f>SUMIFS(Timesheet!$F$13:$F$11461,Timesheet!$A$13:$A$11461,'Mês 1'!O7,Timesheet!$C$13:$C$11461,'Mês 1'!$W$3)</f>
        <v>0</v>
      </c>
      <c r="X7" s="6">
        <f>SUMIFS(Timesheet!$F$13:$F$11461,Timesheet!$A$13:$A$11461,'Mês 1'!O7,Timesheet!$C$13:$C$11461,'Mês 1'!$X$3)</f>
        <v>0</v>
      </c>
      <c r="Y7" s="6">
        <f t="shared" si="1"/>
        <v>0</v>
      </c>
      <c r="Z7" s="6">
        <f t="array" ref="Z7">MIN(IF(Timesheet!$A$13:$A$11483='Mês 1'!O7,Timesheet!$D$13:$D$11483))</f>
        <v>0</v>
      </c>
      <c r="AA7" s="6">
        <f t="array" ref="AA7">MAX(IF(Timesheet!$A$13:$A$11483='Mês 1'!O7,Timesheet!$E$13:$E$11483))</f>
        <v>0</v>
      </c>
    </row>
    <row r="8" spans="1:27" x14ac:dyDescent="0.25">
      <c r="A8" s="1">
        <v>44931</v>
      </c>
      <c r="B8" s="6">
        <f>SUMIFS(Timesheet!$F$13:$F$11461,Timesheet!$A$13:$A$11461,'Mês 1'!A8,Timesheet!$C$13:$C$11461,'Mês 1'!$B$40)</f>
        <v>0</v>
      </c>
      <c r="C8" s="6">
        <f>SUMIFS(Timesheet!$F$13:$F$11461,Timesheet!$A$13:$A$11461,'Mês 1'!A8,Timesheet!$C$13:$C$11461,'Mês 1'!$C$40)</f>
        <v>0</v>
      </c>
      <c r="D8" s="6">
        <f>SUMIFS(Timesheet!$F$13:$F$11461,Timesheet!$A$13:$A$11461,'Mês 1'!A8,Timesheet!$C$13:$C$11461,'Mês 1'!$D$40)</f>
        <v>0</v>
      </c>
      <c r="E8" s="6">
        <f>SUMIFS(Timesheet!$F$13:$F$11461,Timesheet!$A$13:$A$11461,'Mês 1'!A8,Timesheet!$C$13:$C$11461,'Mês 1'!$E$40)</f>
        <v>0</v>
      </c>
      <c r="F8" s="6">
        <f>SUMIFS(Timesheet!$F$13:$F$11461,Timesheet!$A$13:$A$11461,'Mês 1'!A8,Timesheet!$C$13:$C$11461,'Mês 1'!$F$40)</f>
        <v>0</v>
      </c>
      <c r="G8" s="6">
        <f>SUMIFS(Timesheet!$F$13:$F$11461,Timesheet!$A$13:$A$11461,'Mês 1'!A8,Timesheet!$C$13:$C$11461,'Mês 1'!$G$40)</f>
        <v>0</v>
      </c>
      <c r="H8" s="6">
        <f>SUMIFS(Timesheet!$F$13:$F$2615,Timesheet!$A$13:$A$2615,'Mês 1'!A8,Timesheet!$C$13:$C$2615,'Mês 1'!$H$3)</f>
        <v>0</v>
      </c>
      <c r="I8" s="6">
        <f>SUMIFS(Timesheet!$F$13:$F$2615,Timesheet!$A$13:$A$2615,'Mês 1'!A8,Timesheet!$C$13:$C$2615,'Mês 1'!$I$3)</f>
        <v>0</v>
      </c>
      <c r="J8" s="6">
        <f>SUMIFS(Timesheet!$F$13:$F$2615,Timesheet!$A$13:$A$2615,'Mês 1'!A8,Timesheet!$C$13:$C$2615,'Mês 1'!$J$3)</f>
        <v>0</v>
      </c>
      <c r="K8" s="6">
        <f t="shared" si="0"/>
        <v>0</v>
      </c>
      <c r="L8" s="6">
        <f t="array" ref="L8">MIN(IF(Timesheet!$A$13:$A$11483='Mês 1'!A8,Timesheet!$D$13:$D$11483))</f>
        <v>0</v>
      </c>
      <c r="M8" s="6">
        <f t="array" ref="M8">MAX(IF(Timesheet!$A$13:$A$11483='Mês 1'!A8,Timesheet!$E$13:$E$11483))</f>
        <v>0</v>
      </c>
      <c r="O8" s="1">
        <v>44962</v>
      </c>
      <c r="P8" s="6">
        <f>SUMIFS(Timesheet!$F$13:$F$11461,Timesheet!$A$13:$A$11461,'Mês 1'!O8,Timesheet!$C$13:$C$11461,'Mês 1'!$B$40)</f>
        <v>0</v>
      </c>
      <c r="Q8" s="6">
        <f>SUMIFS(Timesheet!$F$13:$F$11461,Timesheet!$A$13:$A$11461,'Mês 1'!O8,Timesheet!$C$13:$C$11461,'Mês 1'!$C$40)</f>
        <v>0</v>
      </c>
      <c r="R8" s="6">
        <f>SUMIFS(Timesheet!$F$13:$F$11461,Timesheet!$A$13:$A$11461,'Mês 1'!O8,Timesheet!$C$13:$C$11461,'Mês 1'!$D$40)</f>
        <v>0</v>
      </c>
      <c r="S8" s="6">
        <f>SUMIFS(Timesheet!$F$13:$F$11461,Timesheet!$A$13:$A$11461,'Mês 1'!O8,Timesheet!$C$13:$C$11461,'Mês 1'!$E$40)</f>
        <v>0</v>
      </c>
      <c r="T8" s="6">
        <f>SUMIFS(Timesheet!$F$13:$F$11461,Timesheet!$A$13:$A$11461,'Mês 1'!O8,Timesheet!$C$13:$C$11461,'Mês 1'!$F$40)</f>
        <v>0</v>
      </c>
      <c r="U8" s="6">
        <f>SUMIFS(Timesheet!$F$13:$F$11461,Timesheet!$A$13:$A$11461,'Mês 1'!O8,Timesheet!$C$13:$C$11461,'Mês 1'!$G$40)</f>
        <v>0</v>
      </c>
      <c r="V8" s="6">
        <f>SUMIFS(Timesheet!$F$13:$F$11461,Timesheet!$A$13:$A$11461,'Mês 1'!O8,Timesheet!$C$13:$C$11461,'Mês 1'!$V$3)</f>
        <v>0</v>
      </c>
      <c r="W8" s="6">
        <f>SUMIFS(Timesheet!$F$13:$F$11461,Timesheet!$A$13:$A$11461,'Mês 1'!O8,Timesheet!$C$13:$C$11461,'Mês 1'!$W$3)</f>
        <v>0</v>
      </c>
      <c r="X8" s="6">
        <f>SUMIFS(Timesheet!$F$13:$F$11461,Timesheet!$A$13:$A$11461,'Mês 1'!O8,Timesheet!$C$13:$C$11461,'Mês 1'!$X$3)</f>
        <v>0</v>
      </c>
      <c r="Y8" s="6">
        <f t="shared" si="1"/>
        <v>0</v>
      </c>
      <c r="Z8" s="6">
        <f t="array" ref="Z8">MIN(IF(Timesheet!$A$13:$A$11483='Mês 1'!O8,Timesheet!$D$13:$D$11483))</f>
        <v>0</v>
      </c>
      <c r="AA8" s="6">
        <f t="array" ref="AA8">MAX(IF(Timesheet!$A$13:$A$11483='Mês 1'!O8,Timesheet!$E$13:$E$11483))</f>
        <v>0</v>
      </c>
    </row>
    <row r="9" spans="1:27" x14ac:dyDescent="0.25">
      <c r="A9" s="1">
        <v>44932</v>
      </c>
      <c r="B9" s="6">
        <f>SUMIFS(Timesheet!$F$13:$F$11461,Timesheet!$A$13:$A$11461,'Mês 1'!A9,Timesheet!$C$13:$C$11461,'Mês 1'!$B$40)</f>
        <v>0</v>
      </c>
      <c r="C9" s="6">
        <f>SUMIFS(Timesheet!$F$13:$F$11461,Timesheet!$A$13:$A$11461,'Mês 1'!A9,Timesheet!$C$13:$C$11461,'Mês 1'!$C$40)</f>
        <v>0</v>
      </c>
      <c r="D9" s="6">
        <f>SUMIFS(Timesheet!$F$13:$F$11461,Timesheet!$A$13:$A$11461,'Mês 1'!A9,Timesheet!$C$13:$C$11461,'Mês 1'!$D$40)</f>
        <v>0</v>
      </c>
      <c r="E9" s="6">
        <f>SUMIFS(Timesheet!$F$13:$F$11461,Timesheet!$A$13:$A$11461,'Mês 1'!A9,Timesheet!$C$13:$C$11461,'Mês 1'!$E$40)</f>
        <v>0</v>
      </c>
      <c r="F9" s="6">
        <f>SUMIFS(Timesheet!$F$13:$F$11461,Timesheet!$A$13:$A$11461,'Mês 1'!A9,Timesheet!$C$13:$C$11461,'Mês 1'!$F$40)</f>
        <v>0</v>
      </c>
      <c r="G9" s="6">
        <f>SUMIFS(Timesheet!$F$13:$F$11461,Timesheet!$A$13:$A$11461,'Mês 1'!A9,Timesheet!$C$13:$C$11461,'Mês 1'!$G$40)</f>
        <v>0</v>
      </c>
      <c r="H9" s="6">
        <f>SUMIFS(Timesheet!$F$13:$F$2615,Timesheet!$A$13:$A$2615,'Mês 1'!A9,Timesheet!$C$13:$C$2615,'Mês 1'!$H$3)</f>
        <v>0</v>
      </c>
      <c r="I9" s="6">
        <f>SUMIFS(Timesheet!$F$13:$F$2615,Timesheet!$A$13:$A$2615,'Mês 1'!A9,Timesheet!$C$13:$C$2615,'Mês 1'!$I$3)</f>
        <v>0</v>
      </c>
      <c r="J9" s="6">
        <f>SUMIFS(Timesheet!$F$13:$F$2615,Timesheet!$A$13:$A$2615,'Mês 1'!A9,Timesheet!$C$13:$C$2615,'Mês 1'!$J$3)</f>
        <v>0</v>
      </c>
      <c r="K9" s="6">
        <f t="shared" si="0"/>
        <v>0</v>
      </c>
      <c r="L9" s="6">
        <f t="array" ref="L9">MIN(IF(Timesheet!$A$13:$A$11483='Mês 1'!A9,Timesheet!$D$13:$D$11483))</f>
        <v>0</v>
      </c>
      <c r="M9" s="6">
        <f t="array" ref="M9">MAX(IF(Timesheet!$A$13:$A$11483='Mês 1'!A9,Timesheet!$E$13:$E$11483))</f>
        <v>0</v>
      </c>
      <c r="O9" s="1">
        <v>44963</v>
      </c>
      <c r="P9" s="6">
        <f>SUMIFS(Timesheet!$F$13:$F$11461,Timesheet!$A$13:$A$11461,'Mês 1'!O9,Timesheet!$C$13:$C$11461,'Mês 1'!$B$40)</f>
        <v>0</v>
      </c>
      <c r="Q9" s="6">
        <f>SUMIFS(Timesheet!$F$13:$F$11461,Timesheet!$A$13:$A$11461,'Mês 1'!O9,Timesheet!$C$13:$C$11461,'Mês 1'!$C$40)</f>
        <v>0</v>
      </c>
      <c r="R9" s="6">
        <f>SUMIFS(Timesheet!$F$13:$F$11461,Timesheet!$A$13:$A$11461,'Mês 1'!O9,Timesheet!$C$13:$C$11461,'Mês 1'!$D$40)</f>
        <v>0</v>
      </c>
      <c r="S9" s="6">
        <f>SUMIFS(Timesheet!$F$13:$F$11461,Timesheet!$A$13:$A$11461,'Mês 1'!O9,Timesheet!$C$13:$C$11461,'Mês 1'!$E$40)</f>
        <v>0</v>
      </c>
      <c r="T9" s="6">
        <f>SUMIFS(Timesheet!$F$13:$F$11461,Timesheet!$A$13:$A$11461,'Mês 1'!O9,Timesheet!$C$13:$C$11461,'Mês 1'!$F$40)</f>
        <v>0</v>
      </c>
      <c r="U9" s="6">
        <f>SUMIFS(Timesheet!$F$13:$F$11461,Timesheet!$A$13:$A$11461,'Mês 1'!O9,Timesheet!$C$13:$C$11461,'Mês 1'!$G$40)</f>
        <v>0</v>
      </c>
      <c r="V9" s="6">
        <f>SUMIFS(Timesheet!$F$13:$F$11461,Timesheet!$A$13:$A$11461,'Mês 1'!O9,Timesheet!$C$13:$C$11461,'Mês 1'!$V$3)</f>
        <v>0</v>
      </c>
      <c r="W9" s="6">
        <f>SUMIFS(Timesheet!$F$13:$F$11461,Timesheet!$A$13:$A$11461,'Mês 1'!O9,Timesheet!$C$13:$C$11461,'Mês 1'!$W$3)</f>
        <v>0</v>
      </c>
      <c r="X9" s="6">
        <f>SUMIFS(Timesheet!$F$13:$F$11461,Timesheet!$A$13:$A$11461,'Mês 1'!O9,Timesheet!$C$13:$C$11461,'Mês 1'!$X$3)</f>
        <v>0</v>
      </c>
      <c r="Y9" s="6">
        <f t="shared" si="1"/>
        <v>0</v>
      </c>
      <c r="Z9" s="6">
        <f t="array" ref="Z9">MIN(IF(Timesheet!$A$13:$A$11483='Mês 1'!O9,Timesheet!$D$13:$D$11483))</f>
        <v>0</v>
      </c>
      <c r="AA9" s="6">
        <f t="array" ref="AA9">MAX(IF(Timesheet!$A$13:$A$11483='Mês 1'!O9,Timesheet!$E$13:$E$11483))</f>
        <v>0</v>
      </c>
    </row>
    <row r="10" spans="1:27" x14ac:dyDescent="0.25">
      <c r="A10" s="1">
        <v>44933</v>
      </c>
      <c r="B10" s="6">
        <f>SUMIFS(Timesheet!$F$13:$F$11461,Timesheet!$A$13:$A$11461,'Mês 1'!A10,Timesheet!$C$13:$C$11461,'Mês 1'!$B$40)</f>
        <v>0</v>
      </c>
      <c r="C10" s="6">
        <f>SUMIFS(Timesheet!$F$13:$F$11461,Timesheet!$A$13:$A$11461,'Mês 1'!A10,Timesheet!$C$13:$C$11461,'Mês 1'!$C$40)</f>
        <v>0</v>
      </c>
      <c r="D10" s="6">
        <f>SUMIFS(Timesheet!$F$13:$F$11461,Timesheet!$A$13:$A$11461,'Mês 1'!A10,Timesheet!$C$13:$C$11461,'Mês 1'!$D$40)</f>
        <v>0</v>
      </c>
      <c r="E10" s="6">
        <f>SUMIFS(Timesheet!$F$13:$F$11461,Timesheet!$A$13:$A$11461,'Mês 1'!A10,Timesheet!$C$13:$C$11461,'Mês 1'!$E$40)</f>
        <v>0</v>
      </c>
      <c r="F10" s="6">
        <f>SUMIFS(Timesheet!$F$13:$F$11461,Timesheet!$A$13:$A$11461,'Mês 1'!A10,Timesheet!$C$13:$C$11461,'Mês 1'!$F$40)</f>
        <v>0</v>
      </c>
      <c r="G10" s="6">
        <f>SUMIFS(Timesheet!$F$13:$F$11461,Timesheet!$A$13:$A$11461,'Mês 1'!A10,Timesheet!$C$13:$C$11461,'Mês 1'!$G$40)</f>
        <v>0</v>
      </c>
      <c r="H10" s="6">
        <f>SUMIFS(Timesheet!$F$13:$F$2615,Timesheet!$A$13:$A$2615,'Mês 1'!A10,Timesheet!$C$13:$C$2615,'Mês 1'!$H$3)</f>
        <v>0</v>
      </c>
      <c r="I10" s="6">
        <f>SUMIFS(Timesheet!$F$13:$F$2615,Timesheet!$A$13:$A$2615,'Mês 1'!A10,Timesheet!$C$13:$C$2615,'Mês 1'!$I$3)</f>
        <v>0</v>
      </c>
      <c r="J10" s="6">
        <f>SUMIFS(Timesheet!$F$13:$F$2615,Timesheet!$A$13:$A$2615,'Mês 1'!A10,Timesheet!$C$13:$C$2615,'Mês 1'!$J$3)</f>
        <v>0</v>
      </c>
      <c r="K10" s="6">
        <f t="shared" si="0"/>
        <v>0</v>
      </c>
      <c r="L10" s="6">
        <f t="array" ref="L10">MIN(IF(Timesheet!$A$13:$A$11483='Mês 1'!A10,Timesheet!$D$13:$D$11483))</f>
        <v>0</v>
      </c>
      <c r="M10" s="6">
        <f t="array" ref="M10">MAX(IF(Timesheet!$A$13:$A$11483='Mês 1'!A10,Timesheet!$E$13:$E$11483))</f>
        <v>0</v>
      </c>
      <c r="O10" s="1">
        <v>44964</v>
      </c>
      <c r="P10" s="6">
        <f>SUMIFS(Timesheet!$F$13:$F$11461,Timesheet!$A$13:$A$11461,'Mês 1'!O10,Timesheet!$C$13:$C$11461,'Mês 1'!$B$40)</f>
        <v>0</v>
      </c>
      <c r="Q10" s="6">
        <f>SUMIFS(Timesheet!$F$13:$F$11461,Timesheet!$A$13:$A$11461,'Mês 1'!O10,Timesheet!$C$13:$C$11461,'Mês 1'!$C$40)</f>
        <v>0</v>
      </c>
      <c r="R10" s="6">
        <f>SUMIFS(Timesheet!$F$13:$F$11461,Timesheet!$A$13:$A$11461,'Mês 1'!O10,Timesheet!$C$13:$C$11461,'Mês 1'!$D$40)</f>
        <v>0</v>
      </c>
      <c r="S10" s="6">
        <f>SUMIFS(Timesheet!$F$13:$F$11461,Timesheet!$A$13:$A$11461,'Mês 1'!O10,Timesheet!$C$13:$C$11461,'Mês 1'!$E$40)</f>
        <v>0</v>
      </c>
      <c r="T10" s="6">
        <f>SUMIFS(Timesheet!$F$13:$F$11461,Timesheet!$A$13:$A$11461,'Mês 1'!O10,Timesheet!$C$13:$C$11461,'Mês 1'!$F$40)</f>
        <v>0</v>
      </c>
      <c r="U10" s="6">
        <f>SUMIFS(Timesheet!$F$13:$F$11461,Timesheet!$A$13:$A$11461,'Mês 1'!O10,Timesheet!$C$13:$C$11461,'Mês 1'!$G$40)</f>
        <v>0</v>
      </c>
      <c r="V10" s="6">
        <f>SUMIFS(Timesheet!$F$13:$F$11461,Timesheet!$A$13:$A$11461,'Mês 1'!O10,Timesheet!$C$13:$C$11461,'Mês 1'!$V$3)</f>
        <v>0</v>
      </c>
      <c r="W10" s="6">
        <f>SUMIFS(Timesheet!$F$13:$F$11461,Timesheet!$A$13:$A$11461,'Mês 1'!O10,Timesheet!$C$13:$C$11461,'Mês 1'!$W$3)</f>
        <v>0</v>
      </c>
      <c r="X10" s="6">
        <f>SUMIFS(Timesheet!$F$13:$F$11461,Timesheet!$A$13:$A$11461,'Mês 1'!O10,Timesheet!$C$13:$C$11461,'Mês 1'!$X$3)</f>
        <v>0</v>
      </c>
      <c r="Y10" s="6">
        <f t="shared" si="1"/>
        <v>0</v>
      </c>
      <c r="Z10" s="6">
        <f t="array" ref="Z10">MIN(IF(Timesheet!$A$13:$A$11483='Mês 1'!O10,Timesheet!$D$13:$D$11483))</f>
        <v>0</v>
      </c>
      <c r="AA10" s="6">
        <f t="array" ref="AA10">MAX(IF(Timesheet!$A$13:$A$11483='Mês 1'!O10,Timesheet!$E$13:$E$11483))</f>
        <v>0</v>
      </c>
    </row>
    <row r="11" spans="1:27" x14ac:dyDescent="0.25">
      <c r="A11" s="1">
        <v>44934</v>
      </c>
      <c r="B11" s="6">
        <f>SUMIFS(Timesheet!$F$13:$F$11461,Timesheet!$A$13:$A$11461,'Mês 1'!A11,Timesheet!$C$13:$C$11461,'Mês 1'!$B$40)</f>
        <v>0</v>
      </c>
      <c r="C11" s="6">
        <f>SUMIFS(Timesheet!$F$13:$F$11461,Timesheet!$A$13:$A$11461,'Mês 1'!A11,Timesheet!$C$13:$C$11461,'Mês 1'!$C$40)</f>
        <v>0</v>
      </c>
      <c r="D11" s="6">
        <f>SUMIFS(Timesheet!$F$13:$F$11461,Timesheet!$A$13:$A$11461,'Mês 1'!A11,Timesheet!$C$13:$C$11461,'Mês 1'!$D$40)</f>
        <v>0</v>
      </c>
      <c r="E11" s="6">
        <f>SUMIFS(Timesheet!$F$13:$F$11461,Timesheet!$A$13:$A$11461,'Mês 1'!A11,Timesheet!$C$13:$C$11461,'Mês 1'!$E$40)</f>
        <v>0</v>
      </c>
      <c r="F11" s="6">
        <f>SUMIFS(Timesheet!$F$13:$F$11461,Timesheet!$A$13:$A$11461,'Mês 1'!A11,Timesheet!$C$13:$C$11461,'Mês 1'!$F$40)</f>
        <v>0</v>
      </c>
      <c r="G11" s="6">
        <f>SUMIFS(Timesheet!$F$13:$F$11461,Timesheet!$A$13:$A$11461,'Mês 1'!A11,Timesheet!$C$13:$C$11461,'Mês 1'!$G$40)</f>
        <v>0</v>
      </c>
      <c r="H11" s="6">
        <f>SUMIFS(Timesheet!$F$13:$F$2615,Timesheet!$A$13:$A$2615,'Mês 1'!A11,Timesheet!$C$13:$C$2615,'Mês 1'!$H$3)</f>
        <v>0</v>
      </c>
      <c r="I11" s="6">
        <f>SUMIFS(Timesheet!$F$13:$F$2615,Timesheet!$A$13:$A$2615,'Mês 1'!A11,Timesheet!$C$13:$C$2615,'Mês 1'!$I$3)</f>
        <v>0</v>
      </c>
      <c r="J11" s="6">
        <f>SUMIFS(Timesheet!$F$13:$F$2615,Timesheet!$A$13:$A$2615,'Mês 1'!A11,Timesheet!$C$13:$C$2615,'Mês 1'!$J$3)</f>
        <v>0</v>
      </c>
      <c r="K11" s="6">
        <f t="shared" si="0"/>
        <v>0</v>
      </c>
      <c r="L11" s="6">
        <f t="array" ref="L11">MIN(IF(Timesheet!$A$13:$A$11483='Mês 1'!A11,Timesheet!$D$13:$D$11483))</f>
        <v>0</v>
      </c>
      <c r="M11" s="6">
        <f t="array" ref="M11">MAX(IF(Timesheet!$A$13:$A$11483='Mês 1'!A11,Timesheet!$E$13:$E$11483))</f>
        <v>0</v>
      </c>
      <c r="O11" s="1">
        <v>44965</v>
      </c>
      <c r="P11" s="6">
        <f>SUMIFS(Timesheet!$F$13:$F$11461,Timesheet!$A$13:$A$11461,'Mês 1'!O11,Timesheet!$C$13:$C$11461,'Mês 1'!$B$40)</f>
        <v>0</v>
      </c>
      <c r="Q11" s="6">
        <f>SUMIFS(Timesheet!$F$13:$F$11461,Timesheet!$A$13:$A$11461,'Mês 1'!O11,Timesheet!$C$13:$C$11461,'Mês 1'!$C$40)</f>
        <v>0</v>
      </c>
      <c r="R11" s="6">
        <f>SUMIFS(Timesheet!$F$13:$F$11461,Timesheet!$A$13:$A$11461,'Mês 1'!O11,Timesheet!$C$13:$C$11461,'Mês 1'!$D$40)</f>
        <v>0</v>
      </c>
      <c r="S11" s="6">
        <f>SUMIFS(Timesheet!$F$13:$F$11461,Timesheet!$A$13:$A$11461,'Mês 1'!O11,Timesheet!$C$13:$C$11461,'Mês 1'!$E$40)</f>
        <v>0</v>
      </c>
      <c r="T11" s="6">
        <f>SUMIFS(Timesheet!$F$13:$F$11461,Timesheet!$A$13:$A$11461,'Mês 1'!O11,Timesheet!$C$13:$C$11461,'Mês 1'!$F$40)</f>
        <v>0</v>
      </c>
      <c r="U11" s="6">
        <f>SUMIFS(Timesheet!$F$13:$F$11461,Timesheet!$A$13:$A$11461,'Mês 1'!O11,Timesheet!$C$13:$C$11461,'Mês 1'!$G$40)</f>
        <v>0</v>
      </c>
      <c r="V11" s="6">
        <f>SUMIFS(Timesheet!$F$13:$F$11461,Timesheet!$A$13:$A$11461,'Mês 1'!O11,Timesheet!$C$13:$C$11461,'Mês 1'!$V$3)</f>
        <v>0</v>
      </c>
      <c r="W11" s="6">
        <f>SUMIFS(Timesheet!$F$13:$F$11461,Timesheet!$A$13:$A$11461,'Mês 1'!O11,Timesheet!$C$13:$C$11461,'Mês 1'!$W$3)</f>
        <v>0</v>
      </c>
      <c r="X11" s="6">
        <f>SUMIFS(Timesheet!$F$13:$F$11461,Timesheet!$A$13:$A$11461,'Mês 1'!O11,Timesheet!$C$13:$C$11461,'Mês 1'!$X$3)</f>
        <v>0</v>
      </c>
      <c r="Y11" s="6">
        <f t="shared" si="1"/>
        <v>0</v>
      </c>
      <c r="Z11" s="6">
        <f t="array" ref="Z11">MIN(IF(Timesheet!$A$13:$A$11483='Mês 1'!O11,Timesheet!$D$13:$D$11483))</f>
        <v>0</v>
      </c>
      <c r="AA11" s="6">
        <f t="array" ref="AA11">MAX(IF(Timesheet!$A$13:$A$11483='Mês 1'!O11,Timesheet!$E$13:$E$11483))</f>
        <v>0</v>
      </c>
    </row>
    <row r="12" spans="1:27" x14ac:dyDescent="0.25">
      <c r="A12" s="1">
        <v>44935</v>
      </c>
      <c r="B12" s="6">
        <f>SUMIFS(Timesheet!$F$13:$F$11461,Timesheet!$A$13:$A$11461,'Mês 1'!A12,Timesheet!$C$13:$C$11461,'Mês 1'!$B$40)</f>
        <v>0</v>
      </c>
      <c r="C12" s="6">
        <f>SUMIFS(Timesheet!$F$13:$F$11461,Timesheet!$A$13:$A$11461,'Mês 1'!A12,Timesheet!$C$13:$C$11461,'Mês 1'!$C$40)</f>
        <v>0</v>
      </c>
      <c r="D12" s="6">
        <f>SUMIFS(Timesheet!$F$13:$F$11461,Timesheet!$A$13:$A$11461,'Mês 1'!A12,Timesheet!$C$13:$C$11461,'Mês 1'!$D$40)</f>
        <v>0</v>
      </c>
      <c r="E12" s="6">
        <f>SUMIFS(Timesheet!$F$13:$F$11461,Timesheet!$A$13:$A$11461,'Mês 1'!A12,Timesheet!$C$13:$C$11461,'Mês 1'!$E$40)</f>
        <v>0</v>
      </c>
      <c r="F12" s="6">
        <f>SUMIFS(Timesheet!$F$13:$F$11461,Timesheet!$A$13:$A$11461,'Mês 1'!A12,Timesheet!$C$13:$C$11461,'Mês 1'!$F$40)</f>
        <v>0</v>
      </c>
      <c r="G12" s="6">
        <f>SUMIFS(Timesheet!$F$13:$F$11461,Timesheet!$A$13:$A$11461,'Mês 1'!A12,Timesheet!$C$13:$C$11461,'Mês 1'!$G$40)</f>
        <v>0</v>
      </c>
      <c r="H12" s="6">
        <f>SUMIFS(Timesheet!$F$13:$F$2615,Timesheet!$A$13:$A$2615,'Mês 1'!A12,Timesheet!$C$13:$C$2615,'Mês 1'!$H$3)</f>
        <v>0</v>
      </c>
      <c r="I12" s="6">
        <f>SUMIFS(Timesheet!$F$13:$F$2615,Timesheet!$A$13:$A$2615,'Mês 1'!A12,Timesheet!$C$13:$C$2615,'Mês 1'!$I$3)</f>
        <v>0</v>
      </c>
      <c r="J12" s="6">
        <f>SUMIFS(Timesheet!$F$13:$F$2615,Timesheet!$A$13:$A$2615,'Mês 1'!A12,Timesheet!$C$13:$C$2615,'Mês 1'!$J$3)</f>
        <v>0</v>
      </c>
      <c r="K12" s="6">
        <f t="shared" si="0"/>
        <v>0</v>
      </c>
      <c r="L12" s="6">
        <f t="array" ref="L12">MIN(IF(Timesheet!$A$13:$A$11483='Mês 1'!A12,Timesheet!$D$13:$D$11483))</f>
        <v>0</v>
      </c>
      <c r="M12" s="6">
        <f t="array" ref="M12">MAX(IF(Timesheet!$A$13:$A$11483='Mês 1'!A12,Timesheet!$E$13:$E$11483))</f>
        <v>0</v>
      </c>
      <c r="O12" s="1">
        <v>44966</v>
      </c>
      <c r="P12" s="6">
        <f>SUMIFS(Timesheet!$F$13:$F$11461,Timesheet!$A$13:$A$11461,'Mês 1'!O12,Timesheet!$C$13:$C$11461,'Mês 1'!$B$40)</f>
        <v>0</v>
      </c>
      <c r="Q12" s="6">
        <f>SUMIFS(Timesheet!$F$13:$F$11461,Timesheet!$A$13:$A$11461,'Mês 1'!O12,Timesheet!$C$13:$C$11461,'Mês 1'!$C$40)</f>
        <v>0</v>
      </c>
      <c r="R12" s="6">
        <f>SUMIFS(Timesheet!$F$13:$F$11461,Timesheet!$A$13:$A$11461,'Mês 1'!O12,Timesheet!$C$13:$C$11461,'Mês 1'!$D$40)</f>
        <v>0</v>
      </c>
      <c r="S12" s="6">
        <f>SUMIFS(Timesheet!$F$13:$F$11461,Timesheet!$A$13:$A$11461,'Mês 1'!O12,Timesheet!$C$13:$C$11461,'Mês 1'!$E$40)</f>
        <v>0</v>
      </c>
      <c r="T12" s="6">
        <f>SUMIFS(Timesheet!$F$13:$F$11461,Timesheet!$A$13:$A$11461,'Mês 1'!O12,Timesheet!$C$13:$C$11461,'Mês 1'!$F$40)</f>
        <v>0</v>
      </c>
      <c r="U12" s="6">
        <f>SUMIFS(Timesheet!$F$13:$F$11461,Timesheet!$A$13:$A$11461,'Mês 1'!O12,Timesheet!$C$13:$C$11461,'Mês 1'!$G$40)</f>
        <v>0</v>
      </c>
      <c r="V12" s="6">
        <f>SUMIFS(Timesheet!$F$13:$F$11461,Timesheet!$A$13:$A$11461,'Mês 1'!O12,Timesheet!$C$13:$C$11461,'Mês 1'!$V$3)</f>
        <v>0</v>
      </c>
      <c r="W12" s="6">
        <f>SUMIFS(Timesheet!$F$13:$F$11461,Timesheet!$A$13:$A$11461,'Mês 1'!O12,Timesheet!$C$13:$C$11461,'Mês 1'!$W$3)</f>
        <v>0</v>
      </c>
      <c r="X12" s="6">
        <f>SUMIFS(Timesheet!$F$13:$F$11461,Timesheet!$A$13:$A$11461,'Mês 1'!O12,Timesheet!$C$13:$C$11461,'Mês 1'!$X$3)</f>
        <v>0</v>
      </c>
      <c r="Y12" s="6">
        <f t="shared" si="1"/>
        <v>0</v>
      </c>
      <c r="Z12" s="6">
        <f t="array" ref="Z12">MIN(IF(Timesheet!$A$13:$A$11483='Mês 1'!O12,Timesheet!$D$13:$D$11483))</f>
        <v>0</v>
      </c>
      <c r="AA12" s="6">
        <f t="array" ref="AA12">MAX(IF(Timesheet!$A$13:$A$11483='Mês 1'!O12,Timesheet!$E$13:$E$11483))</f>
        <v>0</v>
      </c>
    </row>
    <row r="13" spans="1:27" x14ac:dyDescent="0.25">
      <c r="A13" s="1">
        <v>44936</v>
      </c>
      <c r="B13" s="6">
        <f>SUMIFS(Timesheet!$F$13:$F$11461,Timesheet!$A$13:$A$11461,'Mês 1'!A13,Timesheet!$C$13:$C$11461,'Mês 1'!$B$40)</f>
        <v>0</v>
      </c>
      <c r="C13" s="6">
        <f>SUMIFS(Timesheet!$F$13:$F$11461,Timesheet!$A$13:$A$11461,'Mês 1'!A13,Timesheet!$C$13:$C$11461,'Mês 1'!$C$40)</f>
        <v>0</v>
      </c>
      <c r="D13" s="6">
        <f>SUMIFS(Timesheet!$F$13:$F$11461,Timesheet!$A$13:$A$11461,'Mês 1'!A13,Timesheet!$C$13:$C$11461,'Mês 1'!$D$40)</f>
        <v>0</v>
      </c>
      <c r="E13" s="6">
        <f>SUMIFS(Timesheet!$F$13:$F$11461,Timesheet!$A$13:$A$11461,'Mês 1'!A13,Timesheet!$C$13:$C$11461,'Mês 1'!$E$40)</f>
        <v>0</v>
      </c>
      <c r="F13" s="6">
        <f>SUMIFS(Timesheet!$F$13:$F$11461,Timesheet!$A$13:$A$11461,'Mês 1'!A13,Timesheet!$C$13:$C$11461,'Mês 1'!$F$40)</f>
        <v>0</v>
      </c>
      <c r="G13" s="6">
        <f>SUMIFS(Timesheet!$F$13:$F$11461,Timesheet!$A$13:$A$11461,'Mês 1'!A13,Timesheet!$C$13:$C$11461,'Mês 1'!$G$40)</f>
        <v>0</v>
      </c>
      <c r="H13" s="6">
        <f>SUMIFS(Timesheet!$F$13:$F$2615,Timesheet!$A$13:$A$2615,'Mês 1'!A13,Timesheet!$C$13:$C$2615,'Mês 1'!$H$3)</f>
        <v>0</v>
      </c>
      <c r="I13" s="6">
        <f>SUMIFS(Timesheet!$F$13:$F$2615,Timesheet!$A$13:$A$2615,'Mês 1'!A13,Timesheet!$C$13:$C$2615,'Mês 1'!$I$3)</f>
        <v>0</v>
      </c>
      <c r="J13" s="6">
        <f>SUMIFS(Timesheet!$F$13:$F$2615,Timesheet!$A$13:$A$2615,'Mês 1'!A13,Timesheet!$C$13:$C$2615,'Mês 1'!$J$3)</f>
        <v>0</v>
      </c>
      <c r="K13" s="6">
        <f t="shared" si="0"/>
        <v>0</v>
      </c>
      <c r="L13" s="6">
        <f t="array" ref="L13">MIN(IF(Timesheet!$A$13:$A$11483='Mês 1'!A13,Timesheet!$D$13:$D$11483))</f>
        <v>0</v>
      </c>
      <c r="M13" s="6">
        <f t="array" ref="M13">MAX(IF(Timesheet!$A$13:$A$11483='Mês 1'!A13,Timesheet!$E$13:$E$11483))</f>
        <v>0</v>
      </c>
      <c r="O13" s="1">
        <v>44967</v>
      </c>
      <c r="P13" s="6">
        <f>SUMIFS(Timesheet!$F$13:$F$11461,Timesheet!$A$13:$A$11461,'Mês 1'!O13,Timesheet!$C$13:$C$11461,'Mês 1'!$B$40)</f>
        <v>0</v>
      </c>
      <c r="Q13" s="6">
        <f>SUMIFS(Timesheet!$F$13:$F$11461,Timesheet!$A$13:$A$11461,'Mês 1'!O13,Timesheet!$C$13:$C$11461,'Mês 1'!$C$40)</f>
        <v>0</v>
      </c>
      <c r="R13" s="6">
        <f>SUMIFS(Timesheet!$F$13:$F$11461,Timesheet!$A$13:$A$11461,'Mês 1'!O13,Timesheet!$C$13:$C$11461,'Mês 1'!$D$40)</f>
        <v>0</v>
      </c>
      <c r="S13" s="6">
        <f>SUMIFS(Timesheet!$F$13:$F$11461,Timesheet!$A$13:$A$11461,'Mês 1'!O13,Timesheet!$C$13:$C$11461,'Mês 1'!$E$40)</f>
        <v>0</v>
      </c>
      <c r="T13" s="6">
        <f>SUMIFS(Timesheet!$F$13:$F$11461,Timesheet!$A$13:$A$11461,'Mês 1'!O13,Timesheet!$C$13:$C$11461,'Mês 1'!$F$40)</f>
        <v>0</v>
      </c>
      <c r="U13" s="6">
        <f>SUMIFS(Timesheet!$F$13:$F$11461,Timesheet!$A$13:$A$11461,'Mês 1'!O13,Timesheet!$C$13:$C$11461,'Mês 1'!$G$40)</f>
        <v>0</v>
      </c>
      <c r="V13" s="6">
        <f>SUMIFS(Timesheet!$F$13:$F$11461,Timesheet!$A$13:$A$11461,'Mês 1'!O13,Timesheet!$C$13:$C$11461,'Mês 1'!$V$3)</f>
        <v>0</v>
      </c>
      <c r="W13" s="6">
        <f>SUMIFS(Timesheet!$F$13:$F$11461,Timesheet!$A$13:$A$11461,'Mês 1'!O13,Timesheet!$C$13:$C$11461,'Mês 1'!$W$3)</f>
        <v>0</v>
      </c>
      <c r="X13" s="6">
        <f>SUMIFS(Timesheet!$F$13:$F$11461,Timesheet!$A$13:$A$11461,'Mês 1'!O13,Timesheet!$C$13:$C$11461,'Mês 1'!$X$3)</f>
        <v>0</v>
      </c>
      <c r="Y13" s="6">
        <f t="shared" si="1"/>
        <v>0</v>
      </c>
      <c r="Z13" s="6">
        <f t="array" ref="Z13">MIN(IF(Timesheet!$A$13:$A$11483='Mês 1'!O13,Timesheet!$D$13:$D$11483))</f>
        <v>0</v>
      </c>
      <c r="AA13" s="6">
        <f t="array" ref="AA13">MAX(IF(Timesheet!$A$13:$A$11483='Mês 1'!O13,Timesheet!$E$13:$E$11483))</f>
        <v>0</v>
      </c>
    </row>
    <row r="14" spans="1:27" x14ac:dyDescent="0.25">
      <c r="A14" s="1">
        <v>44937</v>
      </c>
      <c r="B14" s="6">
        <f>SUMIFS(Timesheet!$F$13:$F$11461,Timesheet!$A$13:$A$11461,'Mês 1'!A14,Timesheet!$C$13:$C$11461,'Mês 1'!$B$40)</f>
        <v>0</v>
      </c>
      <c r="C14" s="6">
        <f>SUMIFS(Timesheet!$F$13:$F$11461,Timesheet!$A$13:$A$11461,'Mês 1'!A14,Timesheet!$C$13:$C$11461,'Mês 1'!$C$40)</f>
        <v>0</v>
      </c>
      <c r="D14" s="6">
        <f>SUMIFS(Timesheet!$F$13:$F$11461,Timesheet!$A$13:$A$11461,'Mês 1'!A14,Timesheet!$C$13:$C$11461,'Mês 1'!$D$40)</f>
        <v>0</v>
      </c>
      <c r="E14" s="6">
        <f>SUMIFS(Timesheet!$F$13:$F$11461,Timesheet!$A$13:$A$11461,'Mês 1'!A14,Timesheet!$C$13:$C$11461,'Mês 1'!$E$40)</f>
        <v>0</v>
      </c>
      <c r="F14" s="6">
        <f>SUMIFS(Timesheet!$F$13:$F$11461,Timesheet!$A$13:$A$11461,'Mês 1'!A14,Timesheet!$C$13:$C$11461,'Mês 1'!$F$40)</f>
        <v>0</v>
      </c>
      <c r="G14" s="6">
        <f>SUMIFS(Timesheet!$F$13:$F$11461,Timesheet!$A$13:$A$11461,'Mês 1'!A14,Timesheet!$C$13:$C$11461,'Mês 1'!$G$40)</f>
        <v>0</v>
      </c>
      <c r="H14" s="6">
        <f>SUMIFS(Timesheet!$F$13:$F$2615,Timesheet!$A$13:$A$2615,'Mês 1'!A14,Timesheet!$C$13:$C$2615,'Mês 1'!$H$3)</f>
        <v>0</v>
      </c>
      <c r="I14" s="6">
        <f>SUMIFS(Timesheet!$F$13:$F$2615,Timesheet!$A$13:$A$2615,'Mês 1'!A14,Timesheet!$C$13:$C$2615,'Mês 1'!$I$3)</f>
        <v>0</v>
      </c>
      <c r="J14" s="6">
        <f>SUMIFS(Timesheet!$F$13:$F$2615,Timesheet!$A$13:$A$2615,'Mês 1'!A14,Timesheet!$C$13:$C$2615,'Mês 1'!$J$3)</f>
        <v>0</v>
      </c>
      <c r="K14" s="6">
        <f t="shared" si="0"/>
        <v>0</v>
      </c>
      <c r="L14" s="6">
        <f t="array" ref="L14">MIN(IF(Timesheet!$A$13:$A$11483='Mês 1'!A14,Timesheet!$D$13:$D$11483))</f>
        <v>0</v>
      </c>
      <c r="M14" s="6">
        <f t="array" ref="M14">MAX(IF(Timesheet!$A$13:$A$11483='Mês 1'!A14,Timesheet!$E$13:$E$11483))</f>
        <v>0</v>
      </c>
      <c r="O14" s="1">
        <v>44968</v>
      </c>
      <c r="P14" s="6">
        <f>SUMIFS(Timesheet!$F$13:$F$11461,Timesheet!$A$13:$A$11461,'Mês 1'!O14,Timesheet!$C$13:$C$11461,'Mês 1'!$B$40)</f>
        <v>0</v>
      </c>
      <c r="Q14" s="6">
        <f>SUMIFS(Timesheet!$F$13:$F$11461,Timesheet!$A$13:$A$11461,'Mês 1'!O14,Timesheet!$C$13:$C$11461,'Mês 1'!$C$40)</f>
        <v>0</v>
      </c>
      <c r="R14" s="6">
        <f>SUMIFS(Timesheet!$F$13:$F$11461,Timesheet!$A$13:$A$11461,'Mês 1'!O14,Timesheet!$C$13:$C$11461,'Mês 1'!$D$40)</f>
        <v>0</v>
      </c>
      <c r="S14" s="6">
        <f>SUMIFS(Timesheet!$F$13:$F$11461,Timesheet!$A$13:$A$11461,'Mês 1'!O14,Timesheet!$C$13:$C$11461,'Mês 1'!$E$40)</f>
        <v>0</v>
      </c>
      <c r="T14" s="6">
        <f>SUMIFS(Timesheet!$F$13:$F$11461,Timesheet!$A$13:$A$11461,'Mês 1'!O14,Timesheet!$C$13:$C$11461,'Mês 1'!$F$40)</f>
        <v>0</v>
      </c>
      <c r="U14" s="6">
        <f>SUMIFS(Timesheet!$F$13:$F$11461,Timesheet!$A$13:$A$11461,'Mês 1'!O14,Timesheet!$C$13:$C$11461,'Mês 1'!$G$40)</f>
        <v>0</v>
      </c>
      <c r="V14" s="6">
        <f>SUMIFS(Timesheet!$F$13:$F$11461,Timesheet!$A$13:$A$11461,'Mês 1'!O14,Timesheet!$C$13:$C$11461,'Mês 1'!$V$3)</f>
        <v>0</v>
      </c>
      <c r="W14" s="6">
        <f>SUMIFS(Timesheet!$F$13:$F$11461,Timesheet!$A$13:$A$11461,'Mês 1'!O14,Timesheet!$C$13:$C$11461,'Mês 1'!$W$3)</f>
        <v>0</v>
      </c>
      <c r="X14" s="6">
        <f>SUMIFS(Timesheet!$F$13:$F$11461,Timesheet!$A$13:$A$11461,'Mês 1'!O14,Timesheet!$C$13:$C$11461,'Mês 1'!$X$3)</f>
        <v>0</v>
      </c>
      <c r="Y14" s="6">
        <f t="shared" si="1"/>
        <v>0</v>
      </c>
      <c r="Z14" s="6">
        <f t="array" ref="Z14">MIN(IF(Timesheet!$A$13:$A$11483='Mês 1'!O14,Timesheet!$D$13:$D$11483))</f>
        <v>0</v>
      </c>
      <c r="AA14" s="6">
        <f t="array" ref="AA14">MAX(IF(Timesheet!$A$13:$A$11483='Mês 1'!O14,Timesheet!$E$13:$E$11483))</f>
        <v>0</v>
      </c>
    </row>
    <row r="15" spans="1:27" x14ac:dyDescent="0.25">
      <c r="A15" s="1">
        <v>44938</v>
      </c>
      <c r="B15" s="6">
        <f>SUMIFS(Timesheet!$F$13:$F$11461,Timesheet!$A$13:$A$11461,'Mês 1'!A15,Timesheet!$C$13:$C$11461,'Mês 1'!$B$40)</f>
        <v>0</v>
      </c>
      <c r="C15" s="6">
        <f>SUMIFS(Timesheet!$F$13:$F$11461,Timesheet!$A$13:$A$11461,'Mês 1'!A15,Timesheet!$C$13:$C$11461,'Mês 1'!$C$40)</f>
        <v>0</v>
      </c>
      <c r="D15" s="6">
        <f>SUMIFS(Timesheet!$F$13:$F$11461,Timesheet!$A$13:$A$11461,'Mês 1'!A15,Timesheet!$C$13:$C$11461,'Mês 1'!$D$40)</f>
        <v>0</v>
      </c>
      <c r="E15" s="6">
        <f>SUMIFS(Timesheet!$F$13:$F$11461,Timesheet!$A$13:$A$11461,'Mês 1'!A15,Timesheet!$C$13:$C$11461,'Mês 1'!$E$40)</f>
        <v>0</v>
      </c>
      <c r="F15" s="6">
        <f>SUMIFS(Timesheet!$F$13:$F$11461,Timesheet!$A$13:$A$11461,'Mês 1'!A15,Timesheet!$C$13:$C$11461,'Mês 1'!$F$40)</f>
        <v>0</v>
      </c>
      <c r="G15" s="6">
        <f>SUMIFS(Timesheet!$F$13:$F$11461,Timesheet!$A$13:$A$11461,'Mês 1'!A15,Timesheet!$C$13:$C$11461,'Mês 1'!$G$40)</f>
        <v>0</v>
      </c>
      <c r="H15" s="6">
        <f>SUMIFS(Timesheet!$F$13:$F$2615,Timesheet!$A$13:$A$2615,'Mês 1'!A15,Timesheet!$C$13:$C$2615,'Mês 1'!$H$3)</f>
        <v>0</v>
      </c>
      <c r="I15" s="6">
        <f>SUMIFS(Timesheet!$F$13:$F$2615,Timesheet!$A$13:$A$2615,'Mês 1'!A15,Timesheet!$C$13:$C$2615,'Mês 1'!$I$3)</f>
        <v>0</v>
      </c>
      <c r="J15" s="6">
        <f>SUMIFS(Timesheet!$F$13:$F$2615,Timesheet!$A$13:$A$2615,'Mês 1'!A15,Timesheet!$C$13:$C$2615,'Mês 1'!$J$3)</f>
        <v>0</v>
      </c>
      <c r="K15" s="6">
        <f t="shared" si="0"/>
        <v>0</v>
      </c>
      <c r="L15" s="6">
        <f t="array" ref="L15">MIN(IF(Timesheet!$A$13:$A$11483='Mês 1'!A15,Timesheet!$D$13:$D$11483))</f>
        <v>0</v>
      </c>
      <c r="M15" s="6">
        <f t="array" ref="M15">MAX(IF(Timesheet!$A$13:$A$11483='Mês 1'!A15,Timesheet!$E$13:$E$11483))</f>
        <v>0</v>
      </c>
      <c r="O15" s="1">
        <v>44969</v>
      </c>
      <c r="P15" s="6">
        <f>SUMIFS(Timesheet!$F$13:$F$11461,Timesheet!$A$13:$A$11461,'Mês 1'!O15,Timesheet!$C$13:$C$11461,'Mês 1'!$B$40)</f>
        <v>0</v>
      </c>
      <c r="Q15" s="6">
        <f>SUMIFS(Timesheet!$F$13:$F$11461,Timesheet!$A$13:$A$11461,'Mês 1'!O15,Timesheet!$C$13:$C$11461,'Mês 1'!$C$40)</f>
        <v>0</v>
      </c>
      <c r="R15" s="6">
        <f>SUMIFS(Timesheet!$F$13:$F$11461,Timesheet!$A$13:$A$11461,'Mês 1'!O15,Timesheet!$C$13:$C$11461,'Mês 1'!$D$40)</f>
        <v>0</v>
      </c>
      <c r="S15" s="6">
        <f>SUMIFS(Timesheet!$F$13:$F$11461,Timesheet!$A$13:$A$11461,'Mês 1'!O15,Timesheet!$C$13:$C$11461,'Mês 1'!$E$40)</f>
        <v>0</v>
      </c>
      <c r="T15" s="6">
        <f>SUMIFS(Timesheet!$F$13:$F$11461,Timesheet!$A$13:$A$11461,'Mês 1'!O15,Timesheet!$C$13:$C$11461,'Mês 1'!$F$40)</f>
        <v>0</v>
      </c>
      <c r="U15" s="6">
        <f>SUMIFS(Timesheet!$F$13:$F$11461,Timesheet!$A$13:$A$11461,'Mês 1'!O15,Timesheet!$C$13:$C$11461,'Mês 1'!$G$40)</f>
        <v>0</v>
      </c>
      <c r="V15" s="6">
        <f>SUMIFS(Timesheet!$F$13:$F$11461,Timesheet!$A$13:$A$11461,'Mês 1'!O15,Timesheet!$C$13:$C$11461,'Mês 1'!$V$3)</f>
        <v>0</v>
      </c>
      <c r="W15" s="6">
        <f>SUMIFS(Timesheet!$F$13:$F$11461,Timesheet!$A$13:$A$11461,'Mês 1'!O15,Timesheet!$C$13:$C$11461,'Mês 1'!$W$3)</f>
        <v>0</v>
      </c>
      <c r="X15" s="6">
        <f>SUMIFS(Timesheet!$F$13:$F$11461,Timesheet!$A$13:$A$11461,'Mês 1'!O15,Timesheet!$C$13:$C$11461,'Mês 1'!$X$3)</f>
        <v>0</v>
      </c>
      <c r="Y15" s="6">
        <f t="shared" si="1"/>
        <v>0</v>
      </c>
      <c r="Z15" s="6">
        <f t="array" ref="Z15">MIN(IF(Timesheet!$A$13:$A$11483='Mês 1'!O15,Timesheet!$D$13:$D$11483))</f>
        <v>0</v>
      </c>
      <c r="AA15" s="6">
        <f t="array" ref="AA15">MAX(IF(Timesheet!$A$13:$A$11483='Mês 1'!O15,Timesheet!$E$13:$E$11483))</f>
        <v>0</v>
      </c>
    </row>
    <row r="16" spans="1:27" x14ac:dyDescent="0.25">
      <c r="A16" s="1">
        <v>44939</v>
      </c>
      <c r="B16" s="6">
        <f>SUMIFS(Timesheet!$F$13:$F$11461,Timesheet!$A$13:$A$11461,'Mês 1'!A16,Timesheet!$C$13:$C$11461,'Mês 1'!$B$40)</f>
        <v>0</v>
      </c>
      <c r="C16" s="6">
        <f>SUMIFS(Timesheet!$F$13:$F$11461,Timesheet!$A$13:$A$11461,'Mês 1'!A16,Timesheet!$C$13:$C$11461,'Mês 1'!$C$40)</f>
        <v>0</v>
      </c>
      <c r="D16" s="6">
        <f>SUMIFS(Timesheet!$F$13:$F$11461,Timesheet!$A$13:$A$11461,'Mês 1'!A16,Timesheet!$C$13:$C$11461,'Mês 1'!$D$40)</f>
        <v>0</v>
      </c>
      <c r="E16" s="6">
        <f>SUMIFS(Timesheet!$F$13:$F$11461,Timesheet!$A$13:$A$11461,'Mês 1'!A16,Timesheet!$C$13:$C$11461,'Mês 1'!$E$40)</f>
        <v>0</v>
      </c>
      <c r="F16" s="6">
        <f>SUMIFS(Timesheet!$F$13:$F$11461,Timesheet!$A$13:$A$11461,'Mês 1'!A16,Timesheet!$C$13:$C$11461,'Mês 1'!$F$40)</f>
        <v>0</v>
      </c>
      <c r="G16" s="6">
        <f>SUMIFS(Timesheet!$F$13:$F$11461,Timesheet!$A$13:$A$11461,'Mês 1'!A16,Timesheet!$C$13:$C$11461,'Mês 1'!$G$40)</f>
        <v>0</v>
      </c>
      <c r="H16" s="6">
        <f>SUMIFS(Timesheet!$F$13:$F$2615,Timesheet!$A$13:$A$2615,'Mês 1'!A16,Timesheet!$C$13:$C$2615,'Mês 1'!$H$3)</f>
        <v>0</v>
      </c>
      <c r="I16" s="6">
        <f>SUMIFS(Timesheet!$F$13:$F$2615,Timesheet!$A$13:$A$2615,'Mês 1'!A16,Timesheet!$C$13:$C$2615,'Mês 1'!$I$3)</f>
        <v>0</v>
      </c>
      <c r="J16" s="6">
        <f>SUMIFS(Timesheet!$F$13:$F$2615,Timesheet!$A$13:$A$2615,'Mês 1'!A16,Timesheet!$C$13:$C$2615,'Mês 1'!$J$3)</f>
        <v>0</v>
      </c>
      <c r="K16" s="6">
        <f t="shared" si="0"/>
        <v>0</v>
      </c>
      <c r="L16" s="6">
        <f t="array" ref="L16">MIN(IF(Timesheet!$A$13:$A$11483='Mês 1'!A16,Timesheet!$D$13:$D$11483))</f>
        <v>0</v>
      </c>
      <c r="M16" s="6">
        <f t="array" ref="M16">MAX(IF(Timesheet!$A$13:$A$11483='Mês 1'!A16,Timesheet!$E$13:$E$11483))</f>
        <v>0</v>
      </c>
      <c r="O16" s="1">
        <v>44970</v>
      </c>
      <c r="P16" s="6">
        <f>SUMIFS(Timesheet!$F$13:$F$11461,Timesheet!$A$13:$A$11461,'Mês 1'!O16,Timesheet!$C$13:$C$11461,'Mês 1'!$B$40)</f>
        <v>0</v>
      </c>
      <c r="Q16" s="6">
        <f>SUMIFS(Timesheet!$F$13:$F$11461,Timesheet!$A$13:$A$11461,'Mês 1'!O16,Timesheet!$C$13:$C$11461,'Mês 1'!$C$40)</f>
        <v>0</v>
      </c>
      <c r="R16" s="6">
        <f>SUMIFS(Timesheet!$F$13:$F$11461,Timesheet!$A$13:$A$11461,'Mês 1'!O16,Timesheet!$C$13:$C$11461,'Mês 1'!$D$40)</f>
        <v>0</v>
      </c>
      <c r="S16" s="6">
        <f>SUMIFS(Timesheet!$F$13:$F$11461,Timesheet!$A$13:$A$11461,'Mês 1'!O16,Timesheet!$C$13:$C$11461,'Mês 1'!$E$40)</f>
        <v>0</v>
      </c>
      <c r="T16" s="6">
        <f>SUMIFS(Timesheet!$F$13:$F$11461,Timesheet!$A$13:$A$11461,'Mês 1'!O16,Timesheet!$C$13:$C$11461,'Mês 1'!$F$40)</f>
        <v>0</v>
      </c>
      <c r="U16" s="6">
        <f>SUMIFS(Timesheet!$F$13:$F$11461,Timesheet!$A$13:$A$11461,'Mês 1'!O16,Timesheet!$C$13:$C$11461,'Mês 1'!$G$40)</f>
        <v>0</v>
      </c>
      <c r="V16" s="6">
        <f>SUMIFS(Timesheet!$F$13:$F$11461,Timesheet!$A$13:$A$11461,'Mês 1'!O16,Timesheet!$C$13:$C$11461,'Mês 1'!$V$3)</f>
        <v>0</v>
      </c>
      <c r="W16" s="6">
        <f>SUMIFS(Timesheet!$F$13:$F$11461,Timesheet!$A$13:$A$11461,'Mês 1'!O16,Timesheet!$C$13:$C$11461,'Mês 1'!$W$3)</f>
        <v>0</v>
      </c>
      <c r="X16" s="6">
        <f>SUMIFS(Timesheet!$F$13:$F$11461,Timesheet!$A$13:$A$11461,'Mês 1'!O16,Timesheet!$C$13:$C$11461,'Mês 1'!$X$3)</f>
        <v>0</v>
      </c>
      <c r="Y16" s="6">
        <f t="shared" si="1"/>
        <v>0</v>
      </c>
      <c r="Z16" s="6">
        <f t="array" ref="Z16">MIN(IF(Timesheet!$A$13:$A$11483='Mês 1'!O16,Timesheet!$D$13:$D$11483))</f>
        <v>0</v>
      </c>
      <c r="AA16" s="6">
        <f t="array" ref="AA16">MAX(IF(Timesheet!$A$13:$A$11483='Mês 1'!O16,Timesheet!$E$13:$E$11483))</f>
        <v>0</v>
      </c>
    </row>
    <row r="17" spans="1:27" x14ac:dyDescent="0.25">
      <c r="A17" s="1">
        <v>44940</v>
      </c>
      <c r="B17" s="6">
        <f>SUMIFS(Timesheet!$F$13:$F$11461,Timesheet!$A$13:$A$11461,'Mês 1'!A17,Timesheet!$C$13:$C$11461,'Mês 1'!$B$40)</f>
        <v>0</v>
      </c>
      <c r="C17" s="6">
        <f>SUMIFS(Timesheet!$F$13:$F$11461,Timesheet!$A$13:$A$11461,'Mês 1'!A17,Timesheet!$C$13:$C$11461,'Mês 1'!$C$40)</f>
        <v>0</v>
      </c>
      <c r="D17" s="6">
        <f>SUMIFS(Timesheet!$F$13:$F$11461,Timesheet!$A$13:$A$11461,'Mês 1'!A17,Timesheet!$C$13:$C$11461,'Mês 1'!$D$40)</f>
        <v>0</v>
      </c>
      <c r="E17" s="6">
        <f>SUMIFS(Timesheet!$F$13:$F$11461,Timesheet!$A$13:$A$11461,'Mês 1'!A17,Timesheet!$C$13:$C$11461,'Mês 1'!$E$40)</f>
        <v>0</v>
      </c>
      <c r="F17" s="6">
        <f>SUMIFS(Timesheet!$F$13:$F$11461,Timesheet!$A$13:$A$11461,'Mês 1'!A17,Timesheet!$C$13:$C$11461,'Mês 1'!$F$40)</f>
        <v>0</v>
      </c>
      <c r="G17" s="6">
        <f>SUMIFS(Timesheet!$F$13:$F$11461,Timesheet!$A$13:$A$11461,'Mês 1'!A17,Timesheet!$C$13:$C$11461,'Mês 1'!$G$40)</f>
        <v>0</v>
      </c>
      <c r="H17" s="6">
        <f>SUMIFS(Timesheet!$F$13:$F$2615,Timesheet!$A$13:$A$2615,'Mês 1'!A17,Timesheet!$C$13:$C$2615,'Mês 1'!$H$3)</f>
        <v>0</v>
      </c>
      <c r="I17" s="6">
        <f>SUMIFS(Timesheet!$F$13:$F$2615,Timesheet!$A$13:$A$2615,'Mês 1'!A17,Timesheet!$C$13:$C$2615,'Mês 1'!$I$3)</f>
        <v>0</v>
      </c>
      <c r="J17" s="6">
        <f>SUMIFS(Timesheet!$F$13:$F$2615,Timesheet!$A$13:$A$2615,'Mês 1'!A17,Timesheet!$C$13:$C$2615,'Mês 1'!$J$3)</f>
        <v>0</v>
      </c>
      <c r="K17" s="6">
        <f t="shared" si="0"/>
        <v>0</v>
      </c>
      <c r="L17" s="6">
        <f t="array" ref="L17">MIN(IF(Timesheet!$A$13:$A$11483='Mês 1'!A17,Timesheet!$D$13:$D$11483))</f>
        <v>0</v>
      </c>
      <c r="M17" s="6">
        <f t="array" ref="M17">MAX(IF(Timesheet!$A$13:$A$11483='Mês 1'!A17,Timesheet!$E$13:$E$11483))</f>
        <v>0</v>
      </c>
      <c r="O17" s="1">
        <v>44971</v>
      </c>
      <c r="P17" s="6">
        <f>SUMIFS(Timesheet!$F$13:$F$11461,Timesheet!$A$13:$A$11461,'Mês 1'!O17,Timesheet!$C$13:$C$11461,'Mês 1'!$B$40)</f>
        <v>0</v>
      </c>
      <c r="Q17" s="6">
        <f>SUMIFS(Timesheet!$F$13:$F$11461,Timesheet!$A$13:$A$11461,'Mês 1'!O17,Timesheet!$C$13:$C$11461,'Mês 1'!$C$40)</f>
        <v>0</v>
      </c>
      <c r="R17" s="6">
        <f>SUMIFS(Timesheet!$F$13:$F$11461,Timesheet!$A$13:$A$11461,'Mês 1'!O17,Timesheet!$C$13:$C$11461,'Mês 1'!$D$40)</f>
        <v>0</v>
      </c>
      <c r="S17" s="6">
        <f>SUMIFS(Timesheet!$F$13:$F$11461,Timesheet!$A$13:$A$11461,'Mês 1'!O17,Timesheet!$C$13:$C$11461,'Mês 1'!$E$40)</f>
        <v>0</v>
      </c>
      <c r="T17" s="6">
        <f>SUMIFS(Timesheet!$F$13:$F$11461,Timesheet!$A$13:$A$11461,'Mês 1'!O17,Timesheet!$C$13:$C$11461,'Mês 1'!$F$40)</f>
        <v>0</v>
      </c>
      <c r="U17" s="6">
        <f>SUMIFS(Timesheet!$F$13:$F$11461,Timesheet!$A$13:$A$11461,'Mês 1'!O17,Timesheet!$C$13:$C$11461,'Mês 1'!$G$40)</f>
        <v>0</v>
      </c>
      <c r="V17" s="6">
        <f>SUMIFS(Timesheet!$F$13:$F$11461,Timesheet!$A$13:$A$11461,'Mês 1'!O17,Timesheet!$C$13:$C$11461,'Mês 1'!$V$3)</f>
        <v>0</v>
      </c>
      <c r="W17" s="6">
        <f>SUMIFS(Timesheet!$F$13:$F$11461,Timesheet!$A$13:$A$11461,'Mês 1'!O17,Timesheet!$C$13:$C$11461,'Mês 1'!$W$3)</f>
        <v>0</v>
      </c>
      <c r="X17" s="6">
        <f>SUMIFS(Timesheet!$F$13:$F$11461,Timesheet!$A$13:$A$11461,'Mês 1'!O17,Timesheet!$C$13:$C$11461,'Mês 1'!$X$3)</f>
        <v>0</v>
      </c>
      <c r="Y17" s="6">
        <f t="shared" si="1"/>
        <v>0</v>
      </c>
      <c r="Z17" s="6">
        <f t="array" ref="Z17">MIN(IF(Timesheet!$A$13:$A$11483='Mês 1'!O17,Timesheet!$D$13:$D$11483))</f>
        <v>0</v>
      </c>
      <c r="AA17" s="6">
        <f t="array" ref="AA17">MAX(IF(Timesheet!$A$13:$A$11483='Mês 1'!O17,Timesheet!$E$13:$E$11483))</f>
        <v>0</v>
      </c>
    </row>
    <row r="18" spans="1:27" x14ac:dyDescent="0.25">
      <c r="A18" s="1">
        <v>44941</v>
      </c>
      <c r="B18" s="6">
        <f>SUMIFS(Timesheet!$F$13:$F$11461,Timesheet!$A$13:$A$11461,'Mês 1'!A18,Timesheet!$C$13:$C$11461,'Mês 1'!$B$40)</f>
        <v>0</v>
      </c>
      <c r="C18" s="6">
        <f>SUMIFS(Timesheet!$F$13:$F$11461,Timesheet!$A$13:$A$11461,'Mês 1'!A18,Timesheet!$C$13:$C$11461,'Mês 1'!$C$40)</f>
        <v>0</v>
      </c>
      <c r="D18" s="6">
        <f>SUMIFS(Timesheet!$F$13:$F$11461,Timesheet!$A$13:$A$11461,'Mês 1'!A18,Timesheet!$C$13:$C$11461,'Mês 1'!$D$40)</f>
        <v>0</v>
      </c>
      <c r="E18" s="6">
        <f>SUMIFS(Timesheet!$F$13:$F$11461,Timesheet!$A$13:$A$11461,'Mês 1'!A18,Timesheet!$C$13:$C$11461,'Mês 1'!$E$40)</f>
        <v>0</v>
      </c>
      <c r="F18" s="6">
        <f>SUMIFS(Timesheet!$F$13:$F$11461,Timesheet!$A$13:$A$11461,'Mês 1'!A18,Timesheet!$C$13:$C$11461,'Mês 1'!$F$40)</f>
        <v>0</v>
      </c>
      <c r="G18" s="6">
        <f>SUMIFS(Timesheet!$F$13:$F$11461,Timesheet!$A$13:$A$11461,'Mês 1'!A18,Timesheet!$C$13:$C$11461,'Mês 1'!$G$40)</f>
        <v>0</v>
      </c>
      <c r="H18" s="6">
        <f>SUMIFS(Timesheet!$F$13:$F$2615,Timesheet!$A$13:$A$2615,'Mês 1'!A18,Timesheet!$C$13:$C$2615,'Mês 1'!$H$3)</f>
        <v>0</v>
      </c>
      <c r="I18" s="6">
        <f>SUMIFS(Timesheet!$F$13:$F$2615,Timesheet!$A$13:$A$2615,'Mês 1'!A18,Timesheet!$C$13:$C$2615,'Mês 1'!$I$3)</f>
        <v>0</v>
      </c>
      <c r="J18" s="6">
        <f>SUMIFS(Timesheet!$F$13:$F$2615,Timesheet!$A$13:$A$2615,'Mês 1'!A18,Timesheet!$C$13:$C$2615,'Mês 1'!$J$3)</f>
        <v>0</v>
      </c>
      <c r="K18" s="6">
        <f t="shared" si="0"/>
        <v>0</v>
      </c>
      <c r="L18" s="6">
        <f t="array" ref="L18">MIN(IF(Timesheet!$A$13:$A$11483='Mês 1'!A18,Timesheet!$D$13:$D$11483))</f>
        <v>0</v>
      </c>
      <c r="M18" s="6">
        <f t="array" ref="M18">MAX(IF(Timesheet!$A$13:$A$11483='Mês 1'!A18,Timesheet!$E$13:$E$11483))</f>
        <v>0</v>
      </c>
      <c r="O18" s="1">
        <v>44972</v>
      </c>
      <c r="P18" s="6">
        <f>SUMIFS(Timesheet!$F$13:$F$11461,Timesheet!$A$13:$A$11461,'Mês 1'!O18,Timesheet!$C$13:$C$11461,'Mês 1'!$B$40)</f>
        <v>0</v>
      </c>
      <c r="Q18" s="6">
        <f>SUMIFS(Timesheet!$F$13:$F$11461,Timesheet!$A$13:$A$11461,'Mês 1'!O18,Timesheet!$C$13:$C$11461,'Mês 1'!$C$40)</f>
        <v>0</v>
      </c>
      <c r="R18" s="6">
        <f>SUMIFS(Timesheet!$F$13:$F$11461,Timesheet!$A$13:$A$11461,'Mês 1'!O18,Timesheet!$C$13:$C$11461,'Mês 1'!$D$40)</f>
        <v>0</v>
      </c>
      <c r="S18" s="6">
        <f>SUMIFS(Timesheet!$F$13:$F$11461,Timesheet!$A$13:$A$11461,'Mês 1'!O18,Timesheet!$C$13:$C$11461,'Mês 1'!$E$40)</f>
        <v>0</v>
      </c>
      <c r="T18" s="6">
        <f>SUMIFS(Timesheet!$F$13:$F$11461,Timesheet!$A$13:$A$11461,'Mês 1'!O18,Timesheet!$C$13:$C$11461,'Mês 1'!$F$40)</f>
        <v>0</v>
      </c>
      <c r="U18" s="6">
        <f>SUMIFS(Timesheet!$F$13:$F$11461,Timesheet!$A$13:$A$11461,'Mês 1'!O18,Timesheet!$C$13:$C$11461,'Mês 1'!$G$40)</f>
        <v>0</v>
      </c>
      <c r="V18" s="6">
        <f>SUMIFS(Timesheet!$F$13:$F$11461,Timesheet!$A$13:$A$11461,'Mês 1'!O18,Timesheet!$C$13:$C$11461,'Mês 1'!$V$3)</f>
        <v>0</v>
      </c>
      <c r="W18" s="6">
        <f>SUMIFS(Timesheet!$F$13:$F$11461,Timesheet!$A$13:$A$11461,'Mês 1'!O18,Timesheet!$C$13:$C$11461,'Mês 1'!$W$3)</f>
        <v>0</v>
      </c>
      <c r="X18" s="6">
        <f>SUMIFS(Timesheet!$F$13:$F$11461,Timesheet!$A$13:$A$11461,'Mês 1'!O18,Timesheet!$C$13:$C$11461,'Mês 1'!$X$3)</f>
        <v>0</v>
      </c>
      <c r="Y18" s="6">
        <f t="shared" si="1"/>
        <v>0</v>
      </c>
      <c r="Z18" s="6">
        <f t="array" ref="Z18">MIN(IF(Timesheet!$A$13:$A$11483='Mês 1'!O18,Timesheet!$D$13:$D$11483))</f>
        <v>0</v>
      </c>
      <c r="AA18" s="6">
        <f t="array" ref="AA18">MAX(IF(Timesheet!$A$13:$A$11483='Mês 1'!O18,Timesheet!$E$13:$E$11483))</f>
        <v>0</v>
      </c>
    </row>
    <row r="19" spans="1:27" x14ac:dyDescent="0.25">
      <c r="A19" s="1">
        <v>44942</v>
      </c>
      <c r="B19" s="6">
        <f>SUMIFS(Timesheet!$F$13:$F$11461,Timesheet!$A$13:$A$11461,'Mês 1'!A19,Timesheet!$C$13:$C$11461,'Mês 1'!$B$40)</f>
        <v>0</v>
      </c>
      <c r="C19" s="6">
        <f>SUMIFS(Timesheet!$F$13:$F$11461,Timesheet!$A$13:$A$11461,'Mês 1'!A19,Timesheet!$C$13:$C$11461,'Mês 1'!$C$40)</f>
        <v>0</v>
      </c>
      <c r="D19" s="6">
        <f>SUMIFS(Timesheet!$F$13:$F$11461,Timesheet!$A$13:$A$11461,'Mês 1'!A19,Timesheet!$C$13:$C$11461,'Mês 1'!$D$40)</f>
        <v>0</v>
      </c>
      <c r="E19" s="6">
        <f>SUMIFS(Timesheet!$F$13:$F$11461,Timesheet!$A$13:$A$11461,'Mês 1'!A19,Timesheet!$C$13:$C$11461,'Mês 1'!$E$40)</f>
        <v>0</v>
      </c>
      <c r="F19" s="6">
        <f>SUMIFS(Timesheet!$F$13:$F$11461,Timesheet!$A$13:$A$11461,'Mês 1'!A19,Timesheet!$C$13:$C$11461,'Mês 1'!$F$40)</f>
        <v>0</v>
      </c>
      <c r="G19" s="6">
        <f>SUMIFS(Timesheet!$F$13:$F$11461,Timesheet!$A$13:$A$11461,'Mês 1'!A19,Timesheet!$C$13:$C$11461,'Mês 1'!$G$40)</f>
        <v>0</v>
      </c>
      <c r="H19" s="6">
        <f>SUMIFS(Timesheet!$F$13:$F$2615,Timesheet!$A$13:$A$2615,'Mês 1'!A19,Timesheet!$C$13:$C$2615,'Mês 1'!$H$3)</f>
        <v>0</v>
      </c>
      <c r="I19" s="6">
        <f>SUMIFS(Timesheet!$F$13:$F$2615,Timesheet!$A$13:$A$2615,'Mês 1'!A19,Timesheet!$C$13:$C$2615,'Mês 1'!$I$3)</f>
        <v>0</v>
      </c>
      <c r="J19" s="6">
        <f>SUMIFS(Timesheet!$F$13:$F$2615,Timesheet!$A$13:$A$2615,'Mês 1'!A19,Timesheet!$C$13:$C$2615,'Mês 1'!$J$3)</f>
        <v>0</v>
      </c>
      <c r="K19" s="6">
        <f t="shared" si="0"/>
        <v>0</v>
      </c>
      <c r="L19" s="6">
        <f t="array" ref="L19">MIN(IF(Timesheet!$A$13:$A$11483='Mês 1'!A19,Timesheet!$D$13:$D$11483))</f>
        <v>0</v>
      </c>
      <c r="M19" s="6">
        <f t="array" ref="M19">MAX(IF(Timesheet!$A$13:$A$11483='Mês 1'!A19,Timesheet!$E$13:$E$11483))</f>
        <v>0</v>
      </c>
      <c r="O19" s="1">
        <v>44973</v>
      </c>
      <c r="P19" s="6">
        <f>SUMIFS(Timesheet!$F$13:$F$11461,Timesheet!$A$13:$A$11461,'Mês 1'!O19,Timesheet!$C$13:$C$11461,'Mês 1'!$B$40)</f>
        <v>0</v>
      </c>
      <c r="Q19" s="6">
        <f>SUMIFS(Timesheet!$F$13:$F$11461,Timesheet!$A$13:$A$11461,'Mês 1'!O19,Timesheet!$C$13:$C$11461,'Mês 1'!$C$40)</f>
        <v>0</v>
      </c>
      <c r="R19" s="6">
        <f>SUMIFS(Timesheet!$F$13:$F$11461,Timesheet!$A$13:$A$11461,'Mês 1'!O19,Timesheet!$C$13:$C$11461,'Mês 1'!$D$40)</f>
        <v>0</v>
      </c>
      <c r="S19" s="6">
        <f>SUMIFS(Timesheet!$F$13:$F$11461,Timesheet!$A$13:$A$11461,'Mês 1'!O19,Timesheet!$C$13:$C$11461,'Mês 1'!$E$40)</f>
        <v>0</v>
      </c>
      <c r="T19" s="6">
        <f>SUMIFS(Timesheet!$F$13:$F$11461,Timesheet!$A$13:$A$11461,'Mês 1'!O19,Timesheet!$C$13:$C$11461,'Mês 1'!$F$40)</f>
        <v>0</v>
      </c>
      <c r="U19" s="6">
        <f>SUMIFS(Timesheet!$F$13:$F$11461,Timesheet!$A$13:$A$11461,'Mês 1'!O19,Timesheet!$C$13:$C$11461,'Mês 1'!$G$40)</f>
        <v>0</v>
      </c>
      <c r="V19" s="6">
        <f>SUMIFS(Timesheet!$F$13:$F$11461,Timesheet!$A$13:$A$11461,'Mês 1'!O19,Timesheet!$C$13:$C$11461,'Mês 1'!$V$3)</f>
        <v>0</v>
      </c>
      <c r="W19" s="6">
        <f>SUMIFS(Timesheet!$F$13:$F$11461,Timesheet!$A$13:$A$11461,'Mês 1'!O19,Timesheet!$C$13:$C$11461,'Mês 1'!$W$3)</f>
        <v>0</v>
      </c>
      <c r="X19" s="6">
        <f>SUMIFS(Timesheet!$F$13:$F$11461,Timesheet!$A$13:$A$11461,'Mês 1'!O19,Timesheet!$C$13:$C$11461,'Mês 1'!$X$3)</f>
        <v>0</v>
      </c>
      <c r="Y19" s="6">
        <f t="shared" si="1"/>
        <v>0</v>
      </c>
      <c r="Z19" s="6">
        <f t="array" ref="Z19">MIN(IF(Timesheet!$A$13:$A$11483='Mês 1'!O19,Timesheet!$D$13:$D$11483))</f>
        <v>0</v>
      </c>
      <c r="AA19" s="6">
        <f t="array" ref="AA19">MAX(IF(Timesheet!$A$13:$A$11483='Mês 1'!O19,Timesheet!$E$13:$E$11483))</f>
        <v>0</v>
      </c>
    </row>
    <row r="20" spans="1:27" x14ac:dyDescent="0.25">
      <c r="A20" s="1">
        <v>44943</v>
      </c>
      <c r="B20" s="6">
        <f>SUMIFS(Timesheet!$F$13:$F$11461,Timesheet!$A$13:$A$11461,'Mês 1'!A20,Timesheet!$C$13:$C$11461,'Mês 1'!$B$40)</f>
        <v>0</v>
      </c>
      <c r="C20" s="6">
        <f>SUMIFS(Timesheet!$F$13:$F$11461,Timesheet!$A$13:$A$11461,'Mês 1'!A20,Timesheet!$C$13:$C$11461,'Mês 1'!$C$40)</f>
        <v>0</v>
      </c>
      <c r="D20" s="6">
        <f>SUMIFS(Timesheet!$F$13:$F$11461,Timesheet!$A$13:$A$11461,'Mês 1'!A20,Timesheet!$C$13:$C$11461,'Mês 1'!$D$40)</f>
        <v>0</v>
      </c>
      <c r="E20" s="6">
        <f>SUMIFS(Timesheet!$F$13:$F$11461,Timesheet!$A$13:$A$11461,'Mês 1'!A20,Timesheet!$C$13:$C$11461,'Mês 1'!$E$40)</f>
        <v>0</v>
      </c>
      <c r="F20" s="6">
        <f>SUMIFS(Timesheet!$F$13:$F$11461,Timesheet!$A$13:$A$11461,'Mês 1'!A20,Timesheet!$C$13:$C$11461,'Mês 1'!$F$40)</f>
        <v>0</v>
      </c>
      <c r="G20" s="6">
        <f>SUMIFS(Timesheet!$F$13:$F$11461,Timesheet!$A$13:$A$11461,'Mês 1'!A20,Timesheet!$C$13:$C$11461,'Mês 1'!$G$40)</f>
        <v>0</v>
      </c>
      <c r="H20" s="6">
        <f>SUMIFS(Timesheet!$F$13:$F$2615,Timesheet!$A$13:$A$2615,'Mês 1'!A20,Timesheet!$C$13:$C$2615,'Mês 1'!$H$3)</f>
        <v>0</v>
      </c>
      <c r="I20" s="6">
        <f>SUMIFS(Timesheet!$F$13:$F$2615,Timesheet!$A$13:$A$2615,'Mês 1'!A20,Timesheet!$C$13:$C$2615,'Mês 1'!$I$3)</f>
        <v>0</v>
      </c>
      <c r="J20" s="6">
        <f>SUMIFS(Timesheet!$F$13:$F$2615,Timesheet!$A$13:$A$2615,'Mês 1'!A20,Timesheet!$C$13:$C$2615,'Mês 1'!$J$3)</f>
        <v>0</v>
      </c>
      <c r="K20" s="6">
        <f t="shared" si="0"/>
        <v>0</v>
      </c>
      <c r="L20" s="6">
        <f t="array" ref="L20">MIN(IF(Timesheet!$A$13:$A$11483='Mês 1'!A20,Timesheet!$D$13:$D$11483))</f>
        <v>0</v>
      </c>
      <c r="M20" s="6">
        <f t="array" ref="M20">MAX(IF(Timesheet!$A$13:$A$11483='Mês 1'!A20,Timesheet!$E$13:$E$11483))</f>
        <v>0</v>
      </c>
      <c r="O20" s="1">
        <v>44974</v>
      </c>
      <c r="P20" s="6">
        <f>SUMIFS(Timesheet!$F$13:$F$11461,Timesheet!$A$13:$A$11461,'Mês 1'!O20,Timesheet!$C$13:$C$11461,'Mês 1'!$B$40)</f>
        <v>0</v>
      </c>
      <c r="Q20" s="6">
        <f>SUMIFS(Timesheet!$F$13:$F$11461,Timesheet!$A$13:$A$11461,'Mês 1'!O20,Timesheet!$C$13:$C$11461,'Mês 1'!$C$40)</f>
        <v>0</v>
      </c>
      <c r="R20" s="6">
        <f>SUMIFS(Timesheet!$F$13:$F$11461,Timesheet!$A$13:$A$11461,'Mês 1'!O20,Timesheet!$C$13:$C$11461,'Mês 1'!$D$40)</f>
        <v>0</v>
      </c>
      <c r="S20" s="6">
        <f>SUMIFS(Timesheet!$F$13:$F$11461,Timesheet!$A$13:$A$11461,'Mês 1'!O20,Timesheet!$C$13:$C$11461,'Mês 1'!$E$40)</f>
        <v>0</v>
      </c>
      <c r="T20" s="6">
        <f>SUMIFS(Timesheet!$F$13:$F$11461,Timesheet!$A$13:$A$11461,'Mês 1'!O20,Timesheet!$C$13:$C$11461,'Mês 1'!$F$40)</f>
        <v>0</v>
      </c>
      <c r="U20" s="6">
        <f>SUMIFS(Timesheet!$F$13:$F$11461,Timesheet!$A$13:$A$11461,'Mês 1'!O20,Timesheet!$C$13:$C$11461,'Mês 1'!$G$40)</f>
        <v>0</v>
      </c>
      <c r="V20" s="6">
        <f>SUMIFS(Timesheet!$F$13:$F$11461,Timesheet!$A$13:$A$11461,'Mês 1'!O20,Timesheet!$C$13:$C$11461,'Mês 1'!$V$3)</f>
        <v>0</v>
      </c>
      <c r="W20" s="6">
        <f>SUMIFS(Timesheet!$F$13:$F$11461,Timesheet!$A$13:$A$11461,'Mês 1'!O20,Timesheet!$C$13:$C$11461,'Mês 1'!$W$3)</f>
        <v>0</v>
      </c>
      <c r="X20" s="6">
        <f>SUMIFS(Timesheet!$F$13:$F$11461,Timesheet!$A$13:$A$11461,'Mês 1'!O20,Timesheet!$C$13:$C$11461,'Mês 1'!$X$3)</f>
        <v>0</v>
      </c>
      <c r="Y20" s="6">
        <f t="shared" si="1"/>
        <v>0</v>
      </c>
      <c r="Z20" s="6">
        <f t="array" ref="Z20">MIN(IF(Timesheet!$A$13:$A$11483='Mês 1'!O20,Timesheet!$D$13:$D$11483))</f>
        <v>0</v>
      </c>
      <c r="AA20" s="6">
        <f t="array" ref="AA20">MAX(IF(Timesheet!$A$13:$A$11483='Mês 1'!O20,Timesheet!$E$13:$E$11483))</f>
        <v>0</v>
      </c>
    </row>
    <row r="21" spans="1:27" x14ac:dyDescent="0.25">
      <c r="A21" s="1">
        <v>44944</v>
      </c>
      <c r="B21" s="6">
        <f>SUMIFS(Timesheet!$F$13:$F$11461,Timesheet!$A$13:$A$11461,'Mês 1'!A21,Timesheet!$C$13:$C$11461,'Mês 1'!$B$40)</f>
        <v>0</v>
      </c>
      <c r="C21" s="6">
        <f>SUMIFS(Timesheet!$F$13:$F$11461,Timesheet!$A$13:$A$11461,'Mês 1'!A21,Timesheet!$C$13:$C$11461,'Mês 1'!$C$40)</f>
        <v>0</v>
      </c>
      <c r="D21" s="6">
        <f>SUMIFS(Timesheet!$F$13:$F$11461,Timesheet!$A$13:$A$11461,'Mês 1'!A21,Timesheet!$C$13:$C$11461,'Mês 1'!$D$40)</f>
        <v>0</v>
      </c>
      <c r="E21" s="6">
        <f>SUMIFS(Timesheet!$F$13:$F$11461,Timesheet!$A$13:$A$11461,'Mês 1'!A21,Timesheet!$C$13:$C$11461,'Mês 1'!$E$40)</f>
        <v>0</v>
      </c>
      <c r="F21" s="6">
        <f>SUMIFS(Timesheet!$F$13:$F$11461,Timesheet!$A$13:$A$11461,'Mês 1'!A21,Timesheet!$C$13:$C$11461,'Mês 1'!$F$40)</f>
        <v>0</v>
      </c>
      <c r="G21" s="6">
        <f>SUMIFS(Timesheet!$F$13:$F$11461,Timesheet!$A$13:$A$11461,'Mês 1'!A21,Timesheet!$C$13:$C$11461,'Mês 1'!$G$40)</f>
        <v>0</v>
      </c>
      <c r="H21" s="6">
        <f>SUMIFS(Timesheet!$F$13:$F$2615,Timesheet!$A$13:$A$2615,'Mês 1'!A21,Timesheet!$C$13:$C$2615,'Mês 1'!$H$3)</f>
        <v>0</v>
      </c>
      <c r="I21" s="6">
        <f>SUMIFS(Timesheet!$F$13:$F$2615,Timesheet!$A$13:$A$2615,'Mês 1'!A21,Timesheet!$C$13:$C$2615,'Mês 1'!$I$3)</f>
        <v>0</v>
      </c>
      <c r="J21" s="6">
        <f>SUMIFS(Timesheet!$F$13:$F$2615,Timesheet!$A$13:$A$2615,'Mês 1'!A21,Timesheet!$C$13:$C$2615,'Mês 1'!$J$3)</f>
        <v>0</v>
      </c>
      <c r="K21" s="6">
        <f t="shared" si="0"/>
        <v>0</v>
      </c>
      <c r="L21" s="6">
        <f t="array" ref="L21">MIN(IF(Timesheet!$A$13:$A$11483='Mês 1'!A21,Timesheet!$D$13:$D$11483))</f>
        <v>0</v>
      </c>
      <c r="M21" s="6">
        <f t="array" ref="M21">MAX(IF(Timesheet!$A$13:$A$11483='Mês 1'!A21,Timesheet!$E$13:$E$11483))</f>
        <v>0</v>
      </c>
      <c r="O21" s="1">
        <v>44975</v>
      </c>
      <c r="P21" s="6">
        <f>SUMIFS(Timesheet!$F$13:$F$11461,Timesheet!$A$13:$A$11461,'Mês 1'!O21,Timesheet!$C$13:$C$11461,'Mês 1'!$B$40)</f>
        <v>0</v>
      </c>
      <c r="Q21" s="6">
        <f>SUMIFS(Timesheet!$F$13:$F$11461,Timesheet!$A$13:$A$11461,'Mês 1'!O21,Timesheet!$C$13:$C$11461,'Mês 1'!$C$40)</f>
        <v>0</v>
      </c>
      <c r="R21" s="6">
        <f>SUMIFS(Timesheet!$F$13:$F$11461,Timesheet!$A$13:$A$11461,'Mês 1'!O21,Timesheet!$C$13:$C$11461,'Mês 1'!$D$40)</f>
        <v>0</v>
      </c>
      <c r="S21" s="6">
        <f>SUMIFS(Timesheet!$F$13:$F$11461,Timesheet!$A$13:$A$11461,'Mês 1'!O21,Timesheet!$C$13:$C$11461,'Mês 1'!$E$40)</f>
        <v>0</v>
      </c>
      <c r="T21" s="6">
        <f>SUMIFS(Timesheet!$F$13:$F$11461,Timesheet!$A$13:$A$11461,'Mês 1'!O21,Timesheet!$C$13:$C$11461,'Mês 1'!$F$40)</f>
        <v>0</v>
      </c>
      <c r="U21" s="6">
        <f>SUMIFS(Timesheet!$F$13:$F$11461,Timesheet!$A$13:$A$11461,'Mês 1'!O21,Timesheet!$C$13:$C$11461,'Mês 1'!$G$40)</f>
        <v>0</v>
      </c>
      <c r="V21" s="6">
        <f>SUMIFS(Timesheet!$F$13:$F$11461,Timesheet!$A$13:$A$11461,'Mês 1'!O21,Timesheet!$C$13:$C$11461,'Mês 1'!$V$3)</f>
        <v>0</v>
      </c>
      <c r="W21" s="6">
        <f>SUMIFS(Timesheet!$F$13:$F$11461,Timesheet!$A$13:$A$11461,'Mês 1'!O21,Timesheet!$C$13:$C$11461,'Mês 1'!$W$3)</f>
        <v>0</v>
      </c>
      <c r="X21" s="6">
        <f>SUMIFS(Timesheet!$F$13:$F$11461,Timesheet!$A$13:$A$11461,'Mês 1'!O21,Timesheet!$C$13:$C$11461,'Mês 1'!$X$3)</f>
        <v>0</v>
      </c>
      <c r="Y21" s="6">
        <f t="shared" si="1"/>
        <v>0</v>
      </c>
      <c r="Z21" s="6">
        <f t="array" ref="Z21">MIN(IF(Timesheet!$A$13:$A$11483='Mês 1'!O21,Timesheet!$D$13:$D$11483))</f>
        <v>0</v>
      </c>
      <c r="AA21" s="6">
        <f t="array" ref="AA21">MAX(IF(Timesheet!$A$13:$A$11483='Mês 1'!O21,Timesheet!$E$13:$E$11483))</f>
        <v>0</v>
      </c>
    </row>
    <row r="22" spans="1:27" x14ac:dyDescent="0.25">
      <c r="A22" s="1">
        <v>44945</v>
      </c>
      <c r="B22" s="6">
        <f>SUMIFS(Timesheet!$F$13:$F$11461,Timesheet!$A$13:$A$11461,'Mês 1'!A22,Timesheet!$C$13:$C$11461,'Mês 1'!$B$40)</f>
        <v>0</v>
      </c>
      <c r="C22" s="6">
        <f>SUMIFS(Timesheet!$F$13:$F$11461,Timesheet!$A$13:$A$11461,'Mês 1'!A22,Timesheet!$C$13:$C$11461,'Mês 1'!$C$40)</f>
        <v>0</v>
      </c>
      <c r="D22" s="6">
        <f>SUMIFS(Timesheet!$F$13:$F$11461,Timesheet!$A$13:$A$11461,'Mês 1'!A22,Timesheet!$C$13:$C$11461,'Mês 1'!$D$40)</f>
        <v>0</v>
      </c>
      <c r="E22" s="6">
        <f>SUMIFS(Timesheet!$F$13:$F$11461,Timesheet!$A$13:$A$11461,'Mês 1'!A22,Timesheet!$C$13:$C$11461,'Mês 1'!$E$40)</f>
        <v>0</v>
      </c>
      <c r="F22" s="6">
        <f>SUMIFS(Timesheet!$F$13:$F$11461,Timesheet!$A$13:$A$11461,'Mês 1'!A22,Timesheet!$C$13:$C$11461,'Mês 1'!$F$40)</f>
        <v>0</v>
      </c>
      <c r="G22" s="6">
        <f>SUMIFS(Timesheet!$F$13:$F$11461,Timesheet!$A$13:$A$11461,'Mês 1'!A22,Timesheet!$C$13:$C$11461,'Mês 1'!$G$40)</f>
        <v>0</v>
      </c>
      <c r="H22" s="6">
        <f>SUMIFS(Timesheet!$F$13:$F$2615,Timesheet!$A$13:$A$2615,'Mês 1'!A22,Timesheet!$C$13:$C$2615,'Mês 1'!$H$3)</f>
        <v>0</v>
      </c>
      <c r="I22" s="6">
        <f>SUMIFS(Timesheet!$F$13:$F$2615,Timesheet!$A$13:$A$2615,'Mês 1'!A22,Timesheet!$C$13:$C$2615,'Mês 1'!$I$3)</f>
        <v>0</v>
      </c>
      <c r="J22" s="6">
        <f>SUMIFS(Timesheet!$F$13:$F$2615,Timesheet!$A$13:$A$2615,'Mês 1'!A22,Timesheet!$C$13:$C$2615,'Mês 1'!$J$3)</f>
        <v>0</v>
      </c>
      <c r="K22" s="6">
        <f t="shared" si="0"/>
        <v>0</v>
      </c>
      <c r="L22" s="6">
        <f t="array" ref="L22">MIN(IF(Timesheet!$A$13:$A$11483='Mês 1'!A22,Timesheet!$D$13:$D$11483))</f>
        <v>0</v>
      </c>
      <c r="M22" s="6">
        <f t="array" ref="M22">MAX(IF(Timesheet!$A$13:$A$11483='Mês 1'!A22,Timesheet!$E$13:$E$11483))</f>
        <v>0</v>
      </c>
      <c r="O22" s="1">
        <v>44976</v>
      </c>
      <c r="P22" s="6">
        <f>SUMIFS(Timesheet!$F$13:$F$11461,Timesheet!$A$13:$A$11461,'Mês 1'!O22,Timesheet!$C$13:$C$11461,'Mês 1'!$B$40)</f>
        <v>0</v>
      </c>
      <c r="Q22" s="6">
        <f>SUMIFS(Timesheet!$F$13:$F$11461,Timesheet!$A$13:$A$11461,'Mês 1'!O22,Timesheet!$C$13:$C$11461,'Mês 1'!$C$40)</f>
        <v>0</v>
      </c>
      <c r="R22" s="6">
        <f>SUMIFS(Timesheet!$F$13:$F$11461,Timesheet!$A$13:$A$11461,'Mês 1'!O22,Timesheet!$C$13:$C$11461,'Mês 1'!$D$40)</f>
        <v>0</v>
      </c>
      <c r="S22" s="6">
        <f>SUMIFS(Timesheet!$F$13:$F$11461,Timesheet!$A$13:$A$11461,'Mês 1'!O22,Timesheet!$C$13:$C$11461,'Mês 1'!$E$40)</f>
        <v>0</v>
      </c>
      <c r="T22" s="6">
        <f>SUMIFS(Timesheet!$F$13:$F$11461,Timesheet!$A$13:$A$11461,'Mês 1'!O22,Timesheet!$C$13:$C$11461,'Mês 1'!$F$40)</f>
        <v>0</v>
      </c>
      <c r="U22" s="6">
        <f>SUMIFS(Timesheet!$F$13:$F$11461,Timesheet!$A$13:$A$11461,'Mês 1'!O22,Timesheet!$C$13:$C$11461,'Mês 1'!$G$40)</f>
        <v>0</v>
      </c>
      <c r="V22" s="6">
        <f>SUMIFS(Timesheet!$F$13:$F$11461,Timesheet!$A$13:$A$11461,'Mês 1'!O22,Timesheet!$C$13:$C$11461,'Mês 1'!$V$3)</f>
        <v>0</v>
      </c>
      <c r="W22" s="6">
        <f>SUMIFS(Timesheet!$F$13:$F$11461,Timesheet!$A$13:$A$11461,'Mês 1'!O22,Timesheet!$C$13:$C$11461,'Mês 1'!$W$3)</f>
        <v>0</v>
      </c>
      <c r="X22" s="6">
        <f>SUMIFS(Timesheet!$F$13:$F$11461,Timesheet!$A$13:$A$11461,'Mês 1'!O22,Timesheet!$C$13:$C$11461,'Mês 1'!$X$3)</f>
        <v>0</v>
      </c>
      <c r="Y22" s="6">
        <f t="shared" si="1"/>
        <v>0</v>
      </c>
      <c r="Z22" s="6">
        <f t="array" ref="Z22">MIN(IF(Timesheet!$A$13:$A$11483='Mês 1'!O22,Timesheet!$D$13:$D$11483))</f>
        <v>0</v>
      </c>
      <c r="AA22" s="6">
        <f t="array" ref="AA22">MAX(IF(Timesheet!$A$13:$A$11483='Mês 1'!O22,Timesheet!$E$13:$E$11483))</f>
        <v>0</v>
      </c>
    </row>
    <row r="23" spans="1:27" x14ac:dyDescent="0.25">
      <c r="A23" s="1">
        <v>44946</v>
      </c>
      <c r="B23" s="6">
        <f>SUMIFS(Timesheet!$F$13:$F$11461,Timesheet!$A$13:$A$11461,'Mês 1'!A23,Timesheet!$C$13:$C$11461,'Mês 1'!$B$40)</f>
        <v>0</v>
      </c>
      <c r="C23" s="6">
        <f>SUMIFS(Timesheet!$F$13:$F$11461,Timesheet!$A$13:$A$11461,'Mês 1'!A23,Timesheet!$C$13:$C$11461,'Mês 1'!$C$40)</f>
        <v>0</v>
      </c>
      <c r="D23" s="6">
        <f>SUMIFS(Timesheet!$F$13:$F$11461,Timesheet!$A$13:$A$11461,'Mês 1'!A23,Timesheet!$C$13:$C$11461,'Mês 1'!$D$40)</f>
        <v>0</v>
      </c>
      <c r="E23" s="6">
        <f>SUMIFS(Timesheet!$F$13:$F$11461,Timesheet!$A$13:$A$11461,'Mês 1'!A23,Timesheet!$C$13:$C$11461,'Mês 1'!$E$40)</f>
        <v>0</v>
      </c>
      <c r="F23" s="6">
        <f>SUMIFS(Timesheet!$F$13:$F$11461,Timesheet!$A$13:$A$11461,'Mês 1'!A23,Timesheet!$C$13:$C$11461,'Mês 1'!$F$40)</f>
        <v>0</v>
      </c>
      <c r="G23" s="6">
        <f>SUMIFS(Timesheet!$F$13:$F$11461,Timesheet!$A$13:$A$11461,'Mês 1'!A23,Timesheet!$C$13:$C$11461,'Mês 1'!$G$40)</f>
        <v>0</v>
      </c>
      <c r="H23" s="6">
        <f>SUMIFS(Timesheet!$F$13:$F$2615,Timesheet!$A$13:$A$2615,'Mês 1'!A23,Timesheet!$C$13:$C$2615,'Mês 1'!$H$3)</f>
        <v>0</v>
      </c>
      <c r="I23" s="6">
        <f>SUMIFS(Timesheet!$F$13:$F$2615,Timesheet!$A$13:$A$2615,'Mês 1'!A23,Timesheet!$C$13:$C$2615,'Mês 1'!$I$3)</f>
        <v>0</v>
      </c>
      <c r="J23" s="6">
        <f>SUMIFS(Timesheet!$F$13:$F$2615,Timesheet!$A$13:$A$2615,'Mês 1'!A23,Timesheet!$C$13:$C$2615,'Mês 1'!$J$3)</f>
        <v>0</v>
      </c>
      <c r="K23" s="6">
        <f t="shared" si="0"/>
        <v>0</v>
      </c>
      <c r="L23" s="6">
        <f t="array" ref="L23">MIN(IF(Timesheet!$A$13:$A$11483='Mês 1'!A23,Timesheet!$D$13:$D$11483))</f>
        <v>0</v>
      </c>
      <c r="M23" s="6">
        <f t="array" ref="M23">MAX(IF(Timesheet!$A$13:$A$11483='Mês 1'!A23,Timesheet!$E$13:$E$11483))</f>
        <v>0</v>
      </c>
      <c r="O23" s="1">
        <v>44977</v>
      </c>
      <c r="P23" s="6">
        <f>SUMIFS(Timesheet!$F$13:$F$11461,Timesheet!$A$13:$A$11461,'Mês 1'!O23,Timesheet!$C$13:$C$11461,'Mês 1'!$B$40)</f>
        <v>0</v>
      </c>
      <c r="Q23" s="6">
        <f>SUMIFS(Timesheet!$F$13:$F$11461,Timesheet!$A$13:$A$11461,'Mês 1'!O23,Timesheet!$C$13:$C$11461,'Mês 1'!$C$40)</f>
        <v>0</v>
      </c>
      <c r="R23" s="6">
        <f>SUMIFS(Timesheet!$F$13:$F$11461,Timesheet!$A$13:$A$11461,'Mês 1'!O23,Timesheet!$C$13:$C$11461,'Mês 1'!$D$40)</f>
        <v>0</v>
      </c>
      <c r="S23" s="6">
        <f>SUMIFS(Timesheet!$F$13:$F$11461,Timesheet!$A$13:$A$11461,'Mês 1'!O23,Timesheet!$C$13:$C$11461,'Mês 1'!$E$40)</f>
        <v>0</v>
      </c>
      <c r="T23" s="6">
        <f>SUMIFS(Timesheet!$F$13:$F$11461,Timesheet!$A$13:$A$11461,'Mês 1'!O23,Timesheet!$C$13:$C$11461,'Mês 1'!$F$40)</f>
        <v>0</v>
      </c>
      <c r="U23" s="6">
        <f>SUMIFS(Timesheet!$F$13:$F$11461,Timesheet!$A$13:$A$11461,'Mês 1'!O23,Timesheet!$C$13:$C$11461,'Mês 1'!$G$40)</f>
        <v>0</v>
      </c>
      <c r="V23" s="6">
        <f>SUMIFS(Timesheet!$F$13:$F$11461,Timesheet!$A$13:$A$11461,'Mês 1'!O23,Timesheet!$C$13:$C$11461,'Mês 1'!$V$3)</f>
        <v>0</v>
      </c>
      <c r="W23" s="6">
        <f>SUMIFS(Timesheet!$F$13:$F$11461,Timesheet!$A$13:$A$11461,'Mês 1'!O23,Timesheet!$C$13:$C$11461,'Mês 1'!$W$3)</f>
        <v>0</v>
      </c>
      <c r="X23" s="6">
        <f>SUMIFS(Timesheet!$F$13:$F$11461,Timesheet!$A$13:$A$11461,'Mês 1'!O23,Timesheet!$C$13:$C$11461,'Mês 1'!$X$3)</f>
        <v>0</v>
      </c>
      <c r="Y23" s="6">
        <f t="shared" si="1"/>
        <v>0</v>
      </c>
      <c r="Z23" s="6">
        <f t="array" ref="Z23">MIN(IF(Timesheet!$A$13:$A$11483='Mês 1'!O23,Timesheet!$D$13:$D$11483))</f>
        <v>0</v>
      </c>
      <c r="AA23" s="6">
        <f t="array" ref="AA23">MAX(IF(Timesheet!$A$13:$A$11483='Mês 1'!O23,Timesheet!$E$13:$E$11483))</f>
        <v>0</v>
      </c>
    </row>
    <row r="24" spans="1:27" x14ac:dyDescent="0.25">
      <c r="A24" s="1">
        <v>44947</v>
      </c>
      <c r="B24" s="6">
        <f>SUMIFS(Timesheet!$F$13:$F$11461,Timesheet!$A$13:$A$11461,'Mês 1'!A24,Timesheet!$C$13:$C$11461,'Mês 1'!$B$40)</f>
        <v>0</v>
      </c>
      <c r="C24" s="6">
        <f>SUMIFS(Timesheet!$F$13:$F$11461,Timesheet!$A$13:$A$11461,'Mês 1'!A24,Timesheet!$C$13:$C$11461,'Mês 1'!$C$40)</f>
        <v>0</v>
      </c>
      <c r="D24" s="6">
        <f>SUMIFS(Timesheet!$F$13:$F$11461,Timesheet!$A$13:$A$11461,'Mês 1'!A24,Timesheet!$C$13:$C$11461,'Mês 1'!$D$40)</f>
        <v>0</v>
      </c>
      <c r="E24" s="6">
        <f>SUMIFS(Timesheet!$F$13:$F$11461,Timesheet!$A$13:$A$11461,'Mês 1'!A24,Timesheet!$C$13:$C$11461,'Mês 1'!$E$40)</f>
        <v>0</v>
      </c>
      <c r="F24" s="6">
        <f>SUMIFS(Timesheet!$F$13:$F$11461,Timesheet!$A$13:$A$11461,'Mês 1'!A24,Timesheet!$C$13:$C$11461,'Mês 1'!$F$40)</f>
        <v>0</v>
      </c>
      <c r="G24" s="6">
        <f>SUMIFS(Timesheet!$F$13:$F$11461,Timesheet!$A$13:$A$11461,'Mês 1'!A24,Timesheet!$C$13:$C$11461,'Mês 1'!$G$40)</f>
        <v>0</v>
      </c>
      <c r="H24" s="6">
        <f>SUMIFS(Timesheet!$F$13:$F$2615,Timesheet!$A$13:$A$2615,'Mês 1'!A24,Timesheet!$C$13:$C$2615,'Mês 1'!$H$3)</f>
        <v>0</v>
      </c>
      <c r="I24" s="6">
        <f>SUMIFS(Timesheet!$F$13:$F$2615,Timesheet!$A$13:$A$2615,'Mês 1'!A24,Timesheet!$C$13:$C$2615,'Mês 1'!$I$3)</f>
        <v>0</v>
      </c>
      <c r="J24" s="6">
        <f>SUMIFS(Timesheet!$F$13:$F$2615,Timesheet!$A$13:$A$2615,'Mês 1'!A24,Timesheet!$C$13:$C$2615,'Mês 1'!$J$3)</f>
        <v>0</v>
      </c>
      <c r="K24" s="6">
        <f t="shared" si="0"/>
        <v>0</v>
      </c>
      <c r="L24" s="6">
        <f t="array" ref="L24">MIN(IF(Timesheet!$A$13:$A$11483='Mês 1'!A24,Timesheet!$D$13:$D$11483))</f>
        <v>0</v>
      </c>
      <c r="M24" s="6">
        <f t="array" ref="M24">MAX(IF(Timesheet!$A$13:$A$11483='Mês 1'!A24,Timesheet!$E$13:$E$11483))</f>
        <v>0</v>
      </c>
      <c r="O24" s="1">
        <v>44978</v>
      </c>
      <c r="P24" s="6">
        <f>SUMIFS(Timesheet!$F$13:$F$11461,Timesheet!$A$13:$A$11461,'Mês 1'!O24,Timesheet!$C$13:$C$11461,'Mês 1'!$B$40)</f>
        <v>0</v>
      </c>
      <c r="Q24" s="6">
        <f>SUMIFS(Timesheet!$F$13:$F$11461,Timesheet!$A$13:$A$11461,'Mês 1'!O24,Timesheet!$C$13:$C$11461,'Mês 1'!$C$40)</f>
        <v>0</v>
      </c>
      <c r="R24" s="6">
        <f>SUMIFS(Timesheet!$F$13:$F$11461,Timesheet!$A$13:$A$11461,'Mês 1'!O24,Timesheet!$C$13:$C$11461,'Mês 1'!$D$40)</f>
        <v>0</v>
      </c>
      <c r="S24" s="6">
        <f>SUMIFS(Timesheet!$F$13:$F$11461,Timesheet!$A$13:$A$11461,'Mês 1'!O24,Timesheet!$C$13:$C$11461,'Mês 1'!$E$40)</f>
        <v>0</v>
      </c>
      <c r="T24" s="6">
        <f>SUMIFS(Timesheet!$F$13:$F$11461,Timesheet!$A$13:$A$11461,'Mês 1'!O24,Timesheet!$C$13:$C$11461,'Mês 1'!$F$40)</f>
        <v>0</v>
      </c>
      <c r="U24" s="6">
        <f>SUMIFS(Timesheet!$F$13:$F$11461,Timesheet!$A$13:$A$11461,'Mês 1'!O24,Timesheet!$C$13:$C$11461,'Mês 1'!$G$40)</f>
        <v>0</v>
      </c>
      <c r="V24" s="6">
        <f>SUMIFS(Timesheet!$F$13:$F$11461,Timesheet!$A$13:$A$11461,'Mês 1'!O24,Timesheet!$C$13:$C$11461,'Mês 1'!$V$3)</f>
        <v>0</v>
      </c>
      <c r="W24" s="6">
        <f>SUMIFS(Timesheet!$F$13:$F$11461,Timesheet!$A$13:$A$11461,'Mês 1'!O24,Timesheet!$C$13:$C$11461,'Mês 1'!$W$3)</f>
        <v>0</v>
      </c>
      <c r="X24" s="6">
        <f>SUMIFS(Timesheet!$F$13:$F$11461,Timesheet!$A$13:$A$11461,'Mês 1'!O24,Timesheet!$C$13:$C$11461,'Mês 1'!$X$3)</f>
        <v>0</v>
      </c>
      <c r="Y24" s="6">
        <f t="shared" si="1"/>
        <v>0</v>
      </c>
      <c r="Z24" s="6">
        <f t="array" ref="Z24">MIN(IF(Timesheet!$A$13:$A$11483='Mês 1'!O24,Timesheet!$D$13:$D$11483))</f>
        <v>0</v>
      </c>
      <c r="AA24" s="6">
        <f t="array" ref="AA24">MAX(IF(Timesheet!$A$13:$A$11483='Mês 1'!O24,Timesheet!$E$13:$E$11483))</f>
        <v>0</v>
      </c>
    </row>
    <row r="25" spans="1:27" x14ac:dyDescent="0.25">
      <c r="A25" s="1">
        <v>44948</v>
      </c>
      <c r="B25" s="6">
        <f>SUMIFS(Timesheet!$F$13:$F$11461,Timesheet!$A$13:$A$11461,'Mês 1'!A25,Timesheet!$C$13:$C$11461,'Mês 1'!$B$40)</f>
        <v>0</v>
      </c>
      <c r="C25" s="6">
        <f>SUMIFS(Timesheet!$F$13:$F$11461,Timesheet!$A$13:$A$11461,'Mês 1'!A25,Timesheet!$C$13:$C$11461,'Mês 1'!$C$40)</f>
        <v>0</v>
      </c>
      <c r="D25" s="6">
        <f>SUMIFS(Timesheet!$F$13:$F$11461,Timesheet!$A$13:$A$11461,'Mês 1'!A25,Timesheet!$C$13:$C$11461,'Mês 1'!$D$40)</f>
        <v>0</v>
      </c>
      <c r="E25" s="6">
        <f>SUMIFS(Timesheet!$F$13:$F$11461,Timesheet!$A$13:$A$11461,'Mês 1'!A25,Timesheet!$C$13:$C$11461,'Mês 1'!$E$40)</f>
        <v>0</v>
      </c>
      <c r="F25" s="6">
        <f>SUMIFS(Timesheet!$F$13:$F$11461,Timesheet!$A$13:$A$11461,'Mês 1'!A25,Timesheet!$C$13:$C$11461,'Mês 1'!$F$40)</f>
        <v>0</v>
      </c>
      <c r="G25" s="6">
        <f>SUMIFS(Timesheet!$F$13:$F$11461,Timesheet!$A$13:$A$11461,'Mês 1'!A25,Timesheet!$C$13:$C$11461,'Mês 1'!$G$40)</f>
        <v>0</v>
      </c>
      <c r="H25" s="6">
        <f>SUMIFS(Timesheet!$F$13:$F$2615,Timesheet!$A$13:$A$2615,'Mês 1'!A25,Timesheet!$C$13:$C$2615,'Mês 1'!$H$3)</f>
        <v>0</v>
      </c>
      <c r="I25" s="6">
        <f>SUMIFS(Timesheet!$F$13:$F$2615,Timesheet!$A$13:$A$2615,'Mês 1'!A25,Timesheet!$C$13:$C$2615,'Mês 1'!$I$3)</f>
        <v>0</v>
      </c>
      <c r="J25" s="6">
        <f>SUMIFS(Timesheet!$F$13:$F$2615,Timesheet!$A$13:$A$2615,'Mês 1'!A25,Timesheet!$C$13:$C$2615,'Mês 1'!$J$3)</f>
        <v>0</v>
      </c>
      <c r="K25" s="6">
        <f t="shared" si="0"/>
        <v>0</v>
      </c>
      <c r="L25" s="6">
        <f t="array" ref="L25">MIN(IF(Timesheet!$A$13:$A$11483='Mês 1'!A25,Timesheet!$D$13:$D$11483))</f>
        <v>0</v>
      </c>
      <c r="M25" s="6">
        <f t="array" ref="M25">MAX(IF(Timesheet!$A$13:$A$11483='Mês 1'!A25,Timesheet!$E$13:$E$11483))</f>
        <v>0</v>
      </c>
      <c r="O25" s="1">
        <v>44979</v>
      </c>
      <c r="P25" s="6">
        <f>SUMIFS(Timesheet!$F$13:$F$11461,Timesheet!$A$13:$A$11461,'Mês 1'!O25,Timesheet!$C$13:$C$11461,'Mês 1'!$B$40)</f>
        <v>0</v>
      </c>
      <c r="Q25" s="6">
        <f>SUMIFS(Timesheet!$F$13:$F$11461,Timesheet!$A$13:$A$11461,'Mês 1'!O25,Timesheet!$C$13:$C$11461,'Mês 1'!$C$40)</f>
        <v>0</v>
      </c>
      <c r="R25" s="6">
        <f>SUMIFS(Timesheet!$F$13:$F$11461,Timesheet!$A$13:$A$11461,'Mês 1'!O25,Timesheet!$C$13:$C$11461,'Mês 1'!$D$40)</f>
        <v>0</v>
      </c>
      <c r="S25" s="6">
        <f>SUMIFS(Timesheet!$F$13:$F$11461,Timesheet!$A$13:$A$11461,'Mês 1'!O25,Timesheet!$C$13:$C$11461,'Mês 1'!$E$40)</f>
        <v>0</v>
      </c>
      <c r="T25" s="6">
        <f>SUMIFS(Timesheet!$F$13:$F$11461,Timesheet!$A$13:$A$11461,'Mês 1'!O25,Timesheet!$C$13:$C$11461,'Mês 1'!$F$40)</f>
        <v>0</v>
      </c>
      <c r="U25" s="6">
        <f>SUMIFS(Timesheet!$F$13:$F$11461,Timesheet!$A$13:$A$11461,'Mês 1'!O25,Timesheet!$C$13:$C$11461,'Mês 1'!$G$40)</f>
        <v>0</v>
      </c>
      <c r="V25" s="6">
        <f>SUMIFS(Timesheet!$F$13:$F$11461,Timesheet!$A$13:$A$11461,'Mês 1'!O25,Timesheet!$C$13:$C$11461,'Mês 1'!$V$3)</f>
        <v>0</v>
      </c>
      <c r="W25" s="6">
        <f>SUMIFS(Timesheet!$F$13:$F$11461,Timesheet!$A$13:$A$11461,'Mês 1'!O25,Timesheet!$C$13:$C$11461,'Mês 1'!$W$3)</f>
        <v>0</v>
      </c>
      <c r="X25" s="6">
        <f>SUMIFS(Timesheet!$F$13:$F$11461,Timesheet!$A$13:$A$11461,'Mês 1'!O25,Timesheet!$C$13:$C$11461,'Mês 1'!$X$3)</f>
        <v>0</v>
      </c>
      <c r="Y25" s="6">
        <f t="shared" si="1"/>
        <v>0</v>
      </c>
      <c r="Z25" s="6">
        <f t="array" ref="Z25">MIN(IF(Timesheet!$A$13:$A$11483='Mês 1'!O25,Timesheet!$D$13:$D$11483))</f>
        <v>0</v>
      </c>
      <c r="AA25" s="6">
        <f t="array" ref="AA25">MAX(IF(Timesheet!$A$13:$A$11483='Mês 1'!O25,Timesheet!$E$13:$E$11483))</f>
        <v>0</v>
      </c>
    </row>
    <row r="26" spans="1:27" x14ac:dyDescent="0.25">
      <c r="A26" s="1">
        <v>44949</v>
      </c>
      <c r="B26" s="6">
        <f>SUMIFS(Timesheet!$F$13:$F$11461,Timesheet!$A$13:$A$11461,'Mês 1'!A26,Timesheet!$C$13:$C$11461,'Mês 1'!$B$40)</f>
        <v>0</v>
      </c>
      <c r="C26" s="6">
        <f>SUMIFS(Timesheet!$F$13:$F$11461,Timesheet!$A$13:$A$11461,'Mês 1'!A26,Timesheet!$C$13:$C$11461,'Mês 1'!$C$40)</f>
        <v>0</v>
      </c>
      <c r="D26" s="6">
        <f>SUMIFS(Timesheet!$F$13:$F$11461,Timesheet!$A$13:$A$11461,'Mês 1'!A26,Timesheet!$C$13:$C$11461,'Mês 1'!$D$40)</f>
        <v>0</v>
      </c>
      <c r="E26" s="6">
        <f>SUMIFS(Timesheet!$F$13:$F$11461,Timesheet!$A$13:$A$11461,'Mês 1'!A26,Timesheet!$C$13:$C$11461,'Mês 1'!$E$40)</f>
        <v>0</v>
      </c>
      <c r="F26" s="6">
        <f>SUMIFS(Timesheet!$F$13:$F$11461,Timesheet!$A$13:$A$11461,'Mês 1'!A26,Timesheet!$C$13:$C$11461,'Mês 1'!$F$40)</f>
        <v>0</v>
      </c>
      <c r="G26" s="6">
        <f>SUMIFS(Timesheet!$F$13:$F$11461,Timesheet!$A$13:$A$11461,'Mês 1'!A26,Timesheet!$C$13:$C$11461,'Mês 1'!$G$40)</f>
        <v>0</v>
      </c>
      <c r="H26" s="6">
        <f>SUMIFS(Timesheet!$F$13:$F$2615,Timesheet!$A$13:$A$2615,'Mês 1'!A26,Timesheet!$C$13:$C$2615,'Mês 1'!$H$3)</f>
        <v>0</v>
      </c>
      <c r="I26" s="6">
        <f>SUMIFS(Timesheet!$F$13:$F$2615,Timesheet!$A$13:$A$2615,'Mês 1'!A26,Timesheet!$C$13:$C$2615,'Mês 1'!$I$3)</f>
        <v>0</v>
      </c>
      <c r="J26" s="6">
        <f>SUMIFS(Timesheet!$F$13:$F$2615,Timesheet!$A$13:$A$2615,'Mês 1'!A26,Timesheet!$C$13:$C$2615,'Mês 1'!$J$3)</f>
        <v>0</v>
      </c>
      <c r="K26" s="6">
        <f t="shared" si="0"/>
        <v>0</v>
      </c>
      <c r="L26" s="6">
        <f t="array" ref="L26">MIN(IF(Timesheet!$A$13:$A$11483='Mês 1'!A26,Timesheet!$D$13:$D$11483))</f>
        <v>0</v>
      </c>
      <c r="M26" s="6">
        <f t="array" ref="M26">MAX(IF(Timesheet!$A$13:$A$11483='Mês 1'!A26,Timesheet!$E$13:$E$11483))</f>
        <v>0</v>
      </c>
      <c r="O26" s="1">
        <v>44980</v>
      </c>
      <c r="P26" s="6">
        <f>SUMIFS(Timesheet!$F$13:$F$11461,Timesheet!$A$13:$A$11461,'Mês 1'!O26,Timesheet!$C$13:$C$11461,'Mês 1'!$B$40)</f>
        <v>0</v>
      </c>
      <c r="Q26" s="6">
        <f>SUMIFS(Timesheet!$F$13:$F$11461,Timesheet!$A$13:$A$11461,'Mês 1'!O26,Timesheet!$C$13:$C$11461,'Mês 1'!$C$40)</f>
        <v>0</v>
      </c>
      <c r="R26" s="6">
        <f>SUMIFS(Timesheet!$F$13:$F$11461,Timesheet!$A$13:$A$11461,'Mês 1'!O26,Timesheet!$C$13:$C$11461,'Mês 1'!$D$40)</f>
        <v>0</v>
      </c>
      <c r="S26" s="6">
        <f>SUMIFS(Timesheet!$F$13:$F$11461,Timesheet!$A$13:$A$11461,'Mês 1'!O26,Timesheet!$C$13:$C$11461,'Mês 1'!$E$40)</f>
        <v>0</v>
      </c>
      <c r="T26" s="6">
        <f>SUMIFS(Timesheet!$F$13:$F$11461,Timesheet!$A$13:$A$11461,'Mês 1'!O26,Timesheet!$C$13:$C$11461,'Mês 1'!$F$40)</f>
        <v>0</v>
      </c>
      <c r="U26" s="6">
        <f>SUMIFS(Timesheet!$F$13:$F$11461,Timesheet!$A$13:$A$11461,'Mês 1'!O26,Timesheet!$C$13:$C$11461,'Mês 1'!$G$40)</f>
        <v>0</v>
      </c>
      <c r="V26" s="6">
        <f>SUMIFS(Timesheet!$F$13:$F$11461,Timesheet!$A$13:$A$11461,'Mês 1'!O26,Timesheet!$C$13:$C$11461,'Mês 1'!$V$3)</f>
        <v>0</v>
      </c>
      <c r="W26" s="6">
        <f>SUMIFS(Timesheet!$F$13:$F$11461,Timesheet!$A$13:$A$11461,'Mês 1'!O26,Timesheet!$C$13:$C$11461,'Mês 1'!$W$3)</f>
        <v>0</v>
      </c>
      <c r="X26" s="6">
        <f>SUMIFS(Timesheet!$F$13:$F$11461,Timesheet!$A$13:$A$11461,'Mês 1'!O26,Timesheet!$C$13:$C$11461,'Mês 1'!$X$3)</f>
        <v>0</v>
      </c>
      <c r="Y26" s="6">
        <f t="shared" si="1"/>
        <v>0</v>
      </c>
      <c r="Z26" s="6">
        <f t="array" ref="Z26">MIN(IF(Timesheet!$A$13:$A$11483='Mês 1'!O26,Timesheet!$D$13:$D$11483))</f>
        <v>0</v>
      </c>
      <c r="AA26" s="6">
        <f t="array" ref="AA26">MAX(IF(Timesheet!$A$13:$A$11483='Mês 1'!O26,Timesheet!$E$13:$E$11483))</f>
        <v>0</v>
      </c>
    </row>
    <row r="27" spans="1:27" x14ac:dyDescent="0.25">
      <c r="A27" s="1">
        <v>44950</v>
      </c>
      <c r="B27" s="6">
        <f>SUMIFS(Timesheet!$F$13:$F$11461,Timesheet!$A$13:$A$11461,'Mês 1'!A27,Timesheet!$C$13:$C$11461,'Mês 1'!$B$40)</f>
        <v>0</v>
      </c>
      <c r="C27" s="6">
        <f>SUMIFS(Timesheet!$F$13:$F$11461,Timesheet!$A$13:$A$11461,'Mês 1'!A27,Timesheet!$C$13:$C$11461,'Mês 1'!$C$40)</f>
        <v>0</v>
      </c>
      <c r="D27" s="6">
        <f>SUMIFS(Timesheet!$F$13:$F$11461,Timesheet!$A$13:$A$11461,'Mês 1'!A27,Timesheet!$C$13:$C$11461,'Mês 1'!$D$40)</f>
        <v>0</v>
      </c>
      <c r="E27" s="6">
        <f>SUMIFS(Timesheet!$F$13:$F$11461,Timesheet!$A$13:$A$11461,'Mês 1'!A27,Timesheet!$C$13:$C$11461,'Mês 1'!$E$40)</f>
        <v>0</v>
      </c>
      <c r="F27" s="6">
        <f>SUMIFS(Timesheet!$F$13:$F$11461,Timesheet!$A$13:$A$11461,'Mês 1'!A27,Timesheet!$C$13:$C$11461,'Mês 1'!$F$40)</f>
        <v>0</v>
      </c>
      <c r="G27" s="6">
        <f>SUMIFS(Timesheet!$F$13:$F$11461,Timesheet!$A$13:$A$11461,'Mês 1'!A27,Timesheet!$C$13:$C$11461,'Mês 1'!$G$40)</f>
        <v>0</v>
      </c>
      <c r="H27" s="6">
        <f>SUMIFS(Timesheet!$F$13:$F$2615,Timesheet!$A$13:$A$2615,'Mês 1'!A27,Timesheet!$C$13:$C$2615,'Mês 1'!$H$3)</f>
        <v>0</v>
      </c>
      <c r="I27" s="6">
        <f>SUMIFS(Timesheet!$F$13:$F$2615,Timesheet!$A$13:$A$2615,'Mês 1'!A27,Timesheet!$C$13:$C$2615,'Mês 1'!$I$3)</f>
        <v>0</v>
      </c>
      <c r="J27" s="6">
        <f>SUMIFS(Timesheet!$F$13:$F$2615,Timesheet!$A$13:$A$2615,'Mês 1'!A27,Timesheet!$C$13:$C$2615,'Mês 1'!$J$3)</f>
        <v>0</v>
      </c>
      <c r="K27" s="6">
        <f t="shared" si="0"/>
        <v>0</v>
      </c>
      <c r="L27" s="6">
        <f t="array" ref="L27">MIN(IF(Timesheet!$A$13:$A$11483='Mês 1'!A27,Timesheet!$D$13:$D$11483))</f>
        <v>0</v>
      </c>
      <c r="M27" s="6">
        <f t="array" ref="M27">MAX(IF(Timesheet!$A$13:$A$11483='Mês 1'!A27,Timesheet!$E$13:$E$11483))</f>
        <v>0</v>
      </c>
      <c r="O27" s="1">
        <v>44981</v>
      </c>
      <c r="P27" s="6">
        <f>SUMIFS(Timesheet!$F$13:$F$11461,Timesheet!$A$13:$A$11461,'Mês 1'!O27,Timesheet!$C$13:$C$11461,'Mês 1'!$B$40)</f>
        <v>0</v>
      </c>
      <c r="Q27" s="6">
        <f>SUMIFS(Timesheet!$F$13:$F$11461,Timesheet!$A$13:$A$11461,'Mês 1'!O27,Timesheet!$C$13:$C$11461,'Mês 1'!$C$40)</f>
        <v>0</v>
      </c>
      <c r="R27" s="6">
        <f>SUMIFS(Timesheet!$F$13:$F$11461,Timesheet!$A$13:$A$11461,'Mês 1'!O27,Timesheet!$C$13:$C$11461,'Mês 1'!$D$40)</f>
        <v>0</v>
      </c>
      <c r="S27" s="6">
        <f>SUMIFS(Timesheet!$F$13:$F$11461,Timesheet!$A$13:$A$11461,'Mês 1'!O27,Timesheet!$C$13:$C$11461,'Mês 1'!$E$40)</f>
        <v>0</v>
      </c>
      <c r="T27" s="6">
        <f>SUMIFS(Timesheet!$F$13:$F$11461,Timesheet!$A$13:$A$11461,'Mês 1'!O27,Timesheet!$C$13:$C$11461,'Mês 1'!$F$40)</f>
        <v>0</v>
      </c>
      <c r="U27" s="6">
        <f>SUMIFS(Timesheet!$F$13:$F$11461,Timesheet!$A$13:$A$11461,'Mês 1'!O27,Timesheet!$C$13:$C$11461,'Mês 1'!$G$40)</f>
        <v>0</v>
      </c>
      <c r="V27" s="6">
        <f>SUMIFS(Timesheet!$F$13:$F$11461,Timesheet!$A$13:$A$11461,'Mês 1'!O27,Timesheet!$C$13:$C$11461,'Mês 1'!$V$3)</f>
        <v>0</v>
      </c>
      <c r="W27" s="6">
        <f>SUMIFS(Timesheet!$F$13:$F$11461,Timesheet!$A$13:$A$11461,'Mês 1'!O27,Timesheet!$C$13:$C$11461,'Mês 1'!$W$3)</f>
        <v>0</v>
      </c>
      <c r="X27" s="6">
        <f>SUMIFS(Timesheet!$F$13:$F$11461,Timesheet!$A$13:$A$11461,'Mês 1'!O27,Timesheet!$C$13:$C$11461,'Mês 1'!$X$3)</f>
        <v>0</v>
      </c>
      <c r="Y27" s="6">
        <f t="shared" si="1"/>
        <v>0</v>
      </c>
      <c r="Z27" s="6">
        <f t="array" ref="Z27">MIN(IF(Timesheet!$A$13:$A$11483='Mês 1'!O27,Timesheet!$D$13:$D$11483))</f>
        <v>0</v>
      </c>
      <c r="AA27" s="6">
        <f t="array" ref="AA27">MAX(IF(Timesheet!$A$13:$A$11483='Mês 1'!O27,Timesheet!$E$13:$E$11483))</f>
        <v>0</v>
      </c>
    </row>
    <row r="28" spans="1:27" x14ac:dyDescent="0.25">
      <c r="A28" s="1">
        <v>44951</v>
      </c>
      <c r="B28" s="6">
        <f>SUMIFS(Timesheet!$F$13:$F$11461,Timesheet!$A$13:$A$11461,'Mês 1'!A28,Timesheet!$C$13:$C$11461,'Mês 1'!$B$40)</f>
        <v>0</v>
      </c>
      <c r="C28" s="6">
        <f>SUMIFS(Timesheet!$F$13:$F$11461,Timesheet!$A$13:$A$11461,'Mês 1'!A28,Timesheet!$C$13:$C$11461,'Mês 1'!$C$40)</f>
        <v>0</v>
      </c>
      <c r="D28" s="6">
        <f>SUMIFS(Timesheet!$F$13:$F$11461,Timesheet!$A$13:$A$11461,'Mês 1'!A28,Timesheet!$C$13:$C$11461,'Mês 1'!$D$40)</f>
        <v>0</v>
      </c>
      <c r="E28" s="6">
        <f>SUMIFS(Timesheet!$F$13:$F$11461,Timesheet!$A$13:$A$11461,'Mês 1'!A28,Timesheet!$C$13:$C$11461,'Mês 1'!$E$40)</f>
        <v>0</v>
      </c>
      <c r="F28" s="6">
        <f>SUMIFS(Timesheet!$F$13:$F$11461,Timesheet!$A$13:$A$11461,'Mês 1'!A28,Timesheet!$C$13:$C$11461,'Mês 1'!$F$40)</f>
        <v>0</v>
      </c>
      <c r="G28" s="6">
        <f>SUMIFS(Timesheet!$F$13:$F$11461,Timesheet!$A$13:$A$11461,'Mês 1'!A28,Timesheet!$C$13:$C$11461,'Mês 1'!$G$40)</f>
        <v>0</v>
      </c>
      <c r="H28" s="6">
        <f>SUMIFS(Timesheet!$F$13:$F$2615,Timesheet!$A$13:$A$2615,'Mês 1'!A28,Timesheet!$C$13:$C$2615,'Mês 1'!$H$3)</f>
        <v>0</v>
      </c>
      <c r="I28" s="6">
        <f>SUMIFS(Timesheet!$F$13:$F$2615,Timesheet!$A$13:$A$2615,'Mês 1'!A28,Timesheet!$C$13:$C$2615,'Mês 1'!$I$3)</f>
        <v>0</v>
      </c>
      <c r="J28" s="6">
        <f>SUMIFS(Timesheet!$F$13:$F$2615,Timesheet!$A$13:$A$2615,'Mês 1'!A28,Timesheet!$C$13:$C$2615,'Mês 1'!$J$3)</f>
        <v>0</v>
      </c>
      <c r="K28" s="6">
        <f t="shared" si="0"/>
        <v>0</v>
      </c>
      <c r="L28" s="6">
        <f t="array" ref="L28">MIN(IF(Timesheet!$A$13:$A$11483='Mês 1'!A28,Timesheet!$D$13:$D$11483))</f>
        <v>0</v>
      </c>
      <c r="M28" s="6">
        <f t="array" ref="M28">MAX(IF(Timesheet!$A$13:$A$11483='Mês 1'!A28,Timesheet!$E$13:$E$11483))</f>
        <v>0</v>
      </c>
      <c r="O28" s="1">
        <v>44982</v>
      </c>
      <c r="P28" s="6">
        <f>SUMIFS(Timesheet!$F$13:$F$11461,Timesheet!$A$13:$A$11461,'Mês 1'!O28,Timesheet!$C$13:$C$11461,'Mês 1'!$B$40)</f>
        <v>0</v>
      </c>
      <c r="Q28" s="6">
        <f>SUMIFS(Timesheet!$F$13:$F$11461,Timesheet!$A$13:$A$11461,'Mês 1'!O28,Timesheet!$C$13:$C$11461,'Mês 1'!$C$40)</f>
        <v>0</v>
      </c>
      <c r="R28" s="6">
        <f>SUMIFS(Timesheet!$F$13:$F$11461,Timesheet!$A$13:$A$11461,'Mês 1'!O28,Timesheet!$C$13:$C$11461,'Mês 1'!$D$40)</f>
        <v>0</v>
      </c>
      <c r="S28" s="6">
        <f>SUMIFS(Timesheet!$F$13:$F$11461,Timesheet!$A$13:$A$11461,'Mês 1'!O28,Timesheet!$C$13:$C$11461,'Mês 1'!$E$40)</f>
        <v>0</v>
      </c>
      <c r="T28" s="6">
        <f>SUMIFS(Timesheet!$F$13:$F$11461,Timesheet!$A$13:$A$11461,'Mês 1'!O28,Timesheet!$C$13:$C$11461,'Mês 1'!$F$40)</f>
        <v>0</v>
      </c>
      <c r="U28" s="6">
        <f>SUMIFS(Timesheet!$F$13:$F$11461,Timesheet!$A$13:$A$11461,'Mês 1'!O28,Timesheet!$C$13:$C$11461,'Mês 1'!$G$40)</f>
        <v>0</v>
      </c>
      <c r="V28" s="6">
        <f>SUMIFS(Timesheet!$F$13:$F$11461,Timesheet!$A$13:$A$11461,'Mês 1'!O28,Timesheet!$C$13:$C$11461,'Mês 1'!$V$3)</f>
        <v>0</v>
      </c>
      <c r="W28" s="6">
        <f>SUMIFS(Timesheet!$F$13:$F$11461,Timesheet!$A$13:$A$11461,'Mês 1'!O28,Timesheet!$C$13:$C$11461,'Mês 1'!$W$3)</f>
        <v>0</v>
      </c>
      <c r="X28" s="6">
        <f>SUMIFS(Timesheet!$F$13:$F$11461,Timesheet!$A$13:$A$11461,'Mês 1'!O28,Timesheet!$C$13:$C$11461,'Mês 1'!$X$3)</f>
        <v>0</v>
      </c>
      <c r="Y28" s="6">
        <f t="shared" si="1"/>
        <v>0</v>
      </c>
      <c r="Z28" s="6">
        <f t="array" ref="Z28">MIN(IF(Timesheet!$A$13:$A$11483='Mês 1'!O28,Timesheet!$D$13:$D$11483))</f>
        <v>0</v>
      </c>
      <c r="AA28" s="6">
        <f t="array" ref="AA28">MAX(IF(Timesheet!$A$13:$A$11483='Mês 1'!O28,Timesheet!$E$13:$E$11483))</f>
        <v>0</v>
      </c>
    </row>
    <row r="29" spans="1:27" x14ac:dyDescent="0.25">
      <c r="A29" s="1">
        <v>44952</v>
      </c>
      <c r="B29" s="6">
        <f>SUMIFS(Timesheet!$F$13:$F$11461,Timesheet!$A$13:$A$11461,'Mês 1'!A29,Timesheet!$C$13:$C$11461,'Mês 1'!$B$40)</f>
        <v>0</v>
      </c>
      <c r="C29" s="6">
        <f>SUMIFS(Timesheet!$F$13:$F$11461,Timesheet!$A$13:$A$11461,'Mês 1'!A29,Timesheet!$C$13:$C$11461,'Mês 1'!$C$40)</f>
        <v>0</v>
      </c>
      <c r="D29" s="6">
        <f>SUMIFS(Timesheet!$F$13:$F$11461,Timesheet!$A$13:$A$11461,'Mês 1'!A29,Timesheet!$C$13:$C$11461,'Mês 1'!$D$40)</f>
        <v>0</v>
      </c>
      <c r="E29" s="6">
        <f>SUMIFS(Timesheet!$F$13:$F$11461,Timesheet!$A$13:$A$11461,'Mês 1'!A29,Timesheet!$C$13:$C$11461,'Mês 1'!$E$40)</f>
        <v>0</v>
      </c>
      <c r="F29" s="6">
        <f>SUMIFS(Timesheet!$F$13:$F$11461,Timesheet!$A$13:$A$11461,'Mês 1'!A29,Timesheet!$C$13:$C$11461,'Mês 1'!$F$40)</f>
        <v>0</v>
      </c>
      <c r="G29" s="6">
        <f>SUMIFS(Timesheet!$F$13:$F$11461,Timesheet!$A$13:$A$11461,'Mês 1'!A29,Timesheet!$C$13:$C$11461,'Mês 1'!$G$40)</f>
        <v>0</v>
      </c>
      <c r="H29" s="6">
        <f>SUMIFS(Timesheet!$F$13:$F$2615,Timesheet!$A$13:$A$2615,'Mês 1'!A29,Timesheet!$C$13:$C$2615,'Mês 1'!$H$3)</f>
        <v>0</v>
      </c>
      <c r="I29" s="6">
        <f>SUMIFS(Timesheet!$F$13:$F$2615,Timesheet!$A$13:$A$2615,'Mês 1'!A29,Timesheet!$C$13:$C$2615,'Mês 1'!$I$3)</f>
        <v>0</v>
      </c>
      <c r="J29" s="6">
        <f>SUMIFS(Timesheet!$F$13:$F$2615,Timesheet!$A$13:$A$2615,'Mês 1'!A29,Timesheet!$C$13:$C$2615,'Mês 1'!$J$3)</f>
        <v>0</v>
      </c>
      <c r="K29" s="6">
        <f t="shared" si="0"/>
        <v>0</v>
      </c>
      <c r="L29" s="6">
        <f t="array" ref="L29">MIN(IF(Timesheet!$A$13:$A$11483='Mês 1'!A29,Timesheet!$D$13:$D$11483))</f>
        <v>0</v>
      </c>
      <c r="M29" s="6">
        <f t="array" ref="M29">MAX(IF(Timesheet!$A$13:$A$11483='Mês 1'!A29,Timesheet!$E$13:$E$11483))</f>
        <v>0</v>
      </c>
      <c r="O29" s="1">
        <v>44983</v>
      </c>
      <c r="P29" s="6">
        <f>SUMIFS(Timesheet!$F$13:$F$11461,Timesheet!$A$13:$A$11461,'Mês 1'!O29,Timesheet!$C$13:$C$11461,'Mês 1'!$B$40)</f>
        <v>0</v>
      </c>
      <c r="Q29" s="6">
        <f>SUMIFS(Timesheet!$F$13:$F$11461,Timesheet!$A$13:$A$11461,'Mês 1'!O29,Timesheet!$C$13:$C$11461,'Mês 1'!$C$40)</f>
        <v>0</v>
      </c>
      <c r="R29" s="6">
        <f>SUMIFS(Timesheet!$F$13:$F$11461,Timesheet!$A$13:$A$11461,'Mês 1'!O29,Timesheet!$C$13:$C$11461,'Mês 1'!$D$40)</f>
        <v>0</v>
      </c>
      <c r="S29" s="6">
        <f>SUMIFS(Timesheet!$F$13:$F$11461,Timesheet!$A$13:$A$11461,'Mês 1'!O29,Timesheet!$C$13:$C$11461,'Mês 1'!$E$40)</f>
        <v>0</v>
      </c>
      <c r="T29" s="6">
        <f>SUMIFS(Timesheet!$F$13:$F$11461,Timesheet!$A$13:$A$11461,'Mês 1'!O29,Timesheet!$C$13:$C$11461,'Mês 1'!$F$40)</f>
        <v>0</v>
      </c>
      <c r="U29" s="6">
        <f>SUMIFS(Timesheet!$F$13:$F$11461,Timesheet!$A$13:$A$11461,'Mês 1'!O29,Timesheet!$C$13:$C$11461,'Mês 1'!$G$40)</f>
        <v>0</v>
      </c>
      <c r="V29" s="6">
        <f>SUMIFS(Timesheet!$F$13:$F$11461,Timesheet!$A$13:$A$11461,'Mês 1'!O29,Timesheet!$C$13:$C$11461,'Mês 1'!$V$3)</f>
        <v>0</v>
      </c>
      <c r="W29" s="6">
        <f>SUMIFS(Timesheet!$F$13:$F$11461,Timesheet!$A$13:$A$11461,'Mês 1'!O29,Timesheet!$C$13:$C$11461,'Mês 1'!$W$3)</f>
        <v>0</v>
      </c>
      <c r="X29" s="6">
        <f>SUMIFS(Timesheet!$F$13:$F$11461,Timesheet!$A$13:$A$11461,'Mês 1'!O29,Timesheet!$C$13:$C$11461,'Mês 1'!$X$3)</f>
        <v>0</v>
      </c>
      <c r="Y29" s="6">
        <f t="shared" si="1"/>
        <v>0</v>
      </c>
      <c r="Z29" s="6">
        <f t="array" ref="Z29">MIN(IF(Timesheet!$A$13:$A$11483='Mês 1'!O29,Timesheet!$D$13:$D$11483))</f>
        <v>0</v>
      </c>
      <c r="AA29" s="6">
        <f t="array" ref="AA29">MAX(IF(Timesheet!$A$13:$A$11483='Mês 1'!O29,Timesheet!$E$13:$E$11483))</f>
        <v>0</v>
      </c>
    </row>
    <row r="30" spans="1:27" x14ac:dyDescent="0.25">
      <c r="A30" s="1">
        <v>44953</v>
      </c>
      <c r="B30" s="6">
        <f>SUMIFS(Timesheet!$F$13:$F$11461,Timesheet!$A$13:$A$11461,'Mês 1'!A30,Timesheet!$C$13:$C$11461,'Mês 1'!$B$40)</f>
        <v>0</v>
      </c>
      <c r="C30" s="6">
        <f>SUMIFS(Timesheet!$F$13:$F$11461,Timesheet!$A$13:$A$11461,'Mês 1'!A30,Timesheet!$C$13:$C$11461,'Mês 1'!$C$40)</f>
        <v>0</v>
      </c>
      <c r="D30" s="6">
        <f>SUMIFS(Timesheet!$F$13:$F$11461,Timesheet!$A$13:$A$11461,'Mês 1'!A30,Timesheet!$C$13:$C$11461,'Mês 1'!$D$40)</f>
        <v>0</v>
      </c>
      <c r="E30" s="6">
        <f>SUMIFS(Timesheet!$F$13:$F$11461,Timesheet!$A$13:$A$11461,'Mês 1'!A30,Timesheet!$C$13:$C$11461,'Mês 1'!$E$40)</f>
        <v>0</v>
      </c>
      <c r="F30" s="6">
        <f>SUMIFS(Timesheet!$F$13:$F$11461,Timesheet!$A$13:$A$11461,'Mês 1'!A30,Timesheet!$C$13:$C$11461,'Mês 1'!$F$40)</f>
        <v>0</v>
      </c>
      <c r="G30" s="6">
        <f>SUMIFS(Timesheet!$F$13:$F$11461,Timesheet!$A$13:$A$11461,'Mês 1'!A30,Timesheet!$C$13:$C$11461,'Mês 1'!$G$40)</f>
        <v>0</v>
      </c>
      <c r="H30" s="6">
        <f>SUMIFS(Timesheet!$F$13:$F$2615,Timesheet!$A$13:$A$2615,'Mês 1'!A30,Timesheet!$C$13:$C$2615,'Mês 1'!$H$3)</f>
        <v>0</v>
      </c>
      <c r="I30" s="6">
        <f>SUMIFS(Timesheet!$F$13:$F$2615,Timesheet!$A$13:$A$2615,'Mês 1'!A30,Timesheet!$C$13:$C$2615,'Mês 1'!$I$3)</f>
        <v>0</v>
      </c>
      <c r="J30" s="6">
        <f>SUMIFS(Timesheet!$F$13:$F$2615,Timesheet!$A$13:$A$2615,'Mês 1'!A30,Timesheet!$C$13:$C$2615,'Mês 1'!$J$3)</f>
        <v>0</v>
      </c>
      <c r="K30" s="6">
        <f t="shared" si="0"/>
        <v>0</v>
      </c>
      <c r="L30" s="6">
        <f t="array" ref="L30">MIN(IF(Timesheet!$A$13:$A$11483='Mês 1'!A30,Timesheet!$D$13:$D$11483))</f>
        <v>0</v>
      </c>
      <c r="M30" s="6">
        <f t="array" ref="M30">MAX(IF(Timesheet!$A$13:$A$11483='Mês 1'!A30,Timesheet!$E$13:$E$11483))</f>
        <v>0</v>
      </c>
      <c r="O30" s="1">
        <v>44984</v>
      </c>
      <c r="P30" s="6">
        <f>SUMIFS(Timesheet!$F$13:$F$11461,Timesheet!$A$13:$A$11461,'Mês 1'!O30,Timesheet!$C$13:$C$11461,'Mês 1'!$B$40)</f>
        <v>0</v>
      </c>
      <c r="Q30" s="6">
        <f>SUMIFS(Timesheet!$F$13:$F$11461,Timesheet!$A$13:$A$11461,'Mês 1'!O30,Timesheet!$C$13:$C$11461,'Mês 1'!$C$40)</f>
        <v>0</v>
      </c>
      <c r="R30" s="6">
        <f>SUMIFS(Timesheet!$F$13:$F$11461,Timesheet!$A$13:$A$11461,'Mês 1'!O30,Timesheet!$C$13:$C$11461,'Mês 1'!$D$40)</f>
        <v>0</v>
      </c>
      <c r="S30" s="6">
        <f>SUMIFS(Timesheet!$F$13:$F$11461,Timesheet!$A$13:$A$11461,'Mês 1'!O30,Timesheet!$C$13:$C$11461,'Mês 1'!$E$40)</f>
        <v>0</v>
      </c>
      <c r="T30" s="6">
        <f>SUMIFS(Timesheet!$F$13:$F$11461,Timesheet!$A$13:$A$11461,'Mês 1'!O30,Timesheet!$C$13:$C$11461,'Mês 1'!$F$40)</f>
        <v>0</v>
      </c>
      <c r="U30" s="6">
        <f>SUMIFS(Timesheet!$F$13:$F$11461,Timesheet!$A$13:$A$11461,'Mês 1'!O30,Timesheet!$C$13:$C$11461,'Mês 1'!$G$40)</f>
        <v>0</v>
      </c>
      <c r="V30" s="6">
        <f>SUMIFS(Timesheet!$F$13:$F$11461,Timesheet!$A$13:$A$11461,'Mês 1'!O30,Timesheet!$C$13:$C$11461,'Mês 1'!$V$3)</f>
        <v>0</v>
      </c>
      <c r="W30" s="6">
        <f>SUMIFS(Timesheet!$F$13:$F$11461,Timesheet!$A$13:$A$11461,'Mês 1'!O30,Timesheet!$C$13:$C$11461,'Mês 1'!$W$3)</f>
        <v>0</v>
      </c>
      <c r="X30" s="6">
        <f>SUMIFS(Timesheet!$F$13:$F$11461,Timesheet!$A$13:$A$11461,'Mês 1'!O30,Timesheet!$C$13:$C$11461,'Mês 1'!$X$3)</f>
        <v>0</v>
      </c>
      <c r="Y30" s="6">
        <f t="shared" si="1"/>
        <v>0</v>
      </c>
      <c r="Z30" s="6">
        <f t="array" ref="Z30">MIN(IF(Timesheet!$A$13:$A$11483='Mês 1'!O30,Timesheet!$D$13:$D$11483))</f>
        <v>0</v>
      </c>
      <c r="AA30" s="6">
        <f t="array" ref="AA30">MAX(IF(Timesheet!$A$13:$A$11483='Mês 1'!O30,Timesheet!$E$13:$E$11483))</f>
        <v>0</v>
      </c>
    </row>
    <row r="31" spans="1:27" x14ac:dyDescent="0.25">
      <c r="A31" s="1">
        <v>44954</v>
      </c>
      <c r="B31" s="6">
        <f>SUMIFS(Timesheet!$F$13:$F$11461,Timesheet!$A$13:$A$11461,'Mês 1'!A31,Timesheet!$C$13:$C$11461,'Mês 1'!$B$40)</f>
        <v>0</v>
      </c>
      <c r="C31" s="6">
        <f>SUMIFS(Timesheet!$F$13:$F$11461,Timesheet!$A$13:$A$11461,'Mês 1'!A31,Timesheet!$C$13:$C$11461,'Mês 1'!$C$40)</f>
        <v>0</v>
      </c>
      <c r="D31" s="6">
        <f>SUMIFS(Timesheet!$F$13:$F$11461,Timesheet!$A$13:$A$11461,'Mês 1'!A31,Timesheet!$C$13:$C$11461,'Mês 1'!$D$40)</f>
        <v>0</v>
      </c>
      <c r="E31" s="6">
        <f>SUMIFS(Timesheet!$F$13:$F$11461,Timesheet!$A$13:$A$11461,'Mês 1'!A31,Timesheet!$C$13:$C$11461,'Mês 1'!$E$40)</f>
        <v>0</v>
      </c>
      <c r="F31" s="6">
        <f>SUMIFS(Timesheet!$F$13:$F$11461,Timesheet!$A$13:$A$11461,'Mês 1'!A31,Timesheet!$C$13:$C$11461,'Mês 1'!$F$40)</f>
        <v>0</v>
      </c>
      <c r="G31" s="6">
        <f>SUMIFS(Timesheet!$F$13:$F$11461,Timesheet!$A$13:$A$11461,'Mês 1'!A31,Timesheet!$C$13:$C$11461,'Mês 1'!$G$40)</f>
        <v>0</v>
      </c>
      <c r="H31" s="6">
        <f>SUMIFS(Timesheet!$F$13:$F$2615,Timesheet!$A$13:$A$2615,'Mês 1'!A31,Timesheet!$C$13:$C$2615,'Mês 1'!$H$3)</f>
        <v>0</v>
      </c>
      <c r="I31" s="6">
        <f>SUMIFS(Timesheet!$F$13:$F$2615,Timesheet!$A$13:$A$2615,'Mês 1'!A31,Timesheet!$C$13:$C$2615,'Mês 1'!$I$3)</f>
        <v>0</v>
      </c>
      <c r="J31" s="6">
        <f>SUMIFS(Timesheet!$F$13:$F$2615,Timesheet!$A$13:$A$2615,'Mês 1'!A31,Timesheet!$C$13:$C$2615,'Mês 1'!$J$3)</f>
        <v>0</v>
      </c>
      <c r="K31" s="6">
        <f t="shared" si="0"/>
        <v>0</v>
      </c>
      <c r="L31" s="6">
        <f t="array" ref="L31">MIN(IF(Timesheet!$A$13:$A$11483='Mês 1'!A31,Timesheet!$D$13:$D$11483))</f>
        <v>0</v>
      </c>
      <c r="M31" s="6">
        <f t="array" ref="M31">MAX(IF(Timesheet!$A$13:$A$11483='Mês 1'!A31,Timesheet!$E$13:$E$11483))</f>
        <v>0</v>
      </c>
      <c r="O31" s="1">
        <v>44985</v>
      </c>
      <c r="P31" s="6">
        <f>SUMIFS(Timesheet!$F$13:$F$11461,Timesheet!$A$13:$A$11461,'Mês 1'!O31,Timesheet!$C$13:$C$11461,'Mês 1'!$B$40)</f>
        <v>0</v>
      </c>
      <c r="Q31" s="6">
        <f>SUMIFS(Timesheet!$F$13:$F$11461,Timesheet!$A$13:$A$11461,'Mês 1'!O31,Timesheet!$C$13:$C$11461,'Mês 1'!$C$40)</f>
        <v>0</v>
      </c>
      <c r="R31" s="6">
        <f>SUMIFS(Timesheet!$F$13:$F$11461,Timesheet!$A$13:$A$11461,'Mês 1'!O31,Timesheet!$C$13:$C$11461,'Mês 1'!$D$40)</f>
        <v>0</v>
      </c>
      <c r="S31" s="6">
        <f>SUMIFS(Timesheet!$F$13:$F$11461,Timesheet!$A$13:$A$11461,'Mês 1'!O31,Timesheet!$C$13:$C$11461,'Mês 1'!$E$40)</f>
        <v>0</v>
      </c>
      <c r="T31" s="6">
        <f>SUMIFS(Timesheet!$F$13:$F$11461,Timesheet!$A$13:$A$11461,'Mês 1'!O31,Timesheet!$C$13:$C$11461,'Mês 1'!$F$40)</f>
        <v>0</v>
      </c>
      <c r="U31" s="6">
        <f>SUMIFS(Timesheet!$F$13:$F$11461,Timesheet!$A$13:$A$11461,'Mês 1'!O31,Timesheet!$C$13:$C$11461,'Mês 1'!$G$40)</f>
        <v>0</v>
      </c>
      <c r="V31" s="6">
        <f>SUMIFS(Timesheet!$F$13:$F$11461,Timesheet!$A$13:$A$11461,'Mês 1'!O31,Timesheet!$C$13:$C$11461,'Mês 1'!$V$3)</f>
        <v>0</v>
      </c>
      <c r="W31" s="6">
        <f>SUMIFS(Timesheet!$F$13:$F$11461,Timesheet!$A$13:$A$11461,'Mês 1'!O31,Timesheet!$C$13:$C$11461,'Mês 1'!$W$3)</f>
        <v>0</v>
      </c>
      <c r="X31" s="6">
        <f>SUMIFS(Timesheet!$F$13:$F$11461,Timesheet!$A$13:$A$11461,'Mês 1'!O31,Timesheet!$C$13:$C$11461,'Mês 1'!$X$3)</f>
        <v>0</v>
      </c>
      <c r="Y31" s="6">
        <f t="shared" si="1"/>
        <v>0</v>
      </c>
      <c r="Z31" s="6">
        <f t="array" ref="Z31">MIN(IF(Timesheet!$A$13:$A$11483='Mês 1'!O31,Timesheet!$D$13:$D$11483))</f>
        <v>0</v>
      </c>
      <c r="AA31" s="6">
        <f t="array" ref="AA31">MAX(IF(Timesheet!$A$13:$A$11483='Mês 1'!O31,Timesheet!$E$13:$E$11483))</f>
        <v>0</v>
      </c>
    </row>
    <row r="32" spans="1:27" x14ac:dyDescent="0.25">
      <c r="A32" s="1">
        <v>44955</v>
      </c>
      <c r="B32" s="6">
        <f>SUMIFS(Timesheet!$F$13:$F$11461,Timesheet!$A$13:$A$11461,'Mês 1'!A32,Timesheet!$C$13:$C$11461,'Mês 1'!$B$40)</f>
        <v>0</v>
      </c>
      <c r="C32" s="6">
        <f>SUMIFS(Timesheet!$F$13:$F$11461,Timesheet!$A$13:$A$11461,'Mês 1'!A32,Timesheet!$C$13:$C$11461,'Mês 1'!$C$40)</f>
        <v>0</v>
      </c>
      <c r="D32" s="6">
        <f>SUMIFS(Timesheet!$F$13:$F$11461,Timesheet!$A$13:$A$11461,'Mês 1'!A32,Timesheet!$C$13:$C$11461,'Mês 1'!$D$40)</f>
        <v>0</v>
      </c>
      <c r="E32" s="6">
        <f>SUMIFS(Timesheet!$F$13:$F$11461,Timesheet!$A$13:$A$11461,'Mês 1'!A32,Timesheet!$C$13:$C$11461,'Mês 1'!$E$40)</f>
        <v>0</v>
      </c>
      <c r="F32" s="6">
        <f>SUMIFS(Timesheet!$F$13:$F$11461,Timesheet!$A$13:$A$11461,'Mês 1'!A32,Timesheet!$C$13:$C$11461,'Mês 1'!$F$40)</f>
        <v>0</v>
      </c>
      <c r="G32" s="6">
        <f>SUMIFS(Timesheet!$F$13:$F$11461,Timesheet!$A$13:$A$11461,'Mês 1'!A32,Timesheet!$C$13:$C$11461,'Mês 1'!$G$40)</f>
        <v>0</v>
      </c>
      <c r="H32" s="6">
        <f>SUMIFS(Timesheet!$F$13:$F$2615,Timesheet!$A$13:$A$2615,'Mês 1'!A32,Timesheet!$C$13:$C$2615,'Mês 1'!$H$3)</f>
        <v>0</v>
      </c>
      <c r="I32" s="6">
        <f>SUMIFS(Timesheet!$F$13:$F$2615,Timesheet!$A$13:$A$2615,'Mês 1'!A32,Timesheet!$C$13:$C$2615,'Mês 1'!$I$3)</f>
        <v>0</v>
      </c>
      <c r="J32" s="6">
        <f>SUMIFS(Timesheet!$F$13:$F$2615,Timesheet!$A$13:$A$2615,'Mês 1'!A32,Timesheet!$C$13:$C$2615,'Mês 1'!$J$3)</f>
        <v>0</v>
      </c>
      <c r="K32" s="6">
        <f t="shared" si="0"/>
        <v>0</v>
      </c>
      <c r="L32" s="6">
        <f t="array" ref="L32">MIN(IF(Timesheet!$A$13:$A$11483='Mês 1'!A32,Timesheet!$D$13:$D$11483))</f>
        <v>0</v>
      </c>
      <c r="M32" s="6">
        <f t="array" ref="M32">MAX(IF(Timesheet!$A$13:$A$11483='Mês 1'!A32,Timesheet!$E$13:$E$11483))</f>
        <v>0</v>
      </c>
      <c r="O32" s="4" t="s">
        <v>12</v>
      </c>
      <c r="P32" s="7">
        <f>+SUM(P4:P31)</f>
        <v>0</v>
      </c>
      <c r="Q32" s="7">
        <f t="shared" ref="Q32:Y32" si="2">+SUM(Q4:Q31)</f>
        <v>0</v>
      </c>
      <c r="R32" s="7">
        <f t="shared" si="2"/>
        <v>0</v>
      </c>
      <c r="S32" s="7">
        <f t="shared" si="2"/>
        <v>0</v>
      </c>
      <c r="T32" s="7">
        <f t="shared" si="2"/>
        <v>0</v>
      </c>
      <c r="U32" s="7">
        <f t="shared" si="2"/>
        <v>0</v>
      </c>
      <c r="V32" s="7">
        <f t="shared" si="2"/>
        <v>0</v>
      </c>
      <c r="W32" s="7">
        <f t="shared" si="2"/>
        <v>0</v>
      </c>
      <c r="X32" s="7">
        <f t="shared" si="2"/>
        <v>0</v>
      </c>
      <c r="Y32" s="7">
        <f t="shared" si="2"/>
        <v>0</v>
      </c>
      <c r="Z32" s="7" t="e">
        <f>AVERAGEIF(Z4:Z31,"&gt;0")</f>
        <v>#DIV/0!</v>
      </c>
      <c r="AA32" s="7" t="e">
        <f>AVERAGEIF(AA4:AA31, "&gt;0")</f>
        <v>#DIV/0!</v>
      </c>
    </row>
    <row r="33" spans="1:69" x14ac:dyDescent="0.25">
      <c r="A33" s="1">
        <v>44956</v>
      </c>
      <c r="B33" s="6">
        <f>SUMIFS(Timesheet!$F$13:$F$11461,Timesheet!$A$13:$A$11461,'Mês 1'!A33,Timesheet!$C$13:$C$11461,'Mês 1'!$B$40)</f>
        <v>0</v>
      </c>
      <c r="C33" s="6">
        <f>SUMIFS(Timesheet!$F$13:$F$11461,Timesheet!$A$13:$A$11461,'Mês 1'!A33,Timesheet!$C$13:$C$11461,'Mês 1'!$C$40)</f>
        <v>0</v>
      </c>
      <c r="D33" s="6">
        <f>SUMIFS(Timesheet!$F$13:$F$11461,Timesheet!$A$13:$A$11461,'Mês 1'!A33,Timesheet!$C$13:$C$11461,'Mês 1'!$D$40)</f>
        <v>0</v>
      </c>
      <c r="E33" s="6">
        <f>SUMIFS(Timesheet!$F$13:$F$11461,Timesheet!$A$13:$A$11461,'Mês 1'!A33,Timesheet!$C$13:$C$11461,'Mês 1'!$E$40)</f>
        <v>0</v>
      </c>
      <c r="F33" s="6">
        <f>SUMIFS(Timesheet!$F$13:$F$11461,Timesheet!$A$13:$A$11461,'Mês 1'!A33,Timesheet!$C$13:$C$11461,'Mês 1'!$F$40)</f>
        <v>0</v>
      </c>
      <c r="G33" s="6">
        <f>SUMIFS(Timesheet!$F$13:$F$11461,Timesheet!$A$13:$A$11461,'Mês 1'!A33,Timesheet!$C$13:$C$11461,'Mês 1'!$G$40)</f>
        <v>0</v>
      </c>
      <c r="H33" s="6">
        <f>SUMIFS(Timesheet!$F$13:$F$2615,Timesheet!$A$13:$A$2615,'Mês 1'!A33,Timesheet!$C$13:$C$2615,'Mês 1'!$H$3)</f>
        <v>0</v>
      </c>
      <c r="I33" s="6">
        <f>SUMIFS(Timesheet!$F$13:$F$2615,Timesheet!$A$13:$A$2615,'Mês 1'!A33,Timesheet!$C$13:$C$2615,'Mês 1'!$I$3)</f>
        <v>0</v>
      </c>
      <c r="J33" s="6">
        <f>SUMIFS(Timesheet!$F$13:$F$2615,Timesheet!$A$13:$A$2615,'Mês 1'!A33,Timesheet!$C$13:$C$2615,'Mês 1'!$J$3)</f>
        <v>0</v>
      </c>
      <c r="K33" s="6">
        <f t="shared" si="0"/>
        <v>0</v>
      </c>
      <c r="L33" s="6">
        <f t="array" ref="L33">MIN(IF(Timesheet!$A$13:$A$11483='Mês 1'!A33,Timesheet!$D$13:$D$11483))</f>
        <v>0</v>
      </c>
      <c r="M33" s="6">
        <f t="array" ref="M33">MAX(IF(Timesheet!$A$13:$A$11483='Mês 1'!A33,Timesheet!$E$13:$E$11483))</f>
        <v>0</v>
      </c>
      <c r="P33" s="6"/>
      <c r="Q33" s="6"/>
      <c r="R33" s="6"/>
      <c r="S33" s="6"/>
      <c r="T33" s="6"/>
      <c r="U33" s="6"/>
      <c r="V33" s="6"/>
      <c r="W33" s="6"/>
      <c r="X33" s="6"/>
    </row>
    <row r="34" spans="1:69" x14ac:dyDescent="0.25">
      <c r="A34" s="1">
        <v>44957</v>
      </c>
      <c r="B34" s="6">
        <f>SUMIFS(Timesheet!$F$13:$F$11461,Timesheet!$A$13:$A$11461,'Mês 1'!A34,Timesheet!$C$13:$C$11461,'Mês 1'!$B$40)</f>
        <v>0</v>
      </c>
      <c r="C34" s="6">
        <f>SUMIFS(Timesheet!$F$13:$F$11461,Timesheet!$A$13:$A$11461,'Mês 1'!A34,Timesheet!$C$13:$C$11461,'Mês 1'!$C$40)</f>
        <v>0</v>
      </c>
      <c r="D34" s="6">
        <f>SUMIFS(Timesheet!$F$13:$F$11461,Timesheet!$A$13:$A$11461,'Mês 1'!A34,Timesheet!$C$13:$C$11461,'Mês 1'!$D$40)</f>
        <v>0</v>
      </c>
      <c r="E34" s="6">
        <f>SUMIFS(Timesheet!$F$13:$F$11461,Timesheet!$A$13:$A$11461,'Mês 1'!A34,Timesheet!$C$13:$C$11461,'Mês 1'!$E$40)</f>
        <v>0</v>
      </c>
      <c r="F34" s="6">
        <f>SUMIFS(Timesheet!$F$13:$F$11461,Timesheet!$A$13:$A$11461,'Mês 1'!A34,Timesheet!$C$13:$C$11461,'Mês 1'!$F$40)</f>
        <v>0</v>
      </c>
      <c r="G34" s="6">
        <f>SUMIFS(Timesheet!$F$13:$F$11461,Timesheet!$A$13:$A$11461,'Mês 1'!A34,Timesheet!$C$13:$C$11461,'Mês 1'!$G$40)</f>
        <v>0</v>
      </c>
      <c r="H34" s="6">
        <f>SUMIFS(Timesheet!$F$13:$F$2615,Timesheet!$A$13:$A$2615,'Mês 1'!A34,Timesheet!$C$13:$C$2615,'Mês 1'!$H$3)</f>
        <v>0</v>
      </c>
      <c r="I34" s="6">
        <f>SUMIFS(Timesheet!$F$13:$F$2615,Timesheet!$A$13:$A$2615,'Mês 1'!A34,Timesheet!$C$13:$C$2615,'Mês 1'!$I$3)</f>
        <v>0</v>
      </c>
      <c r="J34" s="6">
        <f>SUMIFS(Timesheet!$F$13:$F$2615,Timesheet!$A$13:$A$2615,'Mês 1'!A34,Timesheet!$C$13:$C$2615,'Mês 1'!$J$3)</f>
        <v>0</v>
      </c>
      <c r="K34" s="6">
        <f t="shared" si="0"/>
        <v>0</v>
      </c>
      <c r="L34" s="6" cm="1">
        <f t="array" ref="L34">MIN(IF(Timesheet!$A$13:$A$11483='Mês 1'!A34,Timesheet!$D$13:$D$11483))</f>
        <v>0</v>
      </c>
      <c r="M34" s="6">
        <f t="array" ref="M34">MAX(IF(Timesheet!$A$13:$A$11483='Mês 1'!A34,Timesheet!$E$13:$E$11483))</f>
        <v>0</v>
      </c>
      <c r="P34" s="6"/>
      <c r="Q34" s="6"/>
      <c r="R34" s="6"/>
      <c r="S34" s="6"/>
      <c r="T34" s="6"/>
      <c r="U34" s="6"/>
      <c r="V34" s="6"/>
      <c r="W34" s="6"/>
      <c r="X34" s="6"/>
    </row>
    <row r="35" spans="1:69" x14ac:dyDescent="0.25">
      <c r="A35" s="4" t="s">
        <v>12</v>
      </c>
      <c r="B35" s="7">
        <f t="shared" ref="B35:K35" si="3">+SUM(B4:B34)</f>
        <v>0</v>
      </c>
      <c r="C35" s="7">
        <f t="shared" si="3"/>
        <v>0</v>
      </c>
      <c r="D35" s="7">
        <f t="shared" si="3"/>
        <v>0</v>
      </c>
      <c r="E35" s="7">
        <f t="shared" si="3"/>
        <v>0</v>
      </c>
      <c r="F35" s="7">
        <f t="shared" si="3"/>
        <v>0</v>
      </c>
      <c r="G35" s="7">
        <f t="shared" si="3"/>
        <v>0</v>
      </c>
      <c r="H35" s="7">
        <f t="shared" si="3"/>
        <v>0</v>
      </c>
      <c r="I35" s="7">
        <f t="shared" si="3"/>
        <v>0</v>
      </c>
      <c r="J35" s="7">
        <f t="shared" si="3"/>
        <v>0</v>
      </c>
      <c r="K35" s="7">
        <f t="shared" si="3"/>
        <v>0</v>
      </c>
      <c r="L35" s="7" t="e">
        <f>AVERAGEIF(L4:L34,"&gt;0")</f>
        <v>#DIV/0!</v>
      </c>
      <c r="M35" s="7" t="e">
        <f>AVERAGEIF(M4:M34, "&gt;0")</f>
        <v>#DIV/0!</v>
      </c>
    </row>
    <row r="39" spans="1:69" x14ac:dyDescent="0.25">
      <c r="A39" t="s">
        <v>48</v>
      </c>
      <c r="B39" t="s">
        <v>35</v>
      </c>
      <c r="O39" t="s">
        <v>48</v>
      </c>
      <c r="P39" t="s">
        <v>33</v>
      </c>
      <c r="AC39" t="s">
        <v>48</v>
      </c>
      <c r="AD39" t="s">
        <v>31</v>
      </c>
      <c r="AQ39" t="s">
        <v>48</v>
      </c>
      <c r="AR39" t="s">
        <v>29</v>
      </c>
      <c r="BE39" t="s">
        <v>48</v>
      </c>
      <c r="BF39" t="s">
        <v>27</v>
      </c>
    </row>
    <row r="40" spans="1:69" x14ac:dyDescent="0.25">
      <c r="A40" s="8" t="s">
        <v>19</v>
      </c>
      <c r="B40" s="4" t="s">
        <v>6</v>
      </c>
      <c r="C40" s="4" t="s">
        <v>8</v>
      </c>
      <c r="D40" s="4" t="s">
        <v>10</v>
      </c>
      <c r="E40" s="4" t="s">
        <v>11</v>
      </c>
      <c r="F40" s="4" t="s">
        <v>9</v>
      </c>
      <c r="G40" s="4" t="s">
        <v>7</v>
      </c>
      <c r="H40" s="4" t="s">
        <v>76</v>
      </c>
      <c r="I40" s="4" t="s">
        <v>77</v>
      </c>
      <c r="J40" s="4" t="s">
        <v>78</v>
      </c>
      <c r="K40" s="4" t="s">
        <v>12</v>
      </c>
      <c r="L40" s="8" t="s">
        <v>51</v>
      </c>
      <c r="M40" s="8" t="s">
        <v>52</v>
      </c>
      <c r="O40" s="8" t="s">
        <v>19</v>
      </c>
      <c r="P40" s="4" t="s">
        <v>6</v>
      </c>
      <c r="Q40" s="4" t="s">
        <v>8</v>
      </c>
      <c r="R40" s="4" t="s">
        <v>10</v>
      </c>
      <c r="S40" s="4" t="s">
        <v>11</v>
      </c>
      <c r="T40" s="4" t="s">
        <v>9</v>
      </c>
      <c r="U40" s="4" t="s">
        <v>7</v>
      </c>
      <c r="V40" s="4" t="s">
        <v>76</v>
      </c>
      <c r="W40" s="4" t="s">
        <v>77</v>
      </c>
      <c r="X40" s="4" t="s">
        <v>78</v>
      </c>
      <c r="Y40" s="4" t="s">
        <v>12</v>
      </c>
      <c r="Z40" s="8" t="s">
        <v>51</v>
      </c>
      <c r="AA40" s="8" t="s">
        <v>52</v>
      </c>
      <c r="AC40" s="8" t="s">
        <v>19</v>
      </c>
      <c r="AD40" s="4" t="s">
        <v>6</v>
      </c>
      <c r="AE40" s="4" t="s">
        <v>8</v>
      </c>
      <c r="AF40" s="4" t="s">
        <v>10</v>
      </c>
      <c r="AG40" s="4" t="s">
        <v>11</v>
      </c>
      <c r="AH40" s="4" t="s">
        <v>9</v>
      </c>
      <c r="AI40" s="4" t="s">
        <v>7</v>
      </c>
      <c r="AJ40" s="4" t="s">
        <v>76</v>
      </c>
      <c r="AK40" s="4" t="s">
        <v>77</v>
      </c>
      <c r="AL40" s="4" t="s">
        <v>78</v>
      </c>
      <c r="AM40" s="4" t="s">
        <v>12</v>
      </c>
      <c r="AN40" s="8" t="s">
        <v>51</v>
      </c>
      <c r="AO40" s="8" t="s">
        <v>52</v>
      </c>
      <c r="AQ40" s="8" t="s">
        <v>19</v>
      </c>
      <c r="AR40" s="4" t="s">
        <v>6</v>
      </c>
      <c r="AS40" s="4" t="s">
        <v>8</v>
      </c>
      <c r="AT40" s="4" t="s">
        <v>10</v>
      </c>
      <c r="AU40" s="4" t="s">
        <v>11</v>
      </c>
      <c r="AV40" s="4" t="s">
        <v>9</v>
      </c>
      <c r="AW40" s="4" t="s">
        <v>7</v>
      </c>
      <c r="AX40" s="4" t="s">
        <v>76</v>
      </c>
      <c r="AY40" s="4" t="s">
        <v>77</v>
      </c>
      <c r="AZ40" s="4" t="s">
        <v>78</v>
      </c>
      <c r="BA40" s="4" t="s">
        <v>12</v>
      </c>
      <c r="BB40" s="8" t="s">
        <v>51</v>
      </c>
      <c r="BC40" s="8" t="s">
        <v>52</v>
      </c>
      <c r="BE40" s="8" t="s">
        <v>19</v>
      </c>
      <c r="BF40" s="4" t="s">
        <v>6</v>
      </c>
      <c r="BG40" s="4" t="s">
        <v>8</v>
      </c>
      <c r="BH40" s="4" t="s">
        <v>10</v>
      </c>
      <c r="BI40" s="4" t="s">
        <v>11</v>
      </c>
      <c r="BJ40" s="4" t="s">
        <v>9</v>
      </c>
      <c r="BK40" s="4" t="s">
        <v>7</v>
      </c>
      <c r="BL40" s="4" t="s">
        <v>76</v>
      </c>
      <c r="BM40" s="4" t="s">
        <v>77</v>
      </c>
      <c r="BN40" s="4" t="s">
        <v>78</v>
      </c>
      <c r="BO40" s="4" t="s">
        <v>12</v>
      </c>
      <c r="BP40" s="8" t="s">
        <v>51</v>
      </c>
      <c r="BQ40" s="8" t="s">
        <v>52</v>
      </c>
    </row>
    <row r="41" spans="1:69" x14ac:dyDescent="0.25">
      <c r="A41" s="1">
        <v>44986</v>
      </c>
      <c r="B41" s="6">
        <f>SUMIFS(Timesheet!$F$13:$F$11461,Timesheet!$A$13:$A$11461,'Mês 1'!A41,Timesheet!$C$13:$C$11461,'Mês 1'!$B$40)</f>
        <v>0</v>
      </c>
      <c r="C41" s="6">
        <f>SUMIFS(Timesheet!$F$13:$F$11461,Timesheet!$A$13:$A$11461,'Mês 1'!A41,Timesheet!$C$13:$C$11461,'Mês 1'!$C$40)</f>
        <v>0</v>
      </c>
      <c r="D41" s="6">
        <f>SUMIFS(Timesheet!$F$13:$F$11461,Timesheet!$A$13:$A$11461,'Mês 1'!A41,Timesheet!$C$13:$C$11461,'Mês 1'!$D$40)</f>
        <v>0</v>
      </c>
      <c r="E41" s="6">
        <f>SUMIFS(Timesheet!$F$13:$F$11461,Timesheet!$A$13:$A$11461,'Mês 1'!A41,Timesheet!$C$13:$C$11461,'Mês 1'!$E$40)</f>
        <v>0</v>
      </c>
      <c r="F41" s="6">
        <f>SUMIFS(Timesheet!$F$13:$F$11461,Timesheet!$A$13:$A$11461,'Mês 1'!A41,Timesheet!$C$13:$C$11461,'Mês 1'!$F$40)</f>
        <v>0</v>
      </c>
      <c r="G41" s="6">
        <f>SUMIFS(Timesheet!$F$13:$F$11461,Timesheet!$A$13:$A$11461,'Mês 1'!A41,Timesheet!$C$13:$C$11461,'Mês 1'!$G$40)</f>
        <v>0</v>
      </c>
      <c r="H41" s="6">
        <f>SUMIFS(Timesheet!$F$13:$F$11461,Timesheet!$A$13:$A$11461,'Mês 1'!A41,Timesheet!$C$13:$C$11461,'Mês 1'!$H$40)</f>
        <v>0</v>
      </c>
      <c r="I41" s="6">
        <f>SUMIFS(Timesheet!$F$13:$F$11461,Timesheet!$A$13:$A$11461,'Mês 1'!A41,Timesheet!$C$13:$C$11461,'Mês 1'!$I$40)</f>
        <v>0</v>
      </c>
      <c r="J41" s="6">
        <f>SUMIFS(Timesheet!$F$13:$F$11461,Timesheet!$A$13:$A$11461,'Mês 1'!A41,Timesheet!$C$13:$C$11461,'Mês 1'!$J$40)</f>
        <v>0</v>
      </c>
      <c r="K41" s="6">
        <f t="shared" ref="K41:K71" si="4">SUM(B41:I41)</f>
        <v>0</v>
      </c>
      <c r="L41" s="6">
        <f t="array" ref="L41">MIN(IF(Timesheet!$A$13:$A$11483='Mês 1'!A41,Timesheet!$D$13:$D$11483))</f>
        <v>0</v>
      </c>
      <c r="M41" s="6">
        <f t="array" ref="M41">MAX(IF(Timesheet!$A$13:$A$11483='Mês 1'!A41,Timesheet!$E$13:$E$11483))</f>
        <v>0</v>
      </c>
      <c r="O41" s="1">
        <v>45047</v>
      </c>
      <c r="P41" s="6">
        <f>SUMIFS(Timesheet!$F$13:$F$11461,Timesheet!$A$13:$A$11461,'Mês 1'!O41,Timesheet!$C$13:$C$11461,'Mês 1'!$P$40)</f>
        <v>0</v>
      </c>
      <c r="Q41" s="6">
        <f>SUMIFS(Timesheet!$F$13:$F$11461,Timesheet!$A$13:$A$11461,'Mês 1'!O41,Timesheet!$C$13:$C$11461,'Mês 1'!$Q$40)</f>
        <v>0</v>
      </c>
      <c r="R41" s="6">
        <f>SUMIFS(Timesheet!$F$13:$F$11461,Timesheet!$A$13:$A$11461,'Mês 1'!O41,Timesheet!$C$13:$C$11461,'Mês 1'!$R$40)</f>
        <v>0</v>
      </c>
      <c r="S41" s="6">
        <f>SUMIFS(Timesheet!$F$13:$F$11461,Timesheet!$A$13:$A$11461,'Mês 1'!O41,Timesheet!$C$13:$C$11461,'Mês 1'!$S$40)</f>
        <v>0</v>
      </c>
      <c r="T41" s="6">
        <f>SUMIFS(Timesheet!$F$13:$F$11461,Timesheet!$A$13:$A$11461,'Mês 1'!O41,Timesheet!$C$13:$C$11461,'Mês 1'!$T$40)</f>
        <v>0</v>
      </c>
      <c r="U41" s="6">
        <f>SUMIFS(Timesheet!$F$13:$F$11461,Timesheet!$A$13:$A$11461,'Mês 1'!O41,Timesheet!$C$13:$C$11461,'Mês 1'!$U$40)</f>
        <v>0</v>
      </c>
      <c r="V41" s="6">
        <f>SUMIFS(Timesheet!$F$13:$F$11461,Timesheet!$A$13:$A$11461,'Mês 1'!O41,Timesheet!$C$13:$C$11461,'Mês 1'!$V$40)</f>
        <v>0</v>
      </c>
      <c r="W41" s="6">
        <f>SUMIFS(Timesheet!$F$13:$F$11461,Timesheet!$A$13:$A$11461,'Mês 1'!O41,Timesheet!$C$13:$C$11461,'Mês 1'!$W$40)</f>
        <v>0</v>
      </c>
      <c r="X41" s="6">
        <f>SUMIFS(Timesheet!$F$13:$F$11461,Timesheet!$A$13:$A$11461,'Mês 1'!O41,Timesheet!$C$13:$C$11461,'Mês 1'!$X$40)</f>
        <v>0</v>
      </c>
      <c r="Y41" s="6">
        <f t="shared" ref="Y41:Y71" si="5">SUM(P41:W41)</f>
        <v>0</v>
      </c>
      <c r="Z41" s="6">
        <f t="array" ref="Z41">MIN(IF(Timesheet!$A$13:$A$11483='Mês 1'!O41,Timesheet!$D$13:$D$11483))</f>
        <v>0</v>
      </c>
      <c r="AA41" s="6">
        <f t="array" ref="AA41">MAX(IF(Timesheet!$A$13:$A$11483='Mês 1'!O41,Timesheet!$E$13:$E$11483))</f>
        <v>0</v>
      </c>
      <c r="AC41" s="1">
        <v>45108</v>
      </c>
      <c r="AD41" s="6">
        <f>SUMIFS(Timesheet!$F$13:$F$11461,Timesheet!$A$13:$A$11461,'Mês 1'!AC41,Timesheet!$C$13:$C$11461,'Mês 1'!$AD$40)</f>
        <v>0</v>
      </c>
      <c r="AE41" s="6">
        <f>SUMIFS(Timesheet!$F$13:$F$11461,Timesheet!$A$13:$A$11461,'Mês 1'!AC41,Timesheet!$C$13:$C$11461,'Mês 1'!$AE$40)</f>
        <v>0</v>
      </c>
      <c r="AF41" s="6">
        <f>SUMIFS(Timesheet!$F$13:$F$11461,Timesheet!$A$13:$A$11461,'Mês 1'!AC41,Timesheet!$C$13:$C$11461,'Mês 1'!$AF$40)</f>
        <v>0</v>
      </c>
      <c r="AG41" s="6">
        <f>SUMIFS(Timesheet!$F$13:$F$11461,Timesheet!$A$13:$A$11461,'Mês 1'!AC41,Timesheet!$C$13:$C$11461,'Mês 1'!$AG$40)</f>
        <v>0</v>
      </c>
      <c r="AH41" s="6">
        <f>SUMIFS(Timesheet!$F$13:$F$11461,Timesheet!$A$13:$A$11461,'Mês 1'!AC41,Timesheet!$C$13:$C$11461,'Mês 1'!$AH$40)</f>
        <v>0</v>
      </c>
      <c r="AI41" s="6">
        <f>SUMIFS(Timesheet!$F$13:$F$11461,Timesheet!$A$13:$A$11461,'Mês 1'!AC41,Timesheet!$C$13:$C$11461,'Mês 1'!$AI$40)</f>
        <v>0</v>
      </c>
      <c r="AJ41" s="6">
        <f>SUMIFS(Timesheet!$F$13:$F$11461,Timesheet!$A$13:$A$11461,'Mês 1'!AC41,Timesheet!$C$13:$C$11461,'Mês 1'!$AJ$40)</f>
        <v>0</v>
      </c>
      <c r="AK41" s="6">
        <f>SUMIFS(Timesheet!$F$13:$F$11461,Timesheet!$A$13:$A$11461,'Mês 1'!AC41,Timesheet!$C$13:$C$11461,'Mês 1'!$AK$40)</f>
        <v>0</v>
      </c>
      <c r="AL41" s="6">
        <f>SUMIFS(Timesheet!$F$13:$F$11461,Timesheet!$A$13:$A$11461,'Mês 1'!AC41,Timesheet!$C$13:$C$11461,'Mês 1'!$AL$40)</f>
        <v>0</v>
      </c>
      <c r="AM41" s="6">
        <f t="shared" ref="AM41:AM71" si="6">SUM(AD41:AK41)</f>
        <v>0</v>
      </c>
      <c r="AN41" s="6">
        <f t="array" ref="AN41">MIN(IF(Timesheet!$A$13:$A$11483='Mês 1'!AC41,Timesheet!$D$13:$D$11483))</f>
        <v>0</v>
      </c>
      <c r="AO41" s="6">
        <f t="array" ref="AO41">MAX(IF(Timesheet!$A$13:$A$11483='Mês 1'!AC41,Timesheet!$E$13:$E$11483))</f>
        <v>0</v>
      </c>
      <c r="AQ41" s="1">
        <v>45170</v>
      </c>
      <c r="AR41" s="6">
        <f>SUMIFS(Timesheet!$F$13:$F$11461,Timesheet!$A$13:$A$11461,'Mês 1'!AQ41,Timesheet!$C$13:$C$11461,'Mês 1'!$AR$40)</f>
        <v>0</v>
      </c>
      <c r="AS41" s="6">
        <f>SUMIFS(Timesheet!$F$13:$F$11461,Timesheet!$A$13:$A$11461,'Mês 1'!AQ41,Timesheet!$C$13:$C$11461,'Mês 1'!$AS$40)</f>
        <v>0</v>
      </c>
      <c r="AT41" s="6">
        <f>SUMIFS(Timesheet!$F$13:$F$11461,Timesheet!$A$13:$A$11461,'Mês 1'!AQ41,Timesheet!$C$13:$C$11461,'Mês 1'!$AT$40)</f>
        <v>0</v>
      </c>
      <c r="AU41" s="6">
        <f>SUMIFS(Timesheet!$F$13:$F$11461,Timesheet!$A$13:$A$11461,'Mês 1'!AQ41,Timesheet!$C$13:$C$11461,'Mês 1'!$AU$40)</f>
        <v>0</v>
      </c>
      <c r="AV41" s="6">
        <f>SUMIFS(Timesheet!$F$13:$F$11461,Timesheet!$A$13:$A$11461,'Mês 1'!AQ41,Timesheet!$C$13:$C$11461,'Mês 1'!$AV$40)</f>
        <v>0</v>
      </c>
      <c r="AW41" s="6">
        <f>SUMIFS(Timesheet!$F$13:$F$11461,Timesheet!$A$13:$A$11461,'Mês 1'!AQ41,Timesheet!$C$13:$C$11461,'Mês 1'!$AW$40)</f>
        <v>0</v>
      </c>
      <c r="AX41" s="6">
        <f>SUMIFS(Timesheet!$F$13:$F$11461,Timesheet!$A$13:$A$11461,'Mês 1'!AQ41,Timesheet!$C$13:$C$11461,'Mês 1'!$AX$40)</f>
        <v>0</v>
      </c>
      <c r="AY41" s="6">
        <f>SUMIFS(Timesheet!$F$13:$F$11461,Timesheet!$A$13:$A$11461,'Mês 1'!AQ41,Timesheet!$C$13:$C$11461,'Mês 1'!$AY$40)</f>
        <v>0</v>
      </c>
      <c r="AZ41" s="6">
        <f>SUMIFS(Timesheet!$F$13:$F$11461,Timesheet!$A$13:$A$11461,'Mês 1'!AQ41,Timesheet!$C$13:$C$11461,'Mês 1'!$AZ$40)</f>
        <v>0</v>
      </c>
      <c r="BA41" s="6">
        <f t="shared" ref="BA41:BA70" si="7">SUM(AR41:AY41)</f>
        <v>0</v>
      </c>
      <c r="BB41" s="6">
        <f t="array" ref="BB41">MIN(IF(Timesheet!$A$13:$A$11483='Mês 1'!AQ41,Timesheet!$D$13:$D$11483))</f>
        <v>0</v>
      </c>
      <c r="BC41" s="6">
        <f t="array" ref="BC41">MAX(IF(Timesheet!$A$13:$A$11483='Mês 1'!AQ41,Timesheet!$E$13:$E$11483))</f>
        <v>0</v>
      </c>
      <c r="BE41" s="1">
        <v>45231</v>
      </c>
      <c r="BF41" s="6">
        <f>SUMIFS(Timesheet!$F$13:$F$11461,Timesheet!$A$13:$A$11461,'Mês 1'!BE41,Timesheet!$C$13:$C$11461,'Mês 1'!$BF$40)</f>
        <v>0</v>
      </c>
      <c r="BG41" s="6">
        <f>SUMIFS(Timesheet!$F$13:$F$11461,Timesheet!$A$13:$A$11461,'Mês 1'!BE41,Timesheet!$C$13:$C$11461,'Mês 1'!$BG$40)</f>
        <v>0</v>
      </c>
      <c r="BH41" s="6">
        <f>SUMIFS(Timesheet!$F$13:$F$11461,Timesheet!$A$13:$A$11461,'Mês 1'!BE41,Timesheet!$C$13:$C$11461,'Mês 1'!$BH$40)</f>
        <v>0</v>
      </c>
      <c r="BI41" s="6">
        <f>SUMIFS(Timesheet!$F$13:$F$11461,Timesheet!$A$13:$A$11461,'Mês 1'!BE41,Timesheet!$C$13:$C$11461,'Mês 1'!$BI$40)</f>
        <v>0</v>
      </c>
      <c r="BJ41" s="6">
        <f>SUMIFS(Timesheet!$F$13:$F$11461,Timesheet!$A$13:$A$11461,'Mês 1'!BE41,Timesheet!$C$13:$C$11461,'Mês 1'!$BJ$40)</f>
        <v>0</v>
      </c>
      <c r="BK41" s="6">
        <f>SUMIFS(Timesheet!$F$13:$F$11461,Timesheet!$A$13:$A$11461,'Mês 1'!BE41,Timesheet!$C$13:$C$11461,'Mês 1'!$BK$40)</f>
        <v>0</v>
      </c>
      <c r="BL41" s="6">
        <f>SUMIFS(Timesheet!$F$13:$F$11461,Timesheet!$A$13:$A$11461,'Mês 1'!BE41,Timesheet!$C$13:$C$11461,'Mês 1'!$BL$40)</f>
        <v>0</v>
      </c>
      <c r="BM41" s="6">
        <f>SUMIFS(Timesheet!$F$13:$F$11461,Timesheet!$A$13:$A$11461,'Mês 1'!BE41,Timesheet!$C$13:$C$11461,'Mês 1'!$BM$40)</f>
        <v>0</v>
      </c>
      <c r="BN41" s="6">
        <f>SUMIFS(Timesheet!$F$13:$F$11461,Timesheet!$A$13:$A$11461,'Mês 1'!BE41,Timesheet!$C$13:$C$11461,'Mês 1'!$BN$40)</f>
        <v>0</v>
      </c>
      <c r="BO41" s="6">
        <f t="shared" ref="BO41:BO70" si="8">SUM(BF41:BM41)</f>
        <v>0</v>
      </c>
      <c r="BP41" s="6">
        <f t="array" ref="BP41">MIN(IF(Timesheet!$A$13:$A$11483='Mês 1'!BE41,Timesheet!$D$13:$D$11483))</f>
        <v>0</v>
      </c>
      <c r="BQ41" s="6">
        <f t="array" ref="BQ41">MAX(IF(Timesheet!$A$13:$A$11483='Mês 1'!BE41,Timesheet!$E$13:$E$11483))</f>
        <v>0</v>
      </c>
    </row>
    <row r="42" spans="1:69" x14ac:dyDescent="0.25">
      <c r="A42" s="1">
        <v>44987</v>
      </c>
      <c r="B42" s="6">
        <f>SUMIFS(Timesheet!$F$13:$F$11461,Timesheet!$A$13:$A$11461,'Mês 1'!A42,Timesheet!$C$13:$C$11461,'Mês 1'!$B$40)</f>
        <v>0</v>
      </c>
      <c r="C42" s="6">
        <f>SUMIFS(Timesheet!$F$13:$F$11461,Timesheet!$A$13:$A$11461,'Mês 1'!A42,Timesheet!$C$13:$C$11461,'Mês 1'!$C$40)</f>
        <v>0</v>
      </c>
      <c r="D42" s="6">
        <f>SUMIFS(Timesheet!$F$13:$F$11461,Timesheet!$A$13:$A$11461,'Mês 1'!A42,Timesheet!$C$13:$C$11461,'Mês 1'!$D$40)</f>
        <v>0</v>
      </c>
      <c r="E42" s="6">
        <f>SUMIFS(Timesheet!$F$13:$F$11461,Timesheet!$A$13:$A$11461,'Mês 1'!A42,Timesheet!$C$13:$C$11461,'Mês 1'!$E$40)</f>
        <v>0</v>
      </c>
      <c r="F42" s="6">
        <f>SUMIFS(Timesheet!$F$13:$F$11461,Timesheet!$A$13:$A$11461,'Mês 1'!A42,Timesheet!$C$13:$C$11461,'Mês 1'!$F$40)</f>
        <v>0</v>
      </c>
      <c r="G42" s="6">
        <f>SUMIFS(Timesheet!$F$13:$F$11461,Timesheet!$A$13:$A$11461,'Mês 1'!A42,Timesheet!$C$13:$C$11461,'Mês 1'!$G$40)</f>
        <v>0</v>
      </c>
      <c r="H42" s="6">
        <f>SUMIFS(Timesheet!$F$13:$F$11461,Timesheet!$A$13:$A$11461,'Mês 1'!A42,Timesheet!$C$13:$C$11461,'Mês 1'!$H$40)</f>
        <v>0</v>
      </c>
      <c r="I42" s="6">
        <f>SUMIFS(Timesheet!$F$13:$F$11461,Timesheet!$A$13:$A$11461,'Mês 1'!A42,Timesheet!$C$13:$C$11461,'Mês 1'!$I$40)</f>
        <v>0</v>
      </c>
      <c r="J42" s="6">
        <f>SUMIFS(Timesheet!$F$13:$F$11461,Timesheet!$A$13:$A$11461,'Mês 1'!A42,Timesheet!$C$13:$C$11461,'Mês 1'!$J$40)</f>
        <v>0</v>
      </c>
      <c r="K42" s="6">
        <f t="shared" si="4"/>
        <v>0</v>
      </c>
      <c r="L42" s="6">
        <f t="array" ref="L42">MIN(IF(Timesheet!$A$13:$A$11483='Mês 1'!A42,Timesheet!$D$13:$D$11483))</f>
        <v>0</v>
      </c>
      <c r="M42" s="6">
        <f t="array" ref="M42">MAX(IF(Timesheet!$A$13:$A$11483='Mês 1'!A42,Timesheet!$E$13:$E$11483))</f>
        <v>0</v>
      </c>
      <c r="O42" s="1">
        <v>45048</v>
      </c>
      <c r="P42" s="6">
        <f>SUMIFS(Timesheet!$F$13:$F$11461,Timesheet!$A$13:$A$11461,'Mês 1'!O42,Timesheet!$C$13:$C$11461,'Mês 1'!$P$40)</f>
        <v>0</v>
      </c>
      <c r="Q42" s="6">
        <f>SUMIFS(Timesheet!$F$13:$F$11461,Timesheet!$A$13:$A$11461,'Mês 1'!O42,Timesheet!$C$13:$C$11461,'Mês 1'!$Q$40)</f>
        <v>0</v>
      </c>
      <c r="R42" s="6">
        <f>SUMIFS(Timesheet!$F$13:$F$11461,Timesheet!$A$13:$A$11461,'Mês 1'!O42,Timesheet!$C$13:$C$11461,'Mês 1'!$R$40)</f>
        <v>0</v>
      </c>
      <c r="S42" s="6">
        <f>SUMIFS(Timesheet!$F$13:$F$11461,Timesheet!$A$13:$A$11461,'Mês 1'!O42,Timesheet!$C$13:$C$11461,'Mês 1'!$S$40)</f>
        <v>0</v>
      </c>
      <c r="T42" s="6">
        <f>SUMIFS(Timesheet!$F$13:$F$11461,Timesheet!$A$13:$A$11461,'Mês 1'!O42,Timesheet!$C$13:$C$11461,'Mês 1'!$T$40)</f>
        <v>0</v>
      </c>
      <c r="U42" s="6">
        <f>SUMIFS(Timesheet!$F$13:$F$11461,Timesheet!$A$13:$A$11461,'Mês 1'!O42,Timesheet!$C$13:$C$11461,'Mês 1'!$U$40)</f>
        <v>0</v>
      </c>
      <c r="V42" s="6">
        <f>SUMIFS(Timesheet!$F$13:$F$11461,Timesheet!$A$13:$A$11461,'Mês 1'!O42,Timesheet!$C$13:$C$11461,'Mês 1'!$V$40)</f>
        <v>0</v>
      </c>
      <c r="W42" s="6">
        <f>SUMIFS(Timesheet!$F$13:$F$11461,Timesheet!$A$13:$A$11461,'Mês 1'!O42,Timesheet!$C$13:$C$11461,'Mês 1'!$W$40)</f>
        <v>0</v>
      </c>
      <c r="X42" s="6">
        <f>SUMIFS(Timesheet!$F$13:$F$11461,Timesheet!$A$13:$A$11461,'Mês 1'!O42,Timesheet!$C$13:$C$11461,'Mês 1'!$X$40)</f>
        <v>0</v>
      </c>
      <c r="Y42" s="6">
        <f t="shared" si="5"/>
        <v>0</v>
      </c>
      <c r="Z42" s="6">
        <f t="array" ref="Z42">MIN(IF(Timesheet!$A$13:$A$11483='Mês 1'!O42,Timesheet!$D$13:$D$11483))</f>
        <v>0</v>
      </c>
      <c r="AA42" s="6">
        <f t="array" ref="AA42">MAX(IF(Timesheet!$A$13:$A$11483='Mês 1'!O42,Timesheet!$E$13:$E$11483))</f>
        <v>0</v>
      </c>
      <c r="AC42" s="1">
        <v>45109</v>
      </c>
      <c r="AD42" s="6">
        <f>SUMIFS(Timesheet!$F$13:$F$11461,Timesheet!$A$13:$A$11461,'Mês 1'!AC42,Timesheet!$C$13:$C$11461,'Mês 1'!$AD$40)</f>
        <v>0</v>
      </c>
      <c r="AE42" s="6">
        <f>SUMIFS(Timesheet!$F$13:$F$11461,Timesheet!$A$13:$A$11461,'Mês 1'!AC42,Timesheet!$C$13:$C$11461,'Mês 1'!$AE$40)</f>
        <v>0</v>
      </c>
      <c r="AF42" s="6">
        <f>SUMIFS(Timesheet!$F$13:$F$11461,Timesheet!$A$13:$A$11461,'Mês 1'!AC42,Timesheet!$C$13:$C$11461,'Mês 1'!$AF$40)</f>
        <v>0</v>
      </c>
      <c r="AG42" s="6">
        <f>SUMIFS(Timesheet!$F$13:$F$11461,Timesheet!$A$13:$A$11461,'Mês 1'!AC42,Timesheet!$C$13:$C$11461,'Mês 1'!$AG$40)</f>
        <v>0</v>
      </c>
      <c r="AH42" s="6">
        <f>SUMIFS(Timesheet!$F$13:$F$11461,Timesheet!$A$13:$A$11461,'Mês 1'!AC42,Timesheet!$C$13:$C$11461,'Mês 1'!$AH$40)</f>
        <v>0</v>
      </c>
      <c r="AI42" s="6">
        <f>SUMIFS(Timesheet!$F$13:$F$11461,Timesheet!$A$13:$A$11461,'Mês 1'!AC42,Timesheet!$C$13:$C$11461,'Mês 1'!$AI$40)</f>
        <v>0</v>
      </c>
      <c r="AJ42" s="6">
        <f>SUMIFS(Timesheet!$F$13:$F$11461,Timesheet!$A$13:$A$11461,'Mês 1'!AC42,Timesheet!$C$13:$C$11461,'Mês 1'!$AJ$40)</f>
        <v>0</v>
      </c>
      <c r="AK42" s="6">
        <f>SUMIFS(Timesheet!$F$13:$F$11461,Timesheet!$A$13:$A$11461,'Mês 1'!AC42,Timesheet!$C$13:$C$11461,'Mês 1'!$AK$40)</f>
        <v>0</v>
      </c>
      <c r="AL42" s="6">
        <f>SUMIFS(Timesheet!$F$13:$F$11461,Timesheet!$A$13:$A$11461,'Mês 1'!AC42,Timesheet!$C$13:$C$11461,'Mês 1'!$AL$40)</f>
        <v>0</v>
      </c>
      <c r="AM42" s="6">
        <f t="shared" si="6"/>
        <v>0</v>
      </c>
      <c r="AN42" s="6" cm="1">
        <f t="array" ref="AN42">MIN(IF(Timesheet!$A$13:$A$11483='Mês 1'!AC42,Timesheet!$D$13:$D$11483))</f>
        <v>0</v>
      </c>
      <c r="AO42" s="6">
        <f t="array" ref="AO42">MAX(IF(Timesheet!$A$13:$A$11483='Mês 1'!AC42,Timesheet!$E$13:$E$11483))</f>
        <v>0</v>
      </c>
      <c r="AQ42" s="1">
        <v>45171</v>
      </c>
      <c r="AR42" s="6">
        <f>SUMIFS(Timesheet!$F$13:$F$11461,Timesheet!$A$13:$A$11461,'Mês 1'!AQ42,Timesheet!$C$13:$C$11461,'Mês 1'!$AR$40)</f>
        <v>0</v>
      </c>
      <c r="AS42" s="6">
        <f>SUMIFS(Timesheet!$F$13:$F$11461,Timesheet!$A$13:$A$11461,'Mês 1'!AQ42,Timesheet!$C$13:$C$11461,'Mês 1'!$AS$40)</f>
        <v>0</v>
      </c>
      <c r="AT42" s="6">
        <f>SUMIFS(Timesheet!$F$13:$F$11461,Timesheet!$A$13:$A$11461,'Mês 1'!AQ42,Timesheet!$C$13:$C$11461,'Mês 1'!$AT$40)</f>
        <v>0</v>
      </c>
      <c r="AU42" s="6">
        <f>SUMIFS(Timesheet!$F$13:$F$11461,Timesheet!$A$13:$A$11461,'Mês 1'!AQ42,Timesheet!$C$13:$C$11461,'Mês 1'!$AU$40)</f>
        <v>0</v>
      </c>
      <c r="AV42" s="6">
        <f>SUMIFS(Timesheet!$F$13:$F$11461,Timesheet!$A$13:$A$11461,'Mês 1'!AQ42,Timesheet!$C$13:$C$11461,'Mês 1'!$AV$40)</f>
        <v>0</v>
      </c>
      <c r="AW42" s="6">
        <f>SUMIFS(Timesheet!$F$13:$F$11461,Timesheet!$A$13:$A$11461,'Mês 1'!AQ42,Timesheet!$C$13:$C$11461,'Mês 1'!$AW$40)</f>
        <v>0</v>
      </c>
      <c r="AX42" s="6">
        <f>SUMIFS(Timesheet!$F$13:$F$11461,Timesheet!$A$13:$A$11461,'Mês 1'!AQ42,Timesheet!$C$13:$C$11461,'Mês 1'!$AX$40)</f>
        <v>0</v>
      </c>
      <c r="AY42" s="6">
        <f>SUMIFS(Timesheet!$F$13:$F$11461,Timesheet!$A$13:$A$11461,'Mês 1'!AQ42,Timesheet!$C$13:$C$11461,'Mês 1'!$AY$40)</f>
        <v>0</v>
      </c>
      <c r="AZ42" s="6">
        <f>SUMIFS(Timesheet!$F$13:$F$11461,Timesheet!$A$13:$A$11461,'Mês 1'!AQ42,Timesheet!$C$13:$C$11461,'Mês 1'!$AZ$40)</f>
        <v>0</v>
      </c>
      <c r="BA42" s="6">
        <f t="shared" si="7"/>
        <v>0</v>
      </c>
      <c r="BB42" s="6">
        <f t="array" ref="BB42">MIN(IF(Timesheet!$A$13:$A$11483='Mês 1'!AQ42,Timesheet!$D$13:$D$11483))</f>
        <v>0</v>
      </c>
      <c r="BC42" s="6">
        <f t="array" ref="BC42">MAX(IF(Timesheet!$A$13:$A$11483='Mês 1'!AQ42,Timesheet!$E$13:$E$11483))</f>
        <v>0</v>
      </c>
      <c r="BE42" s="1">
        <v>45232</v>
      </c>
      <c r="BF42" s="6">
        <f>SUMIFS(Timesheet!$F$13:$F$11461,Timesheet!$A$13:$A$11461,'Mês 1'!BE42,Timesheet!$C$13:$C$11461,'Mês 1'!$BF$40)</f>
        <v>0</v>
      </c>
      <c r="BG42" s="6">
        <f>SUMIFS(Timesheet!$F$13:$F$11461,Timesheet!$A$13:$A$11461,'Mês 1'!BE42,Timesheet!$C$13:$C$11461,'Mês 1'!$BG$40)</f>
        <v>0</v>
      </c>
      <c r="BH42" s="6">
        <f>SUMIFS(Timesheet!$F$13:$F$11461,Timesheet!$A$13:$A$11461,'Mês 1'!BE42,Timesheet!$C$13:$C$11461,'Mês 1'!$BH$40)</f>
        <v>0</v>
      </c>
      <c r="BI42" s="6">
        <f>SUMIFS(Timesheet!$F$13:$F$11461,Timesheet!$A$13:$A$11461,'Mês 1'!BE42,Timesheet!$C$13:$C$11461,'Mês 1'!$BI$40)</f>
        <v>0</v>
      </c>
      <c r="BJ42" s="6">
        <f>SUMIFS(Timesheet!$F$13:$F$11461,Timesheet!$A$13:$A$11461,'Mês 1'!BE42,Timesheet!$C$13:$C$11461,'Mês 1'!$BJ$40)</f>
        <v>0</v>
      </c>
      <c r="BK42" s="6">
        <f>SUMIFS(Timesheet!$F$13:$F$11461,Timesheet!$A$13:$A$11461,'Mês 1'!BE42,Timesheet!$C$13:$C$11461,'Mês 1'!$BK$40)</f>
        <v>0</v>
      </c>
      <c r="BL42" s="6">
        <f>SUMIFS(Timesheet!$F$13:$F$11461,Timesheet!$A$13:$A$11461,'Mês 1'!BE42,Timesheet!$C$13:$C$11461,'Mês 1'!$BL$40)</f>
        <v>0</v>
      </c>
      <c r="BM42" s="6">
        <f>SUMIFS(Timesheet!$F$13:$F$11461,Timesheet!$A$13:$A$11461,'Mês 1'!BE42,Timesheet!$C$13:$C$11461,'Mês 1'!$BM$40)</f>
        <v>0</v>
      </c>
      <c r="BN42" s="6">
        <f>SUMIFS(Timesheet!$F$13:$F$11461,Timesheet!$A$13:$A$11461,'Mês 1'!BE42,Timesheet!$C$13:$C$11461,'Mês 1'!$BN$40)</f>
        <v>0</v>
      </c>
      <c r="BO42" s="6">
        <f t="shared" si="8"/>
        <v>0</v>
      </c>
      <c r="BP42" s="6">
        <f t="array" ref="BP42">MIN(IF(Timesheet!$A$13:$A$11483='Mês 1'!BE42,Timesheet!$D$13:$D$11483))</f>
        <v>0</v>
      </c>
      <c r="BQ42" s="6">
        <f t="array" ref="BQ42">MAX(IF(Timesheet!$A$13:$A$11483='Mês 1'!BE42,Timesheet!$E$13:$E$11483))</f>
        <v>0</v>
      </c>
    </row>
    <row r="43" spans="1:69" x14ac:dyDescent="0.25">
      <c r="A43" s="1">
        <v>44988</v>
      </c>
      <c r="B43" s="6">
        <f>SUMIFS(Timesheet!$F$13:$F$11461,Timesheet!$A$13:$A$11461,'Mês 1'!A43,Timesheet!$C$13:$C$11461,'Mês 1'!$B$40)</f>
        <v>0</v>
      </c>
      <c r="C43" s="6">
        <f>SUMIFS(Timesheet!$F$13:$F$11461,Timesheet!$A$13:$A$11461,'Mês 1'!A43,Timesheet!$C$13:$C$11461,'Mês 1'!$C$40)</f>
        <v>0</v>
      </c>
      <c r="D43" s="6">
        <f>SUMIFS(Timesheet!$F$13:$F$11461,Timesheet!$A$13:$A$11461,'Mês 1'!A43,Timesheet!$C$13:$C$11461,'Mês 1'!$D$40)</f>
        <v>0</v>
      </c>
      <c r="E43" s="6">
        <f>SUMIFS(Timesheet!$F$13:$F$11461,Timesheet!$A$13:$A$11461,'Mês 1'!A43,Timesheet!$C$13:$C$11461,'Mês 1'!$E$40)</f>
        <v>0</v>
      </c>
      <c r="F43" s="6">
        <f>SUMIFS(Timesheet!$F$13:$F$11461,Timesheet!$A$13:$A$11461,'Mês 1'!A43,Timesheet!$C$13:$C$11461,'Mês 1'!$F$40)</f>
        <v>0</v>
      </c>
      <c r="G43" s="6">
        <f>SUMIFS(Timesheet!$F$13:$F$11461,Timesheet!$A$13:$A$11461,'Mês 1'!A43,Timesheet!$C$13:$C$11461,'Mês 1'!$G$40)</f>
        <v>0</v>
      </c>
      <c r="H43" s="6">
        <f>SUMIFS(Timesheet!$F$13:$F$11461,Timesheet!$A$13:$A$11461,'Mês 1'!A43,Timesheet!$C$13:$C$11461,'Mês 1'!$H$40)</f>
        <v>0</v>
      </c>
      <c r="I43" s="6">
        <f>SUMIFS(Timesheet!$F$13:$F$11461,Timesheet!$A$13:$A$11461,'Mês 1'!A43,Timesheet!$C$13:$C$11461,'Mês 1'!$I$40)</f>
        <v>0</v>
      </c>
      <c r="J43" s="6">
        <f>SUMIFS(Timesheet!$F$13:$F$11461,Timesheet!$A$13:$A$11461,'Mês 1'!A43,Timesheet!$C$13:$C$11461,'Mês 1'!$J$40)</f>
        <v>0</v>
      </c>
      <c r="K43" s="6">
        <f t="shared" si="4"/>
        <v>0</v>
      </c>
      <c r="L43" s="6">
        <f t="array" ref="L43">MIN(IF(Timesheet!$A$13:$A$11483='Mês 1'!A43,Timesheet!$D$13:$D$11483))</f>
        <v>0</v>
      </c>
      <c r="M43" s="6">
        <f t="array" ref="M43">MAX(IF(Timesheet!$A$13:$A$11483='Mês 1'!A43,Timesheet!$E$13:$E$11483))</f>
        <v>0</v>
      </c>
      <c r="O43" s="1">
        <v>45049</v>
      </c>
      <c r="P43" s="6">
        <f>SUMIFS(Timesheet!$F$13:$F$11461,Timesheet!$A$13:$A$11461,'Mês 1'!O43,Timesheet!$C$13:$C$11461,'Mês 1'!$P$40)</f>
        <v>0</v>
      </c>
      <c r="Q43" s="6">
        <f>SUMIFS(Timesheet!$F$13:$F$11461,Timesheet!$A$13:$A$11461,'Mês 1'!O43,Timesheet!$C$13:$C$11461,'Mês 1'!$Q$40)</f>
        <v>0</v>
      </c>
      <c r="R43" s="6">
        <f>SUMIFS(Timesheet!$F$13:$F$11461,Timesheet!$A$13:$A$11461,'Mês 1'!O43,Timesheet!$C$13:$C$11461,'Mês 1'!$R$40)</f>
        <v>0</v>
      </c>
      <c r="S43" s="6">
        <f>SUMIFS(Timesheet!$F$13:$F$11461,Timesheet!$A$13:$A$11461,'Mês 1'!O43,Timesheet!$C$13:$C$11461,'Mês 1'!$S$40)</f>
        <v>0</v>
      </c>
      <c r="T43" s="6">
        <f>SUMIFS(Timesheet!$F$13:$F$11461,Timesheet!$A$13:$A$11461,'Mês 1'!O43,Timesheet!$C$13:$C$11461,'Mês 1'!$T$40)</f>
        <v>0</v>
      </c>
      <c r="U43" s="6">
        <f>SUMIFS(Timesheet!$F$13:$F$11461,Timesheet!$A$13:$A$11461,'Mês 1'!O43,Timesheet!$C$13:$C$11461,'Mês 1'!$U$40)</f>
        <v>0</v>
      </c>
      <c r="V43" s="6">
        <f>SUMIFS(Timesheet!$F$13:$F$11461,Timesheet!$A$13:$A$11461,'Mês 1'!O43,Timesheet!$C$13:$C$11461,'Mês 1'!$V$40)</f>
        <v>0</v>
      </c>
      <c r="W43" s="6">
        <f>SUMIFS(Timesheet!$F$13:$F$11461,Timesheet!$A$13:$A$11461,'Mês 1'!O43,Timesheet!$C$13:$C$11461,'Mês 1'!$W$40)</f>
        <v>0</v>
      </c>
      <c r="X43" s="6">
        <f>SUMIFS(Timesheet!$F$13:$F$11461,Timesheet!$A$13:$A$11461,'Mês 1'!O43,Timesheet!$C$13:$C$11461,'Mês 1'!$X$40)</f>
        <v>0</v>
      </c>
      <c r="Y43" s="6">
        <f t="shared" si="5"/>
        <v>0</v>
      </c>
      <c r="Z43" s="6">
        <f t="array" ref="Z43">MIN(IF(Timesheet!$A$13:$A$11483='Mês 1'!O43,Timesheet!$D$13:$D$11483))</f>
        <v>0</v>
      </c>
      <c r="AA43" s="6">
        <f t="array" ref="AA43">MAX(IF(Timesheet!$A$13:$A$11483='Mês 1'!O43,Timesheet!$E$13:$E$11483))</f>
        <v>0</v>
      </c>
      <c r="AC43" s="1">
        <v>45110</v>
      </c>
      <c r="AD43" s="6">
        <f>SUMIFS(Timesheet!$F$13:$F$11461,Timesheet!$A$13:$A$11461,'Mês 1'!AC43,Timesheet!$C$13:$C$11461,'Mês 1'!$AD$40)</f>
        <v>0</v>
      </c>
      <c r="AE43" s="6">
        <f>SUMIFS(Timesheet!$F$13:$F$11461,Timesheet!$A$13:$A$11461,'Mês 1'!AC43,Timesheet!$C$13:$C$11461,'Mês 1'!$AE$40)</f>
        <v>0</v>
      </c>
      <c r="AF43" s="6">
        <f>SUMIFS(Timesheet!$F$13:$F$11461,Timesheet!$A$13:$A$11461,'Mês 1'!AC43,Timesheet!$C$13:$C$11461,'Mês 1'!$AF$40)</f>
        <v>0</v>
      </c>
      <c r="AG43" s="6">
        <f>SUMIFS(Timesheet!$F$13:$F$11461,Timesheet!$A$13:$A$11461,'Mês 1'!AC43,Timesheet!$C$13:$C$11461,'Mês 1'!$AG$40)</f>
        <v>0</v>
      </c>
      <c r="AH43" s="6">
        <f>SUMIFS(Timesheet!$F$13:$F$11461,Timesheet!$A$13:$A$11461,'Mês 1'!AC43,Timesheet!$C$13:$C$11461,'Mês 1'!$AH$40)</f>
        <v>0</v>
      </c>
      <c r="AI43" s="6">
        <f>SUMIFS(Timesheet!$F$13:$F$11461,Timesheet!$A$13:$A$11461,'Mês 1'!AC43,Timesheet!$C$13:$C$11461,'Mês 1'!$AI$40)</f>
        <v>0</v>
      </c>
      <c r="AJ43" s="6">
        <f>SUMIFS(Timesheet!$F$13:$F$11461,Timesheet!$A$13:$A$11461,'Mês 1'!AC43,Timesheet!$C$13:$C$11461,'Mês 1'!$AJ$40)</f>
        <v>0</v>
      </c>
      <c r="AK43" s="6">
        <f>SUMIFS(Timesheet!$F$13:$F$11461,Timesheet!$A$13:$A$11461,'Mês 1'!AC43,Timesheet!$C$13:$C$11461,'Mês 1'!$AK$40)</f>
        <v>0</v>
      </c>
      <c r="AL43" s="6">
        <f>SUMIFS(Timesheet!$F$13:$F$11461,Timesheet!$A$13:$A$11461,'Mês 1'!AC43,Timesheet!$C$13:$C$11461,'Mês 1'!$AL$40)</f>
        <v>0</v>
      </c>
      <c r="AM43" s="6">
        <f t="shared" si="6"/>
        <v>0</v>
      </c>
      <c r="AN43" s="6">
        <f t="array" ref="AN43">MIN(IF(Timesheet!$A$13:$A$11483='Mês 1'!AC43,Timesheet!$D$13:$D$11483))</f>
        <v>0</v>
      </c>
      <c r="AO43" s="6">
        <f t="array" ref="AO43">MAX(IF(Timesheet!$A$13:$A$11483='Mês 1'!AC43,Timesheet!$E$13:$E$11483))</f>
        <v>0</v>
      </c>
      <c r="AQ43" s="1">
        <v>45172</v>
      </c>
      <c r="AR43" s="6">
        <f>SUMIFS(Timesheet!$F$13:$F$11461,Timesheet!$A$13:$A$11461,'Mês 1'!AQ43,Timesheet!$C$13:$C$11461,'Mês 1'!$AR$40)</f>
        <v>0</v>
      </c>
      <c r="AS43" s="6">
        <f>SUMIFS(Timesheet!$F$13:$F$11461,Timesheet!$A$13:$A$11461,'Mês 1'!AQ43,Timesheet!$C$13:$C$11461,'Mês 1'!$AS$40)</f>
        <v>0</v>
      </c>
      <c r="AT43" s="6">
        <f>SUMIFS(Timesheet!$F$13:$F$11461,Timesheet!$A$13:$A$11461,'Mês 1'!AQ43,Timesheet!$C$13:$C$11461,'Mês 1'!$AT$40)</f>
        <v>0</v>
      </c>
      <c r="AU43" s="6">
        <f>SUMIFS(Timesheet!$F$13:$F$11461,Timesheet!$A$13:$A$11461,'Mês 1'!AQ43,Timesheet!$C$13:$C$11461,'Mês 1'!$AU$40)</f>
        <v>0</v>
      </c>
      <c r="AV43" s="6">
        <f>SUMIFS(Timesheet!$F$13:$F$11461,Timesheet!$A$13:$A$11461,'Mês 1'!AQ43,Timesheet!$C$13:$C$11461,'Mês 1'!$AV$40)</f>
        <v>0</v>
      </c>
      <c r="AW43" s="6">
        <f>SUMIFS(Timesheet!$F$13:$F$11461,Timesheet!$A$13:$A$11461,'Mês 1'!AQ43,Timesheet!$C$13:$C$11461,'Mês 1'!$AW$40)</f>
        <v>0</v>
      </c>
      <c r="AX43" s="6">
        <f>SUMIFS(Timesheet!$F$13:$F$11461,Timesheet!$A$13:$A$11461,'Mês 1'!AQ43,Timesheet!$C$13:$C$11461,'Mês 1'!$AX$40)</f>
        <v>0</v>
      </c>
      <c r="AY43" s="6">
        <f>SUMIFS(Timesheet!$F$13:$F$11461,Timesheet!$A$13:$A$11461,'Mês 1'!AQ43,Timesheet!$C$13:$C$11461,'Mês 1'!$AY$40)</f>
        <v>0</v>
      </c>
      <c r="AZ43" s="6">
        <f>SUMIFS(Timesheet!$F$13:$F$11461,Timesheet!$A$13:$A$11461,'Mês 1'!AQ43,Timesheet!$C$13:$C$11461,'Mês 1'!$AZ$40)</f>
        <v>0</v>
      </c>
      <c r="BA43" s="6">
        <f t="shared" si="7"/>
        <v>0</v>
      </c>
      <c r="BB43" s="6">
        <f t="array" ref="BB43">MIN(IF(Timesheet!$A$13:$A$11483='Mês 1'!AQ43,Timesheet!$D$13:$D$11483))</f>
        <v>0</v>
      </c>
      <c r="BC43" s="6">
        <f t="array" ref="BC43">MAX(IF(Timesheet!$A$13:$A$11483='Mês 1'!AQ43,Timesheet!$E$13:$E$11483))</f>
        <v>0</v>
      </c>
      <c r="BE43" s="1">
        <v>45233</v>
      </c>
      <c r="BF43" s="6">
        <f>SUMIFS(Timesheet!$F$13:$F$11461,Timesheet!$A$13:$A$11461,'Mês 1'!BE43,Timesheet!$C$13:$C$11461,'Mês 1'!$BF$40)</f>
        <v>0</v>
      </c>
      <c r="BG43" s="6">
        <f>SUMIFS(Timesheet!$F$13:$F$11461,Timesheet!$A$13:$A$11461,'Mês 1'!BE43,Timesheet!$C$13:$C$11461,'Mês 1'!$BG$40)</f>
        <v>0</v>
      </c>
      <c r="BH43" s="6">
        <f>SUMIFS(Timesheet!$F$13:$F$11461,Timesheet!$A$13:$A$11461,'Mês 1'!BE43,Timesheet!$C$13:$C$11461,'Mês 1'!$BH$40)</f>
        <v>0</v>
      </c>
      <c r="BI43" s="6">
        <f>SUMIFS(Timesheet!$F$13:$F$11461,Timesheet!$A$13:$A$11461,'Mês 1'!BE43,Timesheet!$C$13:$C$11461,'Mês 1'!$BI$40)</f>
        <v>0</v>
      </c>
      <c r="BJ43" s="6">
        <f>SUMIFS(Timesheet!$F$13:$F$11461,Timesheet!$A$13:$A$11461,'Mês 1'!BE43,Timesheet!$C$13:$C$11461,'Mês 1'!$BJ$40)</f>
        <v>0</v>
      </c>
      <c r="BK43" s="6">
        <f>SUMIFS(Timesheet!$F$13:$F$11461,Timesheet!$A$13:$A$11461,'Mês 1'!BE43,Timesheet!$C$13:$C$11461,'Mês 1'!$BK$40)</f>
        <v>0</v>
      </c>
      <c r="BL43" s="6">
        <f>SUMIFS(Timesheet!$F$13:$F$11461,Timesheet!$A$13:$A$11461,'Mês 1'!BE43,Timesheet!$C$13:$C$11461,'Mês 1'!$BL$40)</f>
        <v>0</v>
      </c>
      <c r="BM43" s="6">
        <f>SUMIFS(Timesheet!$F$13:$F$11461,Timesheet!$A$13:$A$11461,'Mês 1'!BE43,Timesheet!$C$13:$C$11461,'Mês 1'!$BM$40)</f>
        <v>0</v>
      </c>
      <c r="BN43" s="6">
        <f>SUMIFS(Timesheet!$F$13:$F$11461,Timesheet!$A$13:$A$11461,'Mês 1'!BE43,Timesheet!$C$13:$C$11461,'Mês 1'!$BN$40)</f>
        <v>0</v>
      </c>
      <c r="BO43" s="6">
        <f t="shared" si="8"/>
        <v>0</v>
      </c>
      <c r="BP43" s="6">
        <f t="array" ref="BP43">MIN(IF(Timesheet!$A$13:$A$11483='Mês 1'!BE43,Timesheet!$D$13:$D$11483))</f>
        <v>0</v>
      </c>
      <c r="BQ43" s="6">
        <f t="array" ref="BQ43">MAX(IF(Timesheet!$A$13:$A$11483='Mês 1'!BE43,Timesheet!$E$13:$E$11483))</f>
        <v>0</v>
      </c>
    </row>
    <row r="44" spans="1:69" x14ac:dyDescent="0.25">
      <c r="A44" s="1">
        <v>44989</v>
      </c>
      <c r="B44" s="6">
        <f>SUMIFS(Timesheet!$F$13:$F$11461,Timesheet!$A$13:$A$11461,'Mês 1'!A44,Timesheet!$C$13:$C$11461,'Mês 1'!$B$40)</f>
        <v>0</v>
      </c>
      <c r="C44" s="6">
        <f>SUMIFS(Timesheet!$F$13:$F$11461,Timesheet!$A$13:$A$11461,'Mês 1'!A44,Timesheet!$C$13:$C$11461,'Mês 1'!$C$40)</f>
        <v>0</v>
      </c>
      <c r="D44" s="6">
        <f>SUMIFS(Timesheet!$F$13:$F$11461,Timesheet!$A$13:$A$11461,'Mês 1'!A44,Timesheet!$C$13:$C$11461,'Mês 1'!$D$40)</f>
        <v>0</v>
      </c>
      <c r="E44" s="6">
        <f>SUMIFS(Timesheet!$F$13:$F$11461,Timesheet!$A$13:$A$11461,'Mês 1'!A44,Timesheet!$C$13:$C$11461,'Mês 1'!$E$40)</f>
        <v>0</v>
      </c>
      <c r="F44" s="6">
        <f>SUMIFS(Timesheet!$F$13:$F$11461,Timesheet!$A$13:$A$11461,'Mês 1'!A44,Timesheet!$C$13:$C$11461,'Mês 1'!$F$40)</f>
        <v>0</v>
      </c>
      <c r="G44" s="6">
        <f>SUMIFS(Timesheet!$F$13:$F$11461,Timesheet!$A$13:$A$11461,'Mês 1'!A44,Timesheet!$C$13:$C$11461,'Mês 1'!$G$40)</f>
        <v>0</v>
      </c>
      <c r="H44" s="6">
        <f>SUMIFS(Timesheet!$F$13:$F$11461,Timesheet!$A$13:$A$11461,'Mês 1'!A44,Timesheet!$C$13:$C$11461,'Mês 1'!$H$40)</f>
        <v>0</v>
      </c>
      <c r="I44" s="6">
        <f>SUMIFS(Timesheet!$F$13:$F$11461,Timesheet!$A$13:$A$11461,'Mês 1'!A44,Timesheet!$C$13:$C$11461,'Mês 1'!$I$40)</f>
        <v>0</v>
      </c>
      <c r="J44" s="6">
        <f>SUMIFS(Timesheet!$F$13:$F$11461,Timesheet!$A$13:$A$11461,'Mês 1'!A44,Timesheet!$C$13:$C$11461,'Mês 1'!$J$40)</f>
        <v>0</v>
      </c>
      <c r="K44" s="6">
        <f t="shared" si="4"/>
        <v>0</v>
      </c>
      <c r="L44" s="6">
        <f t="array" ref="L44">MIN(IF(Timesheet!$A$13:$A$11483='Mês 1'!A44,Timesheet!$D$13:$D$11483))</f>
        <v>0</v>
      </c>
      <c r="M44" s="6">
        <f t="array" ref="M44">MAX(IF(Timesheet!$A$13:$A$11483='Mês 1'!A44,Timesheet!$E$13:$E$11483))</f>
        <v>0</v>
      </c>
      <c r="O44" s="1">
        <v>45050</v>
      </c>
      <c r="P44" s="6">
        <f>SUMIFS(Timesheet!$F$13:$F$11461,Timesheet!$A$13:$A$11461,'Mês 1'!O44,Timesheet!$C$13:$C$11461,'Mês 1'!$P$40)</f>
        <v>0</v>
      </c>
      <c r="Q44" s="6">
        <f>SUMIFS(Timesheet!$F$13:$F$11461,Timesheet!$A$13:$A$11461,'Mês 1'!O44,Timesheet!$C$13:$C$11461,'Mês 1'!$Q$40)</f>
        <v>0</v>
      </c>
      <c r="R44" s="6">
        <f>SUMIFS(Timesheet!$F$13:$F$11461,Timesheet!$A$13:$A$11461,'Mês 1'!O44,Timesheet!$C$13:$C$11461,'Mês 1'!$R$40)</f>
        <v>0</v>
      </c>
      <c r="S44" s="6">
        <f>SUMIFS(Timesheet!$F$13:$F$11461,Timesheet!$A$13:$A$11461,'Mês 1'!O44,Timesheet!$C$13:$C$11461,'Mês 1'!$S$40)</f>
        <v>0</v>
      </c>
      <c r="T44" s="6">
        <f>SUMIFS(Timesheet!$F$13:$F$11461,Timesheet!$A$13:$A$11461,'Mês 1'!O44,Timesheet!$C$13:$C$11461,'Mês 1'!$T$40)</f>
        <v>0</v>
      </c>
      <c r="U44" s="6">
        <f>SUMIFS(Timesheet!$F$13:$F$11461,Timesheet!$A$13:$A$11461,'Mês 1'!O44,Timesheet!$C$13:$C$11461,'Mês 1'!$U$40)</f>
        <v>0</v>
      </c>
      <c r="V44" s="6">
        <f>SUMIFS(Timesheet!$F$13:$F$11461,Timesheet!$A$13:$A$11461,'Mês 1'!O44,Timesheet!$C$13:$C$11461,'Mês 1'!$V$40)</f>
        <v>0</v>
      </c>
      <c r="W44" s="6">
        <f>SUMIFS(Timesheet!$F$13:$F$11461,Timesheet!$A$13:$A$11461,'Mês 1'!O44,Timesheet!$C$13:$C$11461,'Mês 1'!$W$40)</f>
        <v>0</v>
      </c>
      <c r="X44" s="6">
        <f>SUMIFS(Timesheet!$F$13:$F$11461,Timesheet!$A$13:$A$11461,'Mês 1'!O44,Timesheet!$C$13:$C$11461,'Mês 1'!$X$40)</f>
        <v>0</v>
      </c>
      <c r="Y44" s="6">
        <f t="shared" si="5"/>
        <v>0</v>
      </c>
      <c r="Z44" s="6">
        <f t="array" ref="Z44">MIN(IF(Timesheet!$A$13:$A$11483='Mês 1'!O44,Timesheet!$D$13:$D$11483))</f>
        <v>0</v>
      </c>
      <c r="AA44" s="6">
        <f t="array" ref="AA44">MAX(IF(Timesheet!$A$13:$A$11483='Mês 1'!O44,Timesheet!$E$13:$E$11483))</f>
        <v>0</v>
      </c>
      <c r="AC44" s="1">
        <v>45111</v>
      </c>
      <c r="AD44" s="6">
        <f>SUMIFS(Timesheet!$F$13:$F$11461,Timesheet!$A$13:$A$11461,'Mês 1'!AC44,Timesheet!$C$13:$C$11461,'Mês 1'!$AD$40)</f>
        <v>0</v>
      </c>
      <c r="AE44" s="6">
        <f>SUMIFS(Timesheet!$F$13:$F$11461,Timesheet!$A$13:$A$11461,'Mês 1'!AC44,Timesheet!$C$13:$C$11461,'Mês 1'!$AE$40)</f>
        <v>0</v>
      </c>
      <c r="AF44" s="6">
        <f>SUMIFS(Timesheet!$F$13:$F$11461,Timesheet!$A$13:$A$11461,'Mês 1'!AC44,Timesheet!$C$13:$C$11461,'Mês 1'!$AF$40)</f>
        <v>0</v>
      </c>
      <c r="AG44" s="6">
        <f>SUMIFS(Timesheet!$F$13:$F$11461,Timesheet!$A$13:$A$11461,'Mês 1'!AC44,Timesheet!$C$13:$C$11461,'Mês 1'!$AG$40)</f>
        <v>0</v>
      </c>
      <c r="AH44" s="6">
        <f>SUMIFS(Timesheet!$F$13:$F$11461,Timesheet!$A$13:$A$11461,'Mês 1'!AC44,Timesheet!$C$13:$C$11461,'Mês 1'!$AH$40)</f>
        <v>0</v>
      </c>
      <c r="AI44" s="6">
        <f>SUMIFS(Timesheet!$F$13:$F$11461,Timesheet!$A$13:$A$11461,'Mês 1'!AC44,Timesheet!$C$13:$C$11461,'Mês 1'!$AI$40)</f>
        <v>0</v>
      </c>
      <c r="AJ44" s="6">
        <f>SUMIFS(Timesheet!$F$13:$F$11461,Timesheet!$A$13:$A$11461,'Mês 1'!AC44,Timesheet!$C$13:$C$11461,'Mês 1'!$AJ$40)</f>
        <v>0</v>
      </c>
      <c r="AK44" s="6">
        <f>SUMIFS(Timesheet!$F$13:$F$11461,Timesheet!$A$13:$A$11461,'Mês 1'!AC44,Timesheet!$C$13:$C$11461,'Mês 1'!$AK$40)</f>
        <v>0</v>
      </c>
      <c r="AL44" s="6">
        <f>SUMIFS(Timesheet!$F$13:$F$11461,Timesheet!$A$13:$A$11461,'Mês 1'!AC44,Timesheet!$C$13:$C$11461,'Mês 1'!$AL$40)</f>
        <v>0</v>
      </c>
      <c r="AM44" s="6">
        <f t="shared" si="6"/>
        <v>0</v>
      </c>
      <c r="AN44" s="6">
        <f t="array" ref="AN44">MIN(IF(Timesheet!$A$13:$A$11483='Mês 1'!AC44,Timesheet!$D$13:$D$11483))</f>
        <v>0</v>
      </c>
      <c r="AO44" s="6">
        <f t="array" ref="AO44">MAX(IF(Timesheet!$A$13:$A$11483='Mês 1'!AC44,Timesheet!$E$13:$E$11483))</f>
        <v>0</v>
      </c>
      <c r="AQ44" s="1">
        <v>45173</v>
      </c>
      <c r="AR44" s="6">
        <f>SUMIFS(Timesheet!$F$13:$F$11461,Timesheet!$A$13:$A$11461,'Mês 1'!AQ44,Timesheet!$C$13:$C$11461,'Mês 1'!$AR$40)</f>
        <v>0</v>
      </c>
      <c r="AS44" s="6">
        <f>SUMIFS(Timesheet!$F$13:$F$11461,Timesheet!$A$13:$A$11461,'Mês 1'!AQ44,Timesheet!$C$13:$C$11461,'Mês 1'!$AS$40)</f>
        <v>0</v>
      </c>
      <c r="AT44" s="6">
        <f>SUMIFS(Timesheet!$F$13:$F$11461,Timesheet!$A$13:$A$11461,'Mês 1'!AQ44,Timesheet!$C$13:$C$11461,'Mês 1'!$AT$40)</f>
        <v>0</v>
      </c>
      <c r="AU44" s="6">
        <f>SUMIFS(Timesheet!$F$13:$F$11461,Timesheet!$A$13:$A$11461,'Mês 1'!AQ44,Timesheet!$C$13:$C$11461,'Mês 1'!$AU$40)</f>
        <v>0</v>
      </c>
      <c r="AV44" s="6">
        <f>SUMIFS(Timesheet!$F$13:$F$11461,Timesheet!$A$13:$A$11461,'Mês 1'!AQ44,Timesheet!$C$13:$C$11461,'Mês 1'!$AV$40)</f>
        <v>0</v>
      </c>
      <c r="AW44" s="6">
        <f>SUMIFS(Timesheet!$F$13:$F$11461,Timesheet!$A$13:$A$11461,'Mês 1'!AQ44,Timesheet!$C$13:$C$11461,'Mês 1'!$AW$40)</f>
        <v>0</v>
      </c>
      <c r="AX44" s="6">
        <f>SUMIFS(Timesheet!$F$13:$F$11461,Timesheet!$A$13:$A$11461,'Mês 1'!AQ44,Timesheet!$C$13:$C$11461,'Mês 1'!$AX$40)</f>
        <v>0</v>
      </c>
      <c r="AY44" s="6">
        <f>SUMIFS(Timesheet!$F$13:$F$11461,Timesheet!$A$13:$A$11461,'Mês 1'!AQ44,Timesheet!$C$13:$C$11461,'Mês 1'!$AY$40)</f>
        <v>0</v>
      </c>
      <c r="AZ44" s="6">
        <f>SUMIFS(Timesheet!$F$13:$F$11461,Timesheet!$A$13:$A$11461,'Mês 1'!AQ44,Timesheet!$C$13:$C$11461,'Mês 1'!$AZ$40)</f>
        <v>0</v>
      </c>
      <c r="BA44" s="6">
        <f t="shared" si="7"/>
        <v>0</v>
      </c>
      <c r="BB44" s="6">
        <f t="array" ref="BB44">MIN(IF(Timesheet!$A$13:$A$11483='Mês 1'!AQ44,Timesheet!$D$13:$D$11483))</f>
        <v>0</v>
      </c>
      <c r="BC44" s="6">
        <f t="array" ref="BC44">MAX(IF(Timesheet!$A$13:$A$11483='Mês 1'!AQ44,Timesheet!$E$13:$E$11483))</f>
        <v>0</v>
      </c>
      <c r="BE44" s="1">
        <v>45234</v>
      </c>
      <c r="BF44" s="6">
        <f>SUMIFS(Timesheet!$F$13:$F$11461,Timesheet!$A$13:$A$11461,'Mês 1'!BE44,Timesheet!$C$13:$C$11461,'Mês 1'!$BF$40)</f>
        <v>0</v>
      </c>
      <c r="BG44" s="6">
        <f>SUMIFS(Timesheet!$F$13:$F$11461,Timesheet!$A$13:$A$11461,'Mês 1'!BE44,Timesheet!$C$13:$C$11461,'Mês 1'!$BG$40)</f>
        <v>0</v>
      </c>
      <c r="BH44" s="6">
        <f>SUMIFS(Timesheet!$F$13:$F$11461,Timesheet!$A$13:$A$11461,'Mês 1'!BE44,Timesheet!$C$13:$C$11461,'Mês 1'!$BH$40)</f>
        <v>0</v>
      </c>
      <c r="BI44" s="6">
        <f>SUMIFS(Timesheet!$F$13:$F$11461,Timesheet!$A$13:$A$11461,'Mês 1'!BE44,Timesheet!$C$13:$C$11461,'Mês 1'!$BI$40)</f>
        <v>0</v>
      </c>
      <c r="BJ44" s="6">
        <f>SUMIFS(Timesheet!$F$13:$F$11461,Timesheet!$A$13:$A$11461,'Mês 1'!BE44,Timesheet!$C$13:$C$11461,'Mês 1'!$BJ$40)</f>
        <v>0</v>
      </c>
      <c r="BK44" s="6">
        <f>SUMIFS(Timesheet!$F$13:$F$11461,Timesheet!$A$13:$A$11461,'Mês 1'!BE44,Timesheet!$C$13:$C$11461,'Mês 1'!$BK$40)</f>
        <v>0</v>
      </c>
      <c r="BL44" s="6">
        <f>SUMIFS(Timesheet!$F$13:$F$11461,Timesheet!$A$13:$A$11461,'Mês 1'!BE44,Timesheet!$C$13:$C$11461,'Mês 1'!$BL$40)</f>
        <v>0</v>
      </c>
      <c r="BM44" s="6">
        <f>SUMIFS(Timesheet!$F$13:$F$11461,Timesheet!$A$13:$A$11461,'Mês 1'!BE44,Timesheet!$C$13:$C$11461,'Mês 1'!$BM$40)</f>
        <v>0</v>
      </c>
      <c r="BN44" s="6">
        <f>SUMIFS(Timesheet!$F$13:$F$11461,Timesheet!$A$13:$A$11461,'Mês 1'!BE44,Timesheet!$C$13:$C$11461,'Mês 1'!$BN$40)</f>
        <v>0</v>
      </c>
      <c r="BO44" s="6">
        <f t="shared" si="8"/>
        <v>0</v>
      </c>
      <c r="BP44" s="6">
        <f t="array" ref="BP44">MIN(IF(Timesheet!$A$13:$A$11483='Mês 1'!BE44,Timesheet!$D$13:$D$11483))</f>
        <v>0</v>
      </c>
      <c r="BQ44" s="6">
        <f t="array" ref="BQ44">MAX(IF(Timesheet!$A$13:$A$11483='Mês 1'!BE44,Timesheet!$E$13:$E$11483))</f>
        <v>0</v>
      </c>
    </row>
    <row r="45" spans="1:69" x14ac:dyDescent="0.25">
      <c r="A45" s="1">
        <v>44990</v>
      </c>
      <c r="B45" s="6">
        <f>SUMIFS(Timesheet!$F$13:$F$11461,Timesheet!$A$13:$A$11461,'Mês 1'!A45,Timesheet!$C$13:$C$11461,'Mês 1'!$B$40)</f>
        <v>0</v>
      </c>
      <c r="C45" s="6">
        <f>SUMIFS(Timesheet!$F$13:$F$11461,Timesheet!$A$13:$A$11461,'Mês 1'!A45,Timesheet!$C$13:$C$11461,'Mês 1'!$C$40)</f>
        <v>0</v>
      </c>
      <c r="D45" s="6">
        <f>SUMIFS(Timesheet!$F$13:$F$11461,Timesheet!$A$13:$A$11461,'Mês 1'!A45,Timesheet!$C$13:$C$11461,'Mês 1'!$D$40)</f>
        <v>0</v>
      </c>
      <c r="E45" s="6">
        <f>SUMIFS(Timesheet!$F$13:$F$11461,Timesheet!$A$13:$A$11461,'Mês 1'!A45,Timesheet!$C$13:$C$11461,'Mês 1'!$E$40)</f>
        <v>0</v>
      </c>
      <c r="F45" s="6">
        <f>SUMIFS(Timesheet!$F$13:$F$11461,Timesheet!$A$13:$A$11461,'Mês 1'!A45,Timesheet!$C$13:$C$11461,'Mês 1'!$F$40)</f>
        <v>0</v>
      </c>
      <c r="G45" s="6">
        <f>SUMIFS(Timesheet!$F$13:$F$11461,Timesheet!$A$13:$A$11461,'Mês 1'!A45,Timesheet!$C$13:$C$11461,'Mês 1'!$G$40)</f>
        <v>0</v>
      </c>
      <c r="H45" s="6">
        <f>SUMIFS(Timesheet!$F$13:$F$11461,Timesheet!$A$13:$A$11461,'Mês 1'!A45,Timesheet!$C$13:$C$11461,'Mês 1'!$H$40)</f>
        <v>0</v>
      </c>
      <c r="I45" s="6">
        <f>SUMIFS(Timesheet!$F$13:$F$11461,Timesheet!$A$13:$A$11461,'Mês 1'!A45,Timesheet!$C$13:$C$11461,'Mês 1'!$I$40)</f>
        <v>0</v>
      </c>
      <c r="J45" s="6">
        <f>SUMIFS(Timesheet!$F$13:$F$11461,Timesheet!$A$13:$A$11461,'Mês 1'!A45,Timesheet!$C$13:$C$11461,'Mês 1'!$J$40)</f>
        <v>0</v>
      </c>
      <c r="K45" s="6">
        <f t="shared" si="4"/>
        <v>0</v>
      </c>
      <c r="L45" s="6">
        <f t="array" ref="L45">MIN(IF(Timesheet!$A$13:$A$11483='Mês 1'!A45,Timesheet!$D$13:$D$11483))</f>
        <v>0</v>
      </c>
      <c r="M45" s="6">
        <f t="array" ref="M45">MAX(IF(Timesheet!$A$13:$A$11483='Mês 1'!A45,Timesheet!$E$13:$E$11483))</f>
        <v>0</v>
      </c>
      <c r="O45" s="1">
        <v>45051</v>
      </c>
      <c r="P45" s="6">
        <f>SUMIFS(Timesheet!$F$13:$F$11461,Timesheet!$A$13:$A$11461,'Mês 1'!O45,Timesheet!$C$13:$C$11461,'Mês 1'!$P$40)</f>
        <v>0</v>
      </c>
      <c r="Q45" s="6">
        <f>SUMIFS(Timesheet!$F$13:$F$11461,Timesheet!$A$13:$A$11461,'Mês 1'!O45,Timesheet!$C$13:$C$11461,'Mês 1'!$Q$40)</f>
        <v>0</v>
      </c>
      <c r="R45" s="6">
        <f>SUMIFS(Timesheet!$F$13:$F$11461,Timesheet!$A$13:$A$11461,'Mês 1'!O45,Timesheet!$C$13:$C$11461,'Mês 1'!$R$40)</f>
        <v>0</v>
      </c>
      <c r="S45" s="6">
        <f>SUMIFS(Timesheet!$F$13:$F$11461,Timesheet!$A$13:$A$11461,'Mês 1'!O45,Timesheet!$C$13:$C$11461,'Mês 1'!$S$40)</f>
        <v>0</v>
      </c>
      <c r="T45" s="6">
        <f>SUMIFS(Timesheet!$F$13:$F$11461,Timesheet!$A$13:$A$11461,'Mês 1'!O45,Timesheet!$C$13:$C$11461,'Mês 1'!$T$40)</f>
        <v>0</v>
      </c>
      <c r="U45" s="6">
        <f>SUMIFS(Timesheet!$F$13:$F$11461,Timesheet!$A$13:$A$11461,'Mês 1'!O45,Timesheet!$C$13:$C$11461,'Mês 1'!$U$40)</f>
        <v>0</v>
      </c>
      <c r="V45" s="6">
        <f>SUMIFS(Timesheet!$F$13:$F$11461,Timesheet!$A$13:$A$11461,'Mês 1'!O45,Timesheet!$C$13:$C$11461,'Mês 1'!$V$40)</f>
        <v>0</v>
      </c>
      <c r="W45" s="6">
        <f>SUMIFS(Timesheet!$F$13:$F$11461,Timesheet!$A$13:$A$11461,'Mês 1'!O45,Timesheet!$C$13:$C$11461,'Mês 1'!$W$40)</f>
        <v>0</v>
      </c>
      <c r="X45" s="6">
        <f>SUMIFS(Timesheet!$F$13:$F$11461,Timesheet!$A$13:$A$11461,'Mês 1'!O45,Timesheet!$C$13:$C$11461,'Mês 1'!$X$40)</f>
        <v>0</v>
      </c>
      <c r="Y45" s="6">
        <f t="shared" si="5"/>
        <v>0</v>
      </c>
      <c r="Z45" s="6">
        <f t="array" ref="Z45">MIN(IF(Timesheet!$A$13:$A$11483='Mês 1'!O45,Timesheet!$D$13:$D$11483))</f>
        <v>0</v>
      </c>
      <c r="AA45" s="6">
        <f t="array" ref="AA45">MAX(IF(Timesheet!$A$13:$A$11483='Mês 1'!O45,Timesheet!$E$13:$E$11483))</f>
        <v>0</v>
      </c>
      <c r="AC45" s="1">
        <v>45112</v>
      </c>
      <c r="AD45" s="6">
        <f>SUMIFS(Timesheet!$F$13:$F$11461,Timesheet!$A$13:$A$11461,'Mês 1'!AC45,Timesheet!$C$13:$C$11461,'Mês 1'!$AD$40)</f>
        <v>0</v>
      </c>
      <c r="AE45" s="6">
        <f>SUMIFS(Timesheet!$F$13:$F$11461,Timesheet!$A$13:$A$11461,'Mês 1'!AC45,Timesheet!$C$13:$C$11461,'Mês 1'!$AE$40)</f>
        <v>0</v>
      </c>
      <c r="AF45" s="6">
        <f>SUMIFS(Timesheet!$F$13:$F$11461,Timesheet!$A$13:$A$11461,'Mês 1'!AC45,Timesheet!$C$13:$C$11461,'Mês 1'!$AF$40)</f>
        <v>0</v>
      </c>
      <c r="AG45" s="6">
        <f>SUMIFS(Timesheet!$F$13:$F$11461,Timesheet!$A$13:$A$11461,'Mês 1'!AC45,Timesheet!$C$13:$C$11461,'Mês 1'!$AG$40)</f>
        <v>0</v>
      </c>
      <c r="AH45" s="6">
        <f>SUMIFS(Timesheet!$F$13:$F$11461,Timesheet!$A$13:$A$11461,'Mês 1'!AC45,Timesheet!$C$13:$C$11461,'Mês 1'!$AH$40)</f>
        <v>0</v>
      </c>
      <c r="AI45" s="6">
        <f>SUMIFS(Timesheet!$F$13:$F$11461,Timesheet!$A$13:$A$11461,'Mês 1'!AC45,Timesheet!$C$13:$C$11461,'Mês 1'!$AI$40)</f>
        <v>0</v>
      </c>
      <c r="AJ45" s="6">
        <f>SUMIFS(Timesheet!$F$13:$F$11461,Timesheet!$A$13:$A$11461,'Mês 1'!AC45,Timesheet!$C$13:$C$11461,'Mês 1'!$AJ$40)</f>
        <v>0</v>
      </c>
      <c r="AK45" s="6">
        <f>SUMIFS(Timesheet!$F$13:$F$11461,Timesheet!$A$13:$A$11461,'Mês 1'!AC45,Timesheet!$C$13:$C$11461,'Mês 1'!$AK$40)</f>
        <v>0</v>
      </c>
      <c r="AL45" s="6">
        <f>SUMIFS(Timesheet!$F$13:$F$11461,Timesheet!$A$13:$A$11461,'Mês 1'!AC45,Timesheet!$C$13:$C$11461,'Mês 1'!$AL$40)</f>
        <v>0</v>
      </c>
      <c r="AM45" s="6">
        <f t="shared" si="6"/>
        <v>0</v>
      </c>
      <c r="AN45" s="6">
        <f t="array" ref="AN45">MIN(IF(Timesheet!$A$13:$A$11483='Mês 1'!AC45,Timesheet!$D$13:$D$11483))</f>
        <v>0</v>
      </c>
      <c r="AO45" s="6">
        <f t="array" ref="AO45">MAX(IF(Timesheet!$A$13:$A$11483='Mês 1'!AC45,Timesheet!$E$13:$E$11483))</f>
        <v>0</v>
      </c>
      <c r="AQ45" s="1">
        <v>45174</v>
      </c>
      <c r="AR45" s="6">
        <f>SUMIFS(Timesheet!$F$13:$F$11461,Timesheet!$A$13:$A$11461,'Mês 1'!AQ45,Timesheet!$C$13:$C$11461,'Mês 1'!$AR$40)</f>
        <v>0</v>
      </c>
      <c r="AS45" s="6">
        <f>SUMIFS(Timesheet!$F$13:$F$11461,Timesheet!$A$13:$A$11461,'Mês 1'!AQ45,Timesheet!$C$13:$C$11461,'Mês 1'!$AS$40)</f>
        <v>0</v>
      </c>
      <c r="AT45" s="6">
        <f>SUMIFS(Timesheet!$F$13:$F$11461,Timesheet!$A$13:$A$11461,'Mês 1'!AQ45,Timesheet!$C$13:$C$11461,'Mês 1'!$AT$40)</f>
        <v>0</v>
      </c>
      <c r="AU45" s="6">
        <f>SUMIFS(Timesheet!$F$13:$F$11461,Timesheet!$A$13:$A$11461,'Mês 1'!AQ45,Timesheet!$C$13:$C$11461,'Mês 1'!$AU$40)</f>
        <v>0</v>
      </c>
      <c r="AV45" s="6">
        <f>SUMIFS(Timesheet!$F$13:$F$11461,Timesheet!$A$13:$A$11461,'Mês 1'!AQ45,Timesheet!$C$13:$C$11461,'Mês 1'!$AV$40)</f>
        <v>0</v>
      </c>
      <c r="AW45" s="6">
        <f>SUMIFS(Timesheet!$F$13:$F$11461,Timesheet!$A$13:$A$11461,'Mês 1'!AQ45,Timesheet!$C$13:$C$11461,'Mês 1'!$AW$40)</f>
        <v>0</v>
      </c>
      <c r="AX45" s="6">
        <f>SUMIFS(Timesheet!$F$13:$F$11461,Timesheet!$A$13:$A$11461,'Mês 1'!AQ45,Timesheet!$C$13:$C$11461,'Mês 1'!$AX$40)</f>
        <v>0</v>
      </c>
      <c r="AY45" s="6">
        <f>SUMIFS(Timesheet!$F$13:$F$11461,Timesheet!$A$13:$A$11461,'Mês 1'!AQ45,Timesheet!$C$13:$C$11461,'Mês 1'!$AY$40)</f>
        <v>0</v>
      </c>
      <c r="AZ45" s="6">
        <f>SUMIFS(Timesheet!$F$13:$F$11461,Timesheet!$A$13:$A$11461,'Mês 1'!AQ45,Timesheet!$C$13:$C$11461,'Mês 1'!$AZ$40)</f>
        <v>0</v>
      </c>
      <c r="BA45" s="6">
        <f t="shared" si="7"/>
        <v>0</v>
      </c>
      <c r="BB45" s="6">
        <f t="array" ref="BB45">MIN(IF(Timesheet!$A$13:$A$11483='Mês 1'!AQ45,Timesheet!$D$13:$D$11483))</f>
        <v>0</v>
      </c>
      <c r="BC45" s="6">
        <f t="array" ref="BC45">MAX(IF(Timesheet!$A$13:$A$11483='Mês 1'!AQ45,Timesheet!$E$13:$E$11483))</f>
        <v>0</v>
      </c>
      <c r="BE45" s="1">
        <v>45235</v>
      </c>
      <c r="BF45" s="6">
        <f>SUMIFS(Timesheet!$F$13:$F$11461,Timesheet!$A$13:$A$11461,'Mês 1'!BE45,Timesheet!$C$13:$C$11461,'Mês 1'!$BF$40)</f>
        <v>0</v>
      </c>
      <c r="BG45" s="6">
        <f>SUMIFS(Timesheet!$F$13:$F$11461,Timesheet!$A$13:$A$11461,'Mês 1'!BE45,Timesheet!$C$13:$C$11461,'Mês 1'!$BG$40)</f>
        <v>0</v>
      </c>
      <c r="BH45" s="6">
        <f>SUMIFS(Timesheet!$F$13:$F$11461,Timesheet!$A$13:$A$11461,'Mês 1'!BE45,Timesheet!$C$13:$C$11461,'Mês 1'!$BH$40)</f>
        <v>0</v>
      </c>
      <c r="BI45" s="6">
        <f>SUMIFS(Timesheet!$F$13:$F$11461,Timesheet!$A$13:$A$11461,'Mês 1'!BE45,Timesheet!$C$13:$C$11461,'Mês 1'!$BI$40)</f>
        <v>0</v>
      </c>
      <c r="BJ45" s="6">
        <f>SUMIFS(Timesheet!$F$13:$F$11461,Timesheet!$A$13:$A$11461,'Mês 1'!BE45,Timesheet!$C$13:$C$11461,'Mês 1'!$BJ$40)</f>
        <v>0</v>
      </c>
      <c r="BK45" s="6">
        <f>SUMIFS(Timesheet!$F$13:$F$11461,Timesheet!$A$13:$A$11461,'Mês 1'!BE45,Timesheet!$C$13:$C$11461,'Mês 1'!$BK$40)</f>
        <v>0</v>
      </c>
      <c r="BL45" s="6">
        <f>SUMIFS(Timesheet!$F$13:$F$11461,Timesheet!$A$13:$A$11461,'Mês 1'!BE45,Timesheet!$C$13:$C$11461,'Mês 1'!$BL$40)</f>
        <v>0</v>
      </c>
      <c r="BM45" s="6">
        <f>SUMIFS(Timesheet!$F$13:$F$11461,Timesheet!$A$13:$A$11461,'Mês 1'!BE45,Timesheet!$C$13:$C$11461,'Mês 1'!$BM$40)</f>
        <v>0</v>
      </c>
      <c r="BN45" s="6">
        <f>SUMIFS(Timesheet!$F$13:$F$11461,Timesheet!$A$13:$A$11461,'Mês 1'!BE45,Timesheet!$C$13:$C$11461,'Mês 1'!$BN$40)</f>
        <v>0</v>
      </c>
      <c r="BO45" s="6">
        <f t="shared" si="8"/>
        <v>0</v>
      </c>
      <c r="BP45" s="6">
        <f t="array" ref="BP45">MIN(IF(Timesheet!$A$13:$A$11483='Mês 1'!BE45,Timesheet!$D$13:$D$11483))</f>
        <v>0</v>
      </c>
      <c r="BQ45" s="6">
        <f t="array" ref="BQ45">MAX(IF(Timesheet!$A$13:$A$11483='Mês 1'!BE45,Timesheet!$E$13:$E$11483))</f>
        <v>0</v>
      </c>
    </row>
    <row r="46" spans="1:69" x14ac:dyDescent="0.25">
      <c r="A46" s="1">
        <v>44991</v>
      </c>
      <c r="B46" s="6">
        <f>SUMIFS(Timesheet!$F$13:$F$11461,Timesheet!$A$13:$A$11461,'Mês 1'!A46,Timesheet!$C$13:$C$11461,'Mês 1'!$B$40)</f>
        <v>0</v>
      </c>
      <c r="C46" s="6">
        <f>SUMIFS(Timesheet!$F$13:$F$11461,Timesheet!$A$13:$A$11461,'Mês 1'!A46,Timesheet!$C$13:$C$11461,'Mês 1'!$C$40)</f>
        <v>0</v>
      </c>
      <c r="D46" s="6">
        <f>SUMIFS(Timesheet!$F$13:$F$11461,Timesheet!$A$13:$A$11461,'Mês 1'!A46,Timesheet!$C$13:$C$11461,'Mês 1'!$D$40)</f>
        <v>0</v>
      </c>
      <c r="E46" s="6">
        <f>SUMIFS(Timesheet!$F$13:$F$11461,Timesheet!$A$13:$A$11461,'Mês 1'!A46,Timesheet!$C$13:$C$11461,'Mês 1'!$E$40)</f>
        <v>0</v>
      </c>
      <c r="F46" s="6">
        <f>SUMIFS(Timesheet!$F$13:$F$11461,Timesheet!$A$13:$A$11461,'Mês 1'!A46,Timesheet!$C$13:$C$11461,'Mês 1'!$F$40)</f>
        <v>0</v>
      </c>
      <c r="G46" s="6">
        <f>SUMIFS(Timesheet!$F$13:$F$11461,Timesheet!$A$13:$A$11461,'Mês 1'!A46,Timesheet!$C$13:$C$11461,'Mês 1'!$G$40)</f>
        <v>0</v>
      </c>
      <c r="H46" s="6">
        <f>SUMIFS(Timesheet!$F$13:$F$11461,Timesheet!$A$13:$A$11461,'Mês 1'!A46,Timesheet!$C$13:$C$11461,'Mês 1'!$H$40)</f>
        <v>0</v>
      </c>
      <c r="I46" s="6">
        <f>SUMIFS(Timesheet!$F$13:$F$11461,Timesheet!$A$13:$A$11461,'Mês 1'!A46,Timesheet!$C$13:$C$11461,'Mês 1'!$I$40)</f>
        <v>0</v>
      </c>
      <c r="J46" s="6">
        <f>SUMIFS(Timesheet!$F$13:$F$11461,Timesheet!$A$13:$A$11461,'Mês 1'!A46,Timesheet!$C$13:$C$11461,'Mês 1'!$J$40)</f>
        <v>0</v>
      </c>
      <c r="K46" s="6">
        <f t="shared" si="4"/>
        <v>0</v>
      </c>
      <c r="L46" s="6">
        <f t="array" ref="L46">MIN(IF(Timesheet!$A$13:$A$11483='Mês 1'!A46,Timesheet!$D$13:$D$11483))</f>
        <v>0</v>
      </c>
      <c r="M46" s="6">
        <f t="array" ref="M46">MAX(IF(Timesheet!$A$13:$A$11483='Mês 1'!A46,Timesheet!$E$13:$E$11483))</f>
        <v>0</v>
      </c>
      <c r="O46" s="1">
        <v>45052</v>
      </c>
      <c r="P46" s="6">
        <f>SUMIFS(Timesheet!$F$13:$F$11461,Timesheet!$A$13:$A$11461,'Mês 1'!O46,Timesheet!$C$13:$C$11461,'Mês 1'!$P$40)</f>
        <v>0</v>
      </c>
      <c r="Q46" s="6">
        <f>SUMIFS(Timesheet!$F$13:$F$11461,Timesheet!$A$13:$A$11461,'Mês 1'!O46,Timesheet!$C$13:$C$11461,'Mês 1'!$Q$40)</f>
        <v>0</v>
      </c>
      <c r="R46" s="6">
        <f>SUMIFS(Timesheet!$F$13:$F$11461,Timesheet!$A$13:$A$11461,'Mês 1'!O46,Timesheet!$C$13:$C$11461,'Mês 1'!$R$40)</f>
        <v>0</v>
      </c>
      <c r="S46" s="6">
        <f>SUMIFS(Timesheet!$F$13:$F$11461,Timesheet!$A$13:$A$11461,'Mês 1'!O46,Timesheet!$C$13:$C$11461,'Mês 1'!$S$40)</f>
        <v>0</v>
      </c>
      <c r="T46" s="6">
        <f>SUMIFS(Timesheet!$F$13:$F$11461,Timesheet!$A$13:$A$11461,'Mês 1'!O46,Timesheet!$C$13:$C$11461,'Mês 1'!$T$40)</f>
        <v>0</v>
      </c>
      <c r="U46" s="6">
        <f>SUMIFS(Timesheet!$F$13:$F$11461,Timesheet!$A$13:$A$11461,'Mês 1'!O46,Timesheet!$C$13:$C$11461,'Mês 1'!$U$40)</f>
        <v>0</v>
      </c>
      <c r="V46" s="6">
        <f>SUMIFS(Timesheet!$F$13:$F$11461,Timesheet!$A$13:$A$11461,'Mês 1'!O46,Timesheet!$C$13:$C$11461,'Mês 1'!$V$40)</f>
        <v>0</v>
      </c>
      <c r="W46" s="6">
        <f>SUMIFS(Timesheet!$F$13:$F$11461,Timesheet!$A$13:$A$11461,'Mês 1'!O46,Timesheet!$C$13:$C$11461,'Mês 1'!$W$40)</f>
        <v>0</v>
      </c>
      <c r="X46" s="6">
        <f>SUMIFS(Timesheet!$F$13:$F$11461,Timesheet!$A$13:$A$11461,'Mês 1'!O46,Timesheet!$C$13:$C$11461,'Mês 1'!$X$40)</f>
        <v>0</v>
      </c>
      <c r="Y46" s="6">
        <f t="shared" si="5"/>
        <v>0</v>
      </c>
      <c r="Z46" s="6">
        <f t="array" ref="Z46">MIN(IF(Timesheet!$A$13:$A$11483='Mês 1'!O46,Timesheet!$D$13:$D$11483))</f>
        <v>0</v>
      </c>
      <c r="AA46" s="6">
        <f t="array" ref="AA46">MAX(IF(Timesheet!$A$13:$A$11483='Mês 1'!O46,Timesheet!$E$13:$E$11483))</f>
        <v>0</v>
      </c>
      <c r="AC46" s="1">
        <v>45113</v>
      </c>
      <c r="AD46" s="6">
        <f>SUMIFS(Timesheet!$F$13:$F$11461,Timesheet!$A$13:$A$11461,'Mês 1'!AC46,Timesheet!$C$13:$C$11461,'Mês 1'!$AD$40)</f>
        <v>0</v>
      </c>
      <c r="AE46" s="6">
        <f>SUMIFS(Timesheet!$F$13:$F$11461,Timesheet!$A$13:$A$11461,'Mês 1'!AC46,Timesheet!$C$13:$C$11461,'Mês 1'!$AE$40)</f>
        <v>0</v>
      </c>
      <c r="AF46" s="6">
        <f>SUMIFS(Timesheet!$F$13:$F$11461,Timesheet!$A$13:$A$11461,'Mês 1'!AC46,Timesheet!$C$13:$C$11461,'Mês 1'!$AF$40)</f>
        <v>0</v>
      </c>
      <c r="AG46" s="6">
        <f>SUMIFS(Timesheet!$F$13:$F$11461,Timesheet!$A$13:$A$11461,'Mês 1'!AC46,Timesheet!$C$13:$C$11461,'Mês 1'!$AG$40)</f>
        <v>0</v>
      </c>
      <c r="AH46" s="6">
        <f>SUMIFS(Timesheet!$F$13:$F$11461,Timesheet!$A$13:$A$11461,'Mês 1'!AC46,Timesheet!$C$13:$C$11461,'Mês 1'!$AH$40)</f>
        <v>0</v>
      </c>
      <c r="AI46" s="6">
        <f>SUMIFS(Timesheet!$F$13:$F$11461,Timesheet!$A$13:$A$11461,'Mês 1'!AC46,Timesheet!$C$13:$C$11461,'Mês 1'!$AI$40)</f>
        <v>0</v>
      </c>
      <c r="AJ46" s="6">
        <f>SUMIFS(Timesheet!$F$13:$F$11461,Timesheet!$A$13:$A$11461,'Mês 1'!AC46,Timesheet!$C$13:$C$11461,'Mês 1'!$AJ$40)</f>
        <v>0</v>
      </c>
      <c r="AK46" s="6">
        <f>SUMIFS(Timesheet!$F$13:$F$11461,Timesheet!$A$13:$A$11461,'Mês 1'!AC46,Timesheet!$C$13:$C$11461,'Mês 1'!$AK$40)</f>
        <v>0</v>
      </c>
      <c r="AL46" s="6">
        <f>SUMIFS(Timesheet!$F$13:$F$11461,Timesheet!$A$13:$A$11461,'Mês 1'!AC46,Timesheet!$C$13:$C$11461,'Mês 1'!$AL$40)</f>
        <v>0</v>
      </c>
      <c r="AM46" s="6">
        <f t="shared" si="6"/>
        <v>0</v>
      </c>
      <c r="AN46" s="6">
        <f t="array" ref="AN46">MIN(IF(Timesheet!$A$13:$A$11483='Mês 1'!AC46,Timesheet!$D$13:$D$11483))</f>
        <v>0</v>
      </c>
      <c r="AO46" s="6">
        <f t="array" ref="AO46">MAX(IF(Timesheet!$A$13:$A$11483='Mês 1'!AC46,Timesheet!$E$13:$E$11483))</f>
        <v>0</v>
      </c>
      <c r="AQ46" s="1">
        <v>45175</v>
      </c>
      <c r="AR46" s="6">
        <f>SUMIFS(Timesheet!$F$13:$F$11461,Timesheet!$A$13:$A$11461,'Mês 1'!AQ46,Timesheet!$C$13:$C$11461,'Mês 1'!$AR$40)</f>
        <v>0</v>
      </c>
      <c r="AS46" s="6">
        <f>SUMIFS(Timesheet!$F$13:$F$11461,Timesheet!$A$13:$A$11461,'Mês 1'!AQ46,Timesheet!$C$13:$C$11461,'Mês 1'!$AS$40)</f>
        <v>0</v>
      </c>
      <c r="AT46" s="6">
        <f>SUMIFS(Timesheet!$F$13:$F$11461,Timesheet!$A$13:$A$11461,'Mês 1'!AQ46,Timesheet!$C$13:$C$11461,'Mês 1'!$AT$40)</f>
        <v>0</v>
      </c>
      <c r="AU46" s="6">
        <f>SUMIFS(Timesheet!$F$13:$F$11461,Timesheet!$A$13:$A$11461,'Mês 1'!AQ46,Timesheet!$C$13:$C$11461,'Mês 1'!$AU$40)</f>
        <v>0</v>
      </c>
      <c r="AV46" s="6">
        <f>SUMIFS(Timesheet!$F$13:$F$11461,Timesheet!$A$13:$A$11461,'Mês 1'!AQ46,Timesheet!$C$13:$C$11461,'Mês 1'!$AV$40)</f>
        <v>0</v>
      </c>
      <c r="AW46" s="6">
        <f>SUMIFS(Timesheet!$F$13:$F$11461,Timesheet!$A$13:$A$11461,'Mês 1'!AQ46,Timesheet!$C$13:$C$11461,'Mês 1'!$AW$40)</f>
        <v>0</v>
      </c>
      <c r="AX46" s="6">
        <f>SUMIFS(Timesheet!$F$13:$F$11461,Timesheet!$A$13:$A$11461,'Mês 1'!AQ46,Timesheet!$C$13:$C$11461,'Mês 1'!$AX$40)</f>
        <v>0</v>
      </c>
      <c r="AY46" s="6">
        <f>SUMIFS(Timesheet!$F$13:$F$11461,Timesheet!$A$13:$A$11461,'Mês 1'!AQ46,Timesheet!$C$13:$C$11461,'Mês 1'!$AY$40)</f>
        <v>0</v>
      </c>
      <c r="AZ46" s="6">
        <f>SUMIFS(Timesheet!$F$13:$F$11461,Timesheet!$A$13:$A$11461,'Mês 1'!AQ46,Timesheet!$C$13:$C$11461,'Mês 1'!$AZ$40)</f>
        <v>0</v>
      </c>
      <c r="BA46" s="6">
        <f t="shared" si="7"/>
        <v>0</v>
      </c>
      <c r="BB46" s="6">
        <f t="array" ref="BB46">MIN(IF(Timesheet!$A$13:$A$11483='Mês 1'!AQ46,Timesheet!$D$13:$D$11483))</f>
        <v>0</v>
      </c>
      <c r="BC46" s="6">
        <f t="array" ref="BC46">MAX(IF(Timesheet!$A$13:$A$11483='Mês 1'!AQ46,Timesheet!$E$13:$E$11483))</f>
        <v>0</v>
      </c>
      <c r="BE46" s="1">
        <v>45236</v>
      </c>
      <c r="BF46" s="6">
        <f>SUMIFS(Timesheet!$F$13:$F$11461,Timesheet!$A$13:$A$11461,'Mês 1'!BE46,Timesheet!$C$13:$C$11461,'Mês 1'!$BF$40)</f>
        <v>0</v>
      </c>
      <c r="BG46" s="6">
        <f>SUMIFS(Timesheet!$F$13:$F$11461,Timesheet!$A$13:$A$11461,'Mês 1'!BE46,Timesheet!$C$13:$C$11461,'Mês 1'!$BG$40)</f>
        <v>0</v>
      </c>
      <c r="BH46" s="6">
        <f>SUMIFS(Timesheet!$F$13:$F$11461,Timesheet!$A$13:$A$11461,'Mês 1'!BE46,Timesheet!$C$13:$C$11461,'Mês 1'!$BH$40)</f>
        <v>0</v>
      </c>
      <c r="BI46" s="6">
        <f>SUMIFS(Timesheet!$F$13:$F$11461,Timesheet!$A$13:$A$11461,'Mês 1'!BE46,Timesheet!$C$13:$C$11461,'Mês 1'!$BI$40)</f>
        <v>0</v>
      </c>
      <c r="BJ46" s="6">
        <f>SUMIFS(Timesheet!$F$13:$F$11461,Timesheet!$A$13:$A$11461,'Mês 1'!BE46,Timesheet!$C$13:$C$11461,'Mês 1'!$BJ$40)</f>
        <v>0</v>
      </c>
      <c r="BK46" s="6">
        <f>SUMIFS(Timesheet!$F$13:$F$11461,Timesheet!$A$13:$A$11461,'Mês 1'!BE46,Timesheet!$C$13:$C$11461,'Mês 1'!$BK$40)</f>
        <v>0</v>
      </c>
      <c r="BL46" s="6">
        <f>SUMIFS(Timesheet!$F$13:$F$11461,Timesheet!$A$13:$A$11461,'Mês 1'!BE46,Timesheet!$C$13:$C$11461,'Mês 1'!$BL$40)</f>
        <v>0</v>
      </c>
      <c r="BM46" s="6">
        <f>SUMIFS(Timesheet!$F$13:$F$11461,Timesheet!$A$13:$A$11461,'Mês 1'!BE46,Timesheet!$C$13:$C$11461,'Mês 1'!$BM$40)</f>
        <v>0</v>
      </c>
      <c r="BN46" s="6">
        <f>SUMIFS(Timesheet!$F$13:$F$11461,Timesheet!$A$13:$A$11461,'Mês 1'!BE46,Timesheet!$C$13:$C$11461,'Mês 1'!$BN$40)</f>
        <v>0</v>
      </c>
      <c r="BO46" s="6">
        <f t="shared" si="8"/>
        <v>0</v>
      </c>
      <c r="BP46" s="6">
        <f t="array" ref="BP46">MIN(IF(Timesheet!$A$13:$A$11483='Mês 1'!BE46,Timesheet!$D$13:$D$11483))</f>
        <v>0</v>
      </c>
      <c r="BQ46" s="6">
        <f t="array" ref="BQ46">MAX(IF(Timesheet!$A$13:$A$11483='Mês 1'!BE46,Timesheet!$E$13:$E$11483))</f>
        <v>0</v>
      </c>
    </row>
    <row r="47" spans="1:69" x14ac:dyDescent="0.25">
      <c r="A47" s="1">
        <v>44992</v>
      </c>
      <c r="B47" s="6">
        <f>SUMIFS(Timesheet!$F$13:$F$11461,Timesheet!$A$13:$A$11461,'Mês 1'!A47,Timesheet!$C$13:$C$11461,'Mês 1'!$B$40)</f>
        <v>0</v>
      </c>
      <c r="C47" s="6">
        <f>SUMIFS(Timesheet!$F$13:$F$11461,Timesheet!$A$13:$A$11461,'Mês 1'!A47,Timesheet!$C$13:$C$11461,'Mês 1'!$C$40)</f>
        <v>0</v>
      </c>
      <c r="D47" s="6">
        <f>SUMIFS(Timesheet!$F$13:$F$11461,Timesheet!$A$13:$A$11461,'Mês 1'!A47,Timesheet!$C$13:$C$11461,'Mês 1'!$D$40)</f>
        <v>0</v>
      </c>
      <c r="E47" s="6">
        <f>SUMIFS(Timesheet!$F$13:$F$11461,Timesheet!$A$13:$A$11461,'Mês 1'!A47,Timesheet!$C$13:$C$11461,'Mês 1'!$E$40)</f>
        <v>0</v>
      </c>
      <c r="F47" s="6">
        <f>SUMIFS(Timesheet!$F$13:$F$11461,Timesheet!$A$13:$A$11461,'Mês 1'!A47,Timesheet!$C$13:$C$11461,'Mês 1'!$F$40)</f>
        <v>0</v>
      </c>
      <c r="G47" s="6">
        <f>SUMIFS(Timesheet!$F$13:$F$11461,Timesheet!$A$13:$A$11461,'Mês 1'!A47,Timesheet!$C$13:$C$11461,'Mês 1'!$G$40)</f>
        <v>0</v>
      </c>
      <c r="H47" s="6">
        <f>SUMIFS(Timesheet!$F$13:$F$11461,Timesheet!$A$13:$A$11461,'Mês 1'!A47,Timesheet!$C$13:$C$11461,'Mês 1'!$H$40)</f>
        <v>0</v>
      </c>
      <c r="I47" s="6">
        <f>SUMIFS(Timesheet!$F$13:$F$11461,Timesheet!$A$13:$A$11461,'Mês 1'!A47,Timesheet!$C$13:$C$11461,'Mês 1'!$I$40)</f>
        <v>0</v>
      </c>
      <c r="J47" s="6">
        <f>SUMIFS(Timesheet!$F$13:$F$11461,Timesheet!$A$13:$A$11461,'Mês 1'!A47,Timesheet!$C$13:$C$11461,'Mês 1'!$J$40)</f>
        <v>0</v>
      </c>
      <c r="K47" s="6">
        <f t="shared" si="4"/>
        <v>0</v>
      </c>
      <c r="L47" s="6">
        <f t="array" ref="L47">MIN(IF(Timesheet!$A$13:$A$11483='Mês 1'!A47,Timesheet!$D$13:$D$11483))</f>
        <v>0</v>
      </c>
      <c r="M47" s="6">
        <f t="array" ref="M47">MAX(IF(Timesheet!$A$13:$A$11483='Mês 1'!A47,Timesheet!$E$13:$E$11483))</f>
        <v>0</v>
      </c>
      <c r="O47" s="1">
        <v>45053</v>
      </c>
      <c r="P47" s="6">
        <f>SUMIFS(Timesheet!$F$13:$F$11461,Timesheet!$A$13:$A$11461,'Mês 1'!O47,Timesheet!$C$13:$C$11461,'Mês 1'!$P$40)</f>
        <v>0</v>
      </c>
      <c r="Q47" s="6">
        <f>SUMIFS(Timesheet!$F$13:$F$11461,Timesheet!$A$13:$A$11461,'Mês 1'!O47,Timesheet!$C$13:$C$11461,'Mês 1'!$Q$40)</f>
        <v>0</v>
      </c>
      <c r="R47" s="6">
        <f>SUMIFS(Timesheet!$F$13:$F$11461,Timesheet!$A$13:$A$11461,'Mês 1'!O47,Timesheet!$C$13:$C$11461,'Mês 1'!$R$40)</f>
        <v>0</v>
      </c>
      <c r="S47" s="6">
        <f>SUMIFS(Timesheet!$F$13:$F$11461,Timesheet!$A$13:$A$11461,'Mês 1'!O47,Timesheet!$C$13:$C$11461,'Mês 1'!$S$40)</f>
        <v>0</v>
      </c>
      <c r="T47" s="6">
        <f>SUMIFS(Timesheet!$F$13:$F$11461,Timesheet!$A$13:$A$11461,'Mês 1'!O47,Timesheet!$C$13:$C$11461,'Mês 1'!$T$40)</f>
        <v>0</v>
      </c>
      <c r="U47" s="6">
        <f>SUMIFS(Timesheet!$F$13:$F$11461,Timesheet!$A$13:$A$11461,'Mês 1'!O47,Timesheet!$C$13:$C$11461,'Mês 1'!$U$40)</f>
        <v>0</v>
      </c>
      <c r="V47" s="6">
        <f>SUMIFS(Timesheet!$F$13:$F$11461,Timesheet!$A$13:$A$11461,'Mês 1'!O47,Timesheet!$C$13:$C$11461,'Mês 1'!$V$40)</f>
        <v>0</v>
      </c>
      <c r="W47" s="6">
        <f>SUMIFS(Timesheet!$F$13:$F$11461,Timesheet!$A$13:$A$11461,'Mês 1'!O47,Timesheet!$C$13:$C$11461,'Mês 1'!$W$40)</f>
        <v>0</v>
      </c>
      <c r="X47" s="6">
        <f>SUMIFS(Timesheet!$F$13:$F$11461,Timesheet!$A$13:$A$11461,'Mês 1'!O47,Timesheet!$C$13:$C$11461,'Mês 1'!$X$40)</f>
        <v>0</v>
      </c>
      <c r="Y47" s="6">
        <f t="shared" si="5"/>
        <v>0</v>
      </c>
      <c r="Z47" s="6">
        <f t="array" ref="Z47">MIN(IF(Timesheet!$A$13:$A$11483='Mês 1'!O47,Timesheet!$D$13:$D$11483))</f>
        <v>0</v>
      </c>
      <c r="AA47" s="6">
        <f t="array" ref="AA47">MAX(IF(Timesheet!$A$13:$A$11483='Mês 1'!O47,Timesheet!$E$13:$E$11483))</f>
        <v>0</v>
      </c>
      <c r="AC47" s="1">
        <v>45114</v>
      </c>
      <c r="AD47" s="6">
        <f>SUMIFS(Timesheet!$F$13:$F$11461,Timesheet!$A$13:$A$11461,'Mês 1'!AC47,Timesheet!$C$13:$C$11461,'Mês 1'!$AD$40)</f>
        <v>0</v>
      </c>
      <c r="AE47" s="6">
        <f>SUMIFS(Timesheet!$F$13:$F$11461,Timesheet!$A$13:$A$11461,'Mês 1'!AC47,Timesheet!$C$13:$C$11461,'Mês 1'!$AE$40)</f>
        <v>0</v>
      </c>
      <c r="AF47" s="6">
        <f>SUMIFS(Timesheet!$F$13:$F$11461,Timesheet!$A$13:$A$11461,'Mês 1'!AC47,Timesheet!$C$13:$C$11461,'Mês 1'!$AF$40)</f>
        <v>0</v>
      </c>
      <c r="AG47" s="6">
        <f>SUMIFS(Timesheet!$F$13:$F$11461,Timesheet!$A$13:$A$11461,'Mês 1'!AC47,Timesheet!$C$13:$C$11461,'Mês 1'!$AG$40)</f>
        <v>0</v>
      </c>
      <c r="AH47" s="6">
        <f>SUMIFS(Timesheet!$F$13:$F$11461,Timesheet!$A$13:$A$11461,'Mês 1'!AC47,Timesheet!$C$13:$C$11461,'Mês 1'!$AH$40)</f>
        <v>0</v>
      </c>
      <c r="AI47" s="6">
        <f>SUMIFS(Timesheet!$F$13:$F$11461,Timesheet!$A$13:$A$11461,'Mês 1'!AC47,Timesheet!$C$13:$C$11461,'Mês 1'!$AI$40)</f>
        <v>0</v>
      </c>
      <c r="AJ47" s="6">
        <f>SUMIFS(Timesheet!$F$13:$F$11461,Timesheet!$A$13:$A$11461,'Mês 1'!AC47,Timesheet!$C$13:$C$11461,'Mês 1'!$AJ$40)</f>
        <v>0</v>
      </c>
      <c r="AK47" s="6">
        <f>SUMIFS(Timesheet!$F$13:$F$11461,Timesheet!$A$13:$A$11461,'Mês 1'!AC47,Timesheet!$C$13:$C$11461,'Mês 1'!$AK$40)</f>
        <v>0</v>
      </c>
      <c r="AL47" s="6">
        <f>SUMIFS(Timesheet!$F$13:$F$11461,Timesheet!$A$13:$A$11461,'Mês 1'!AC47,Timesheet!$C$13:$C$11461,'Mês 1'!$AL$40)</f>
        <v>0</v>
      </c>
      <c r="AM47" s="6">
        <f t="shared" si="6"/>
        <v>0</v>
      </c>
      <c r="AN47" s="6">
        <f t="array" ref="AN47">MIN(IF(Timesheet!$A$13:$A$11483='Mês 1'!AC47,Timesheet!$D$13:$D$11483))</f>
        <v>0</v>
      </c>
      <c r="AO47" s="6">
        <f t="array" ref="AO47">MAX(IF(Timesheet!$A$13:$A$11483='Mês 1'!AC47,Timesheet!$E$13:$E$11483))</f>
        <v>0</v>
      </c>
      <c r="AQ47" s="1">
        <v>45176</v>
      </c>
      <c r="AR47" s="6">
        <f>SUMIFS(Timesheet!$F$13:$F$11461,Timesheet!$A$13:$A$11461,'Mês 1'!AQ47,Timesheet!$C$13:$C$11461,'Mês 1'!$AR$40)</f>
        <v>0</v>
      </c>
      <c r="AS47" s="6">
        <f>SUMIFS(Timesheet!$F$13:$F$11461,Timesheet!$A$13:$A$11461,'Mês 1'!AQ47,Timesheet!$C$13:$C$11461,'Mês 1'!$AS$40)</f>
        <v>0</v>
      </c>
      <c r="AT47" s="6">
        <f>SUMIFS(Timesheet!$F$13:$F$11461,Timesheet!$A$13:$A$11461,'Mês 1'!AQ47,Timesheet!$C$13:$C$11461,'Mês 1'!$AT$40)</f>
        <v>0</v>
      </c>
      <c r="AU47" s="6">
        <f>SUMIFS(Timesheet!$F$13:$F$11461,Timesheet!$A$13:$A$11461,'Mês 1'!AQ47,Timesheet!$C$13:$C$11461,'Mês 1'!$AU$40)</f>
        <v>0</v>
      </c>
      <c r="AV47" s="6">
        <f>SUMIFS(Timesheet!$F$13:$F$11461,Timesheet!$A$13:$A$11461,'Mês 1'!AQ47,Timesheet!$C$13:$C$11461,'Mês 1'!$AV$40)</f>
        <v>0</v>
      </c>
      <c r="AW47" s="6">
        <f>SUMIFS(Timesheet!$F$13:$F$11461,Timesheet!$A$13:$A$11461,'Mês 1'!AQ47,Timesheet!$C$13:$C$11461,'Mês 1'!$AW$40)</f>
        <v>0</v>
      </c>
      <c r="AX47" s="6">
        <f>SUMIFS(Timesheet!$F$13:$F$11461,Timesheet!$A$13:$A$11461,'Mês 1'!AQ47,Timesheet!$C$13:$C$11461,'Mês 1'!$AX$40)</f>
        <v>0</v>
      </c>
      <c r="AY47" s="6">
        <f>SUMIFS(Timesheet!$F$13:$F$11461,Timesheet!$A$13:$A$11461,'Mês 1'!AQ47,Timesheet!$C$13:$C$11461,'Mês 1'!$AY$40)</f>
        <v>0</v>
      </c>
      <c r="AZ47" s="6">
        <f>SUMIFS(Timesheet!$F$13:$F$11461,Timesheet!$A$13:$A$11461,'Mês 1'!AQ47,Timesheet!$C$13:$C$11461,'Mês 1'!$AZ$40)</f>
        <v>0</v>
      </c>
      <c r="BA47" s="6">
        <f t="shared" si="7"/>
        <v>0</v>
      </c>
      <c r="BB47" s="6">
        <f t="array" ref="BB47">MIN(IF(Timesheet!$A$13:$A$11483='Mês 1'!AQ47,Timesheet!$D$13:$D$11483))</f>
        <v>0</v>
      </c>
      <c r="BC47" s="6">
        <f t="array" ref="BC47">MAX(IF(Timesheet!$A$13:$A$11483='Mês 1'!AQ47,Timesheet!$E$13:$E$11483))</f>
        <v>0</v>
      </c>
      <c r="BE47" s="1">
        <v>45237</v>
      </c>
      <c r="BF47" s="6">
        <f>SUMIFS(Timesheet!$F$13:$F$11461,Timesheet!$A$13:$A$11461,'Mês 1'!BE47,Timesheet!$C$13:$C$11461,'Mês 1'!$BF$40)</f>
        <v>0</v>
      </c>
      <c r="BG47" s="6">
        <f>SUMIFS(Timesheet!$F$13:$F$11461,Timesheet!$A$13:$A$11461,'Mês 1'!BE47,Timesheet!$C$13:$C$11461,'Mês 1'!$BG$40)</f>
        <v>0</v>
      </c>
      <c r="BH47" s="6">
        <f>SUMIFS(Timesheet!$F$13:$F$11461,Timesheet!$A$13:$A$11461,'Mês 1'!BE47,Timesheet!$C$13:$C$11461,'Mês 1'!$BH$40)</f>
        <v>0</v>
      </c>
      <c r="BI47" s="6">
        <f>SUMIFS(Timesheet!$F$13:$F$11461,Timesheet!$A$13:$A$11461,'Mês 1'!BE47,Timesheet!$C$13:$C$11461,'Mês 1'!$BI$40)</f>
        <v>0</v>
      </c>
      <c r="BJ47" s="6">
        <f>SUMIFS(Timesheet!$F$13:$F$11461,Timesheet!$A$13:$A$11461,'Mês 1'!BE47,Timesheet!$C$13:$C$11461,'Mês 1'!$BJ$40)</f>
        <v>0</v>
      </c>
      <c r="BK47" s="6">
        <f>SUMIFS(Timesheet!$F$13:$F$11461,Timesheet!$A$13:$A$11461,'Mês 1'!BE47,Timesheet!$C$13:$C$11461,'Mês 1'!$BK$40)</f>
        <v>0</v>
      </c>
      <c r="BL47" s="6">
        <f>SUMIFS(Timesheet!$F$13:$F$11461,Timesheet!$A$13:$A$11461,'Mês 1'!BE47,Timesheet!$C$13:$C$11461,'Mês 1'!$BL$40)</f>
        <v>0</v>
      </c>
      <c r="BM47" s="6">
        <f>SUMIFS(Timesheet!$F$13:$F$11461,Timesheet!$A$13:$A$11461,'Mês 1'!BE47,Timesheet!$C$13:$C$11461,'Mês 1'!$BM$40)</f>
        <v>0</v>
      </c>
      <c r="BN47" s="6">
        <f>SUMIFS(Timesheet!$F$13:$F$11461,Timesheet!$A$13:$A$11461,'Mês 1'!BE47,Timesheet!$C$13:$C$11461,'Mês 1'!$BN$40)</f>
        <v>0</v>
      </c>
      <c r="BO47" s="6">
        <f t="shared" si="8"/>
        <v>0</v>
      </c>
      <c r="BP47" s="6">
        <f t="array" ref="BP47">MIN(IF(Timesheet!$A$13:$A$11483='Mês 1'!BE47,Timesheet!$D$13:$D$11483))</f>
        <v>0</v>
      </c>
      <c r="BQ47" s="6">
        <f t="array" ref="BQ47">MAX(IF(Timesheet!$A$13:$A$11483='Mês 1'!BE47,Timesheet!$E$13:$E$11483))</f>
        <v>0</v>
      </c>
    </row>
    <row r="48" spans="1:69" x14ac:dyDescent="0.25">
      <c r="A48" s="1">
        <v>44993</v>
      </c>
      <c r="B48" s="6">
        <f>SUMIFS(Timesheet!$F$13:$F$11461,Timesheet!$A$13:$A$11461,'Mês 1'!A48,Timesheet!$C$13:$C$11461,'Mês 1'!$B$40)</f>
        <v>0</v>
      </c>
      <c r="C48" s="6">
        <f>SUMIFS(Timesheet!$F$13:$F$11461,Timesheet!$A$13:$A$11461,'Mês 1'!A48,Timesheet!$C$13:$C$11461,'Mês 1'!$C$40)</f>
        <v>0</v>
      </c>
      <c r="D48" s="6">
        <f>SUMIFS(Timesheet!$F$13:$F$11461,Timesheet!$A$13:$A$11461,'Mês 1'!A48,Timesheet!$C$13:$C$11461,'Mês 1'!$D$40)</f>
        <v>0</v>
      </c>
      <c r="E48" s="6">
        <f>SUMIFS(Timesheet!$F$13:$F$11461,Timesheet!$A$13:$A$11461,'Mês 1'!A48,Timesheet!$C$13:$C$11461,'Mês 1'!$E$40)</f>
        <v>0</v>
      </c>
      <c r="F48" s="6">
        <f>SUMIFS(Timesheet!$F$13:$F$11461,Timesheet!$A$13:$A$11461,'Mês 1'!A48,Timesheet!$C$13:$C$11461,'Mês 1'!$F$40)</f>
        <v>0</v>
      </c>
      <c r="G48" s="6">
        <f>SUMIFS(Timesheet!$F$13:$F$11461,Timesheet!$A$13:$A$11461,'Mês 1'!A48,Timesheet!$C$13:$C$11461,'Mês 1'!$G$40)</f>
        <v>0</v>
      </c>
      <c r="H48" s="6">
        <f>SUMIFS(Timesheet!$F$13:$F$11461,Timesheet!$A$13:$A$11461,'Mês 1'!A48,Timesheet!$C$13:$C$11461,'Mês 1'!$H$40)</f>
        <v>0</v>
      </c>
      <c r="I48" s="6">
        <f>SUMIFS(Timesheet!$F$13:$F$11461,Timesheet!$A$13:$A$11461,'Mês 1'!A48,Timesheet!$C$13:$C$11461,'Mês 1'!$I$40)</f>
        <v>0</v>
      </c>
      <c r="J48" s="6">
        <f>SUMIFS(Timesheet!$F$13:$F$11461,Timesheet!$A$13:$A$11461,'Mês 1'!A48,Timesheet!$C$13:$C$11461,'Mês 1'!$J$40)</f>
        <v>0</v>
      </c>
      <c r="K48" s="6">
        <f t="shared" si="4"/>
        <v>0</v>
      </c>
      <c r="L48" s="6">
        <f t="array" ref="L48">MIN(IF(Timesheet!$A$13:$A$11483='Mês 1'!A48,Timesheet!$D$13:$D$11483))</f>
        <v>0</v>
      </c>
      <c r="M48" s="6">
        <f t="array" ref="M48">MAX(IF(Timesheet!$A$13:$A$11483='Mês 1'!A48,Timesheet!$E$13:$E$11483))</f>
        <v>0</v>
      </c>
      <c r="O48" s="1">
        <v>45054</v>
      </c>
      <c r="P48" s="6">
        <f>SUMIFS(Timesheet!$F$13:$F$11461,Timesheet!$A$13:$A$11461,'Mês 1'!O48,Timesheet!$C$13:$C$11461,'Mês 1'!$P$40)</f>
        <v>0</v>
      </c>
      <c r="Q48" s="6">
        <f>SUMIFS(Timesheet!$F$13:$F$11461,Timesheet!$A$13:$A$11461,'Mês 1'!O48,Timesheet!$C$13:$C$11461,'Mês 1'!$Q$40)</f>
        <v>0</v>
      </c>
      <c r="R48" s="6">
        <f>SUMIFS(Timesheet!$F$13:$F$11461,Timesheet!$A$13:$A$11461,'Mês 1'!O48,Timesheet!$C$13:$C$11461,'Mês 1'!$R$40)</f>
        <v>0</v>
      </c>
      <c r="S48" s="6">
        <f>SUMIFS(Timesheet!$F$13:$F$11461,Timesheet!$A$13:$A$11461,'Mês 1'!O48,Timesheet!$C$13:$C$11461,'Mês 1'!$S$40)</f>
        <v>0</v>
      </c>
      <c r="T48" s="6">
        <f>SUMIFS(Timesheet!$F$13:$F$11461,Timesheet!$A$13:$A$11461,'Mês 1'!O48,Timesheet!$C$13:$C$11461,'Mês 1'!$T$40)</f>
        <v>0</v>
      </c>
      <c r="U48" s="6">
        <f>SUMIFS(Timesheet!$F$13:$F$11461,Timesheet!$A$13:$A$11461,'Mês 1'!O48,Timesheet!$C$13:$C$11461,'Mês 1'!$U$40)</f>
        <v>0</v>
      </c>
      <c r="V48" s="6">
        <f>SUMIFS(Timesheet!$F$13:$F$11461,Timesheet!$A$13:$A$11461,'Mês 1'!O48,Timesheet!$C$13:$C$11461,'Mês 1'!$V$40)</f>
        <v>0</v>
      </c>
      <c r="W48" s="6">
        <f>SUMIFS(Timesheet!$F$13:$F$11461,Timesheet!$A$13:$A$11461,'Mês 1'!O48,Timesheet!$C$13:$C$11461,'Mês 1'!$W$40)</f>
        <v>0</v>
      </c>
      <c r="X48" s="6">
        <f>SUMIFS(Timesheet!$F$13:$F$11461,Timesheet!$A$13:$A$11461,'Mês 1'!O48,Timesheet!$C$13:$C$11461,'Mês 1'!$X$40)</f>
        <v>0</v>
      </c>
      <c r="Y48" s="6">
        <f t="shared" si="5"/>
        <v>0</v>
      </c>
      <c r="Z48" s="6">
        <f t="array" ref="Z48">MIN(IF(Timesheet!$A$13:$A$11483='Mês 1'!O48,Timesheet!$D$13:$D$11483))</f>
        <v>0</v>
      </c>
      <c r="AA48" s="6">
        <f t="array" ref="AA48">MAX(IF(Timesheet!$A$13:$A$11483='Mês 1'!O48,Timesheet!$E$13:$E$11483))</f>
        <v>0</v>
      </c>
      <c r="AC48" s="1">
        <v>45115</v>
      </c>
      <c r="AD48" s="6">
        <f>SUMIFS(Timesheet!$F$13:$F$11461,Timesheet!$A$13:$A$11461,'Mês 1'!AC48,Timesheet!$C$13:$C$11461,'Mês 1'!$AD$40)</f>
        <v>0</v>
      </c>
      <c r="AE48" s="6">
        <f>SUMIFS(Timesheet!$F$13:$F$11461,Timesheet!$A$13:$A$11461,'Mês 1'!AC48,Timesheet!$C$13:$C$11461,'Mês 1'!$AE$40)</f>
        <v>0</v>
      </c>
      <c r="AF48" s="6">
        <f>SUMIFS(Timesheet!$F$13:$F$11461,Timesheet!$A$13:$A$11461,'Mês 1'!AC48,Timesheet!$C$13:$C$11461,'Mês 1'!$AF$40)</f>
        <v>0</v>
      </c>
      <c r="AG48" s="6">
        <f>SUMIFS(Timesheet!$F$13:$F$11461,Timesheet!$A$13:$A$11461,'Mês 1'!AC48,Timesheet!$C$13:$C$11461,'Mês 1'!$AG$40)</f>
        <v>0</v>
      </c>
      <c r="AH48" s="6">
        <f>SUMIFS(Timesheet!$F$13:$F$11461,Timesheet!$A$13:$A$11461,'Mês 1'!AC48,Timesheet!$C$13:$C$11461,'Mês 1'!$AH$40)</f>
        <v>0</v>
      </c>
      <c r="AI48" s="6">
        <f>SUMIFS(Timesheet!$F$13:$F$11461,Timesheet!$A$13:$A$11461,'Mês 1'!AC48,Timesheet!$C$13:$C$11461,'Mês 1'!$AI$40)</f>
        <v>0</v>
      </c>
      <c r="AJ48" s="6">
        <f>SUMIFS(Timesheet!$F$13:$F$11461,Timesheet!$A$13:$A$11461,'Mês 1'!AC48,Timesheet!$C$13:$C$11461,'Mês 1'!$AJ$40)</f>
        <v>0</v>
      </c>
      <c r="AK48" s="6">
        <f>SUMIFS(Timesheet!$F$13:$F$11461,Timesheet!$A$13:$A$11461,'Mês 1'!AC48,Timesheet!$C$13:$C$11461,'Mês 1'!$AK$40)</f>
        <v>0</v>
      </c>
      <c r="AL48" s="6">
        <f>SUMIFS(Timesheet!$F$13:$F$11461,Timesheet!$A$13:$A$11461,'Mês 1'!AC48,Timesheet!$C$13:$C$11461,'Mês 1'!$AL$40)</f>
        <v>0</v>
      </c>
      <c r="AM48" s="6">
        <f t="shared" si="6"/>
        <v>0</v>
      </c>
      <c r="AN48" s="6">
        <f t="array" ref="AN48">MIN(IF(Timesheet!$A$13:$A$11483='Mês 1'!AC48,Timesheet!$D$13:$D$11483))</f>
        <v>0</v>
      </c>
      <c r="AO48" s="6">
        <f t="array" ref="AO48">MAX(IF(Timesheet!$A$13:$A$11483='Mês 1'!AC48,Timesheet!$E$13:$E$11483))</f>
        <v>0</v>
      </c>
      <c r="AQ48" s="1">
        <v>45177</v>
      </c>
      <c r="AR48" s="6">
        <f>SUMIFS(Timesheet!$F$13:$F$11461,Timesheet!$A$13:$A$11461,'Mês 1'!AQ48,Timesheet!$C$13:$C$11461,'Mês 1'!$AR$40)</f>
        <v>0</v>
      </c>
      <c r="AS48" s="6">
        <f>SUMIFS(Timesheet!$F$13:$F$11461,Timesheet!$A$13:$A$11461,'Mês 1'!AQ48,Timesheet!$C$13:$C$11461,'Mês 1'!$AS$40)</f>
        <v>0</v>
      </c>
      <c r="AT48" s="6">
        <f>SUMIFS(Timesheet!$F$13:$F$11461,Timesheet!$A$13:$A$11461,'Mês 1'!AQ48,Timesheet!$C$13:$C$11461,'Mês 1'!$AT$40)</f>
        <v>0</v>
      </c>
      <c r="AU48" s="6">
        <f>SUMIFS(Timesheet!$F$13:$F$11461,Timesheet!$A$13:$A$11461,'Mês 1'!AQ48,Timesheet!$C$13:$C$11461,'Mês 1'!$AU$40)</f>
        <v>0</v>
      </c>
      <c r="AV48" s="6">
        <f>SUMIFS(Timesheet!$F$13:$F$11461,Timesheet!$A$13:$A$11461,'Mês 1'!AQ48,Timesheet!$C$13:$C$11461,'Mês 1'!$AV$40)</f>
        <v>0</v>
      </c>
      <c r="AW48" s="6">
        <f>SUMIFS(Timesheet!$F$13:$F$11461,Timesheet!$A$13:$A$11461,'Mês 1'!AQ48,Timesheet!$C$13:$C$11461,'Mês 1'!$AW$40)</f>
        <v>0</v>
      </c>
      <c r="AX48" s="6">
        <f>SUMIFS(Timesheet!$F$13:$F$11461,Timesheet!$A$13:$A$11461,'Mês 1'!AQ48,Timesheet!$C$13:$C$11461,'Mês 1'!$AX$40)</f>
        <v>0</v>
      </c>
      <c r="AY48" s="6">
        <f>SUMIFS(Timesheet!$F$13:$F$11461,Timesheet!$A$13:$A$11461,'Mês 1'!AQ48,Timesheet!$C$13:$C$11461,'Mês 1'!$AY$40)</f>
        <v>0</v>
      </c>
      <c r="AZ48" s="6">
        <f>SUMIFS(Timesheet!$F$13:$F$11461,Timesheet!$A$13:$A$11461,'Mês 1'!AQ48,Timesheet!$C$13:$C$11461,'Mês 1'!$AZ$40)</f>
        <v>0</v>
      </c>
      <c r="BA48" s="6">
        <f t="shared" si="7"/>
        <v>0</v>
      </c>
      <c r="BB48" s="6">
        <f t="array" ref="BB48">MIN(IF(Timesheet!$A$13:$A$11483='Mês 1'!AQ48,Timesheet!$D$13:$D$11483))</f>
        <v>0</v>
      </c>
      <c r="BC48" s="6">
        <f t="array" ref="BC48">MAX(IF(Timesheet!$A$13:$A$11483='Mês 1'!AQ48,Timesheet!$E$13:$E$11483))</f>
        <v>0</v>
      </c>
      <c r="BE48" s="1">
        <v>45238</v>
      </c>
      <c r="BF48" s="6">
        <f>SUMIFS(Timesheet!$F$13:$F$11461,Timesheet!$A$13:$A$11461,'Mês 1'!BE48,Timesheet!$C$13:$C$11461,'Mês 1'!$BF$40)</f>
        <v>0</v>
      </c>
      <c r="BG48" s="6">
        <f>SUMIFS(Timesheet!$F$13:$F$11461,Timesheet!$A$13:$A$11461,'Mês 1'!BE48,Timesheet!$C$13:$C$11461,'Mês 1'!$BG$40)</f>
        <v>0</v>
      </c>
      <c r="BH48" s="6">
        <f>SUMIFS(Timesheet!$F$13:$F$11461,Timesheet!$A$13:$A$11461,'Mês 1'!BE48,Timesheet!$C$13:$C$11461,'Mês 1'!$BH$40)</f>
        <v>0</v>
      </c>
      <c r="BI48" s="6">
        <f>SUMIFS(Timesheet!$F$13:$F$11461,Timesheet!$A$13:$A$11461,'Mês 1'!BE48,Timesheet!$C$13:$C$11461,'Mês 1'!$BI$40)</f>
        <v>0</v>
      </c>
      <c r="BJ48" s="6">
        <f>SUMIFS(Timesheet!$F$13:$F$11461,Timesheet!$A$13:$A$11461,'Mês 1'!BE48,Timesheet!$C$13:$C$11461,'Mês 1'!$BJ$40)</f>
        <v>0</v>
      </c>
      <c r="BK48" s="6">
        <f>SUMIFS(Timesheet!$F$13:$F$11461,Timesheet!$A$13:$A$11461,'Mês 1'!BE48,Timesheet!$C$13:$C$11461,'Mês 1'!$BK$40)</f>
        <v>0</v>
      </c>
      <c r="BL48" s="6">
        <f>SUMIFS(Timesheet!$F$13:$F$11461,Timesheet!$A$13:$A$11461,'Mês 1'!BE48,Timesheet!$C$13:$C$11461,'Mês 1'!$BL$40)</f>
        <v>0</v>
      </c>
      <c r="BM48" s="6">
        <f>SUMIFS(Timesheet!$F$13:$F$11461,Timesheet!$A$13:$A$11461,'Mês 1'!BE48,Timesheet!$C$13:$C$11461,'Mês 1'!$BM$40)</f>
        <v>0</v>
      </c>
      <c r="BN48" s="6">
        <f>SUMIFS(Timesheet!$F$13:$F$11461,Timesheet!$A$13:$A$11461,'Mês 1'!BE48,Timesheet!$C$13:$C$11461,'Mês 1'!$BN$40)</f>
        <v>0</v>
      </c>
      <c r="BO48" s="6">
        <f t="shared" si="8"/>
        <v>0</v>
      </c>
      <c r="BP48" s="6">
        <f t="array" ref="BP48">MIN(IF(Timesheet!$A$13:$A$11483='Mês 1'!BE48,Timesheet!$D$13:$D$11483))</f>
        <v>0</v>
      </c>
      <c r="BQ48" s="6">
        <f t="array" ref="BQ48">MAX(IF(Timesheet!$A$13:$A$11483='Mês 1'!BE48,Timesheet!$E$13:$E$11483))</f>
        <v>0</v>
      </c>
    </row>
    <row r="49" spans="1:69" x14ac:dyDescent="0.25">
      <c r="A49" s="1">
        <v>44994</v>
      </c>
      <c r="B49" s="6">
        <f>SUMIFS(Timesheet!$F$13:$F$11461,Timesheet!$A$13:$A$11461,'Mês 1'!A49,Timesheet!$C$13:$C$11461,'Mês 1'!$B$40)</f>
        <v>0</v>
      </c>
      <c r="C49" s="6">
        <f>SUMIFS(Timesheet!$F$13:$F$11461,Timesheet!$A$13:$A$11461,'Mês 1'!A49,Timesheet!$C$13:$C$11461,'Mês 1'!$C$40)</f>
        <v>0</v>
      </c>
      <c r="D49" s="6">
        <f>SUMIFS(Timesheet!$F$13:$F$11461,Timesheet!$A$13:$A$11461,'Mês 1'!A49,Timesheet!$C$13:$C$11461,'Mês 1'!$D$40)</f>
        <v>0</v>
      </c>
      <c r="E49" s="6">
        <f>SUMIFS(Timesheet!$F$13:$F$11461,Timesheet!$A$13:$A$11461,'Mês 1'!A49,Timesheet!$C$13:$C$11461,'Mês 1'!$E$40)</f>
        <v>0</v>
      </c>
      <c r="F49" s="6">
        <f>SUMIFS(Timesheet!$F$13:$F$11461,Timesheet!$A$13:$A$11461,'Mês 1'!A49,Timesheet!$C$13:$C$11461,'Mês 1'!$F$40)</f>
        <v>0</v>
      </c>
      <c r="G49" s="6">
        <f>SUMIFS(Timesheet!$F$13:$F$11461,Timesheet!$A$13:$A$11461,'Mês 1'!A49,Timesheet!$C$13:$C$11461,'Mês 1'!$G$40)</f>
        <v>0</v>
      </c>
      <c r="H49" s="6">
        <f>SUMIFS(Timesheet!$F$13:$F$11461,Timesheet!$A$13:$A$11461,'Mês 1'!A49,Timesheet!$C$13:$C$11461,'Mês 1'!$H$40)</f>
        <v>0</v>
      </c>
      <c r="I49" s="6">
        <f>SUMIFS(Timesheet!$F$13:$F$11461,Timesheet!$A$13:$A$11461,'Mês 1'!A49,Timesheet!$C$13:$C$11461,'Mês 1'!$I$40)</f>
        <v>0</v>
      </c>
      <c r="J49" s="6">
        <f>SUMIFS(Timesheet!$F$13:$F$11461,Timesheet!$A$13:$A$11461,'Mês 1'!A49,Timesheet!$C$13:$C$11461,'Mês 1'!$J$40)</f>
        <v>0</v>
      </c>
      <c r="K49" s="6">
        <f t="shared" si="4"/>
        <v>0</v>
      </c>
      <c r="L49" s="6">
        <f t="array" ref="L49">MIN(IF(Timesheet!$A$13:$A$11483='Mês 1'!A49,Timesheet!$D$13:$D$11483))</f>
        <v>0</v>
      </c>
      <c r="M49" s="6">
        <f t="array" ref="M49">MAX(IF(Timesheet!$A$13:$A$11483='Mês 1'!A49,Timesheet!$E$13:$E$11483))</f>
        <v>0</v>
      </c>
      <c r="O49" s="1">
        <v>45055</v>
      </c>
      <c r="P49" s="6">
        <f>SUMIFS(Timesheet!$F$13:$F$11461,Timesheet!$A$13:$A$11461,'Mês 1'!O49,Timesheet!$C$13:$C$11461,'Mês 1'!$P$40)</f>
        <v>0</v>
      </c>
      <c r="Q49" s="6">
        <f>SUMIFS(Timesheet!$F$13:$F$11461,Timesheet!$A$13:$A$11461,'Mês 1'!O49,Timesheet!$C$13:$C$11461,'Mês 1'!$Q$40)</f>
        <v>0</v>
      </c>
      <c r="R49" s="6">
        <f>SUMIFS(Timesheet!$F$13:$F$11461,Timesheet!$A$13:$A$11461,'Mês 1'!O49,Timesheet!$C$13:$C$11461,'Mês 1'!$R$40)</f>
        <v>0</v>
      </c>
      <c r="S49" s="6">
        <f>SUMIFS(Timesheet!$F$13:$F$11461,Timesheet!$A$13:$A$11461,'Mês 1'!O49,Timesheet!$C$13:$C$11461,'Mês 1'!$S$40)</f>
        <v>0</v>
      </c>
      <c r="T49" s="6">
        <f>SUMIFS(Timesheet!$F$13:$F$11461,Timesheet!$A$13:$A$11461,'Mês 1'!O49,Timesheet!$C$13:$C$11461,'Mês 1'!$T$40)</f>
        <v>0</v>
      </c>
      <c r="U49" s="6">
        <f>SUMIFS(Timesheet!$F$13:$F$11461,Timesheet!$A$13:$A$11461,'Mês 1'!O49,Timesheet!$C$13:$C$11461,'Mês 1'!$U$40)</f>
        <v>0</v>
      </c>
      <c r="V49" s="6">
        <f>SUMIFS(Timesheet!$F$13:$F$11461,Timesheet!$A$13:$A$11461,'Mês 1'!O49,Timesheet!$C$13:$C$11461,'Mês 1'!$V$40)</f>
        <v>0</v>
      </c>
      <c r="W49" s="6">
        <f>SUMIFS(Timesheet!$F$13:$F$11461,Timesheet!$A$13:$A$11461,'Mês 1'!O49,Timesheet!$C$13:$C$11461,'Mês 1'!$W$40)</f>
        <v>0</v>
      </c>
      <c r="X49" s="6">
        <f>SUMIFS(Timesheet!$F$13:$F$11461,Timesheet!$A$13:$A$11461,'Mês 1'!O49,Timesheet!$C$13:$C$11461,'Mês 1'!$X$40)</f>
        <v>0</v>
      </c>
      <c r="Y49" s="6">
        <f t="shared" si="5"/>
        <v>0</v>
      </c>
      <c r="Z49" s="6">
        <f t="array" ref="Z49">MIN(IF(Timesheet!$A$13:$A$11483='Mês 1'!O49,Timesheet!$D$13:$D$11483))</f>
        <v>0</v>
      </c>
      <c r="AA49" s="6">
        <f t="array" ref="AA49">MAX(IF(Timesheet!$A$13:$A$11483='Mês 1'!O49,Timesheet!$E$13:$E$11483))</f>
        <v>0</v>
      </c>
      <c r="AC49" s="1">
        <v>45116</v>
      </c>
      <c r="AD49" s="6">
        <f>SUMIFS(Timesheet!$F$13:$F$11461,Timesheet!$A$13:$A$11461,'Mês 1'!AC49,Timesheet!$C$13:$C$11461,'Mês 1'!$AD$40)</f>
        <v>0</v>
      </c>
      <c r="AE49" s="6">
        <f>SUMIFS(Timesheet!$F$13:$F$11461,Timesheet!$A$13:$A$11461,'Mês 1'!AC49,Timesheet!$C$13:$C$11461,'Mês 1'!$AE$40)</f>
        <v>0</v>
      </c>
      <c r="AF49" s="6">
        <f>SUMIFS(Timesheet!$F$13:$F$11461,Timesheet!$A$13:$A$11461,'Mês 1'!AC49,Timesheet!$C$13:$C$11461,'Mês 1'!$AF$40)</f>
        <v>0</v>
      </c>
      <c r="AG49" s="6">
        <f>SUMIFS(Timesheet!$F$13:$F$11461,Timesheet!$A$13:$A$11461,'Mês 1'!AC49,Timesheet!$C$13:$C$11461,'Mês 1'!$AG$40)</f>
        <v>0</v>
      </c>
      <c r="AH49" s="6">
        <f>SUMIFS(Timesheet!$F$13:$F$11461,Timesheet!$A$13:$A$11461,'Mês 1'!AC49,Timesheet!$C$13:$C$11461,'Mês 1'!$AH$40)</f>
        <v>0</v>
      </c>
      <c r="AI49" s="6">
        <f>SUMIFS(Timesheet!$F$13:$F$11461,Timesheet!$A$13:$A$11461,'Mês 1'!AC49,Timesheet!$C$13:$C$11461,'Mês 1'!$AI$40)</f>
        <v>0</v>
      </c>
      <c r="AJ49" s="6">
        <f>SUMIFS(Timesheet!$F$13:$F$11461,Timesheet!$A$13:$A$11461,'Mês 1'!AC49,Timesheet!$C$13:$C$11461,'Mês 1'!$AJ$40)</f>
        <v>0</v>
      </c>
      <c r="AK49" s="6">
        <f>SUMIFS(Timesheet!$F$13:$F$11461,Timesheet!$A$13:$A$11461,'Mês 1'!AC49,Timesheet!$C$13:$C$11461,'Mês 1'!$AK$40)</f>
        <v>0</v>
      </c>
      <c r="AL49" s="6">
        <f>SUMIFS(Timesheet!$F$13:$F$11461,Timesheet!$A$13:$A$11461,'Mês 1'!AC49,Timesheet!$C$13:$C$11461,'Mês 1'!$AL$40)</f>
        <v>0</v>
      </c>
      <c r="AM49" s="6">
        <f t="shared" si="6"/>
        <v>0</v>
      </c>
      <c r="AN49" s="6">
        <f t="array" ref="AN49">MIN(IF(Timesheet!$A$13:$A$11483='Mês 1'!AC49,Timesheet!$D$13:$D$11483))</f>
        <v>0</v>
      </c>
      <c r="AO49" s="6">
        <f t="array" ref="AO49">MAX(IF(Timesheet!$A$13:$A$11483='Mês 1'!AC49,Timesheet!$E$13:$E$11483))</f>
        <v>0</v>
      </c>
      <c r="AQ49" s="1">
        <v>45178</v>
      </c>
      <c r="AR49" s="6">
        <f>SUMIFS(Timesheet!$F$13:$F$11461,Timesheet!$A$13:$A$11461,'Mês 1'!AQ49,Timesheet!$C$13:$C$11461,'Mês 1'!$AR$40)</f>
        <v>0</v>
      </c>
      <c r="AS49" s="6">
        <f>SUMIFS(Timesheet!$F$13:$F$11461,Timesheet!$A$13:$A$11461,'Mês 1'!AQ49,Timesheet!$C$13:$C$11461,'Mês 1'!$AS$40)</f>
        <v>0</v>
      </c>
      <c r="AT49" s="6">
        <f>SUMIFS(Timesheet!$F$13:$F$11461,Timesheet!$A$13:$A$11461,'Mês 1'!AQ49,Timesheet!$C$13:$C$11461,'Mês 1'!$AT$40)</f>
        <v>0</v>
      </c>
      <c r="AU49" s="6">
        <f>SUMIFS(Timesheet!$F$13:$F$11461,Timesheet!$A$13:$A$11461,'Mês 1'!AQ49,Timesheet!$C$13:$C$11461,'Mês 1'!$AU$40)</f>
        <v>0</v>
      </c>
      <c r="AV49" s="6">
        <f>SUMIFS(Timesheet!$F$13:$F$11461,Timesheet!$A$13:$A$11461,'Mês 1'!AQ49,Timesheet!$C$13:$C$11461,'Mês 1'!$AV$40)</f>
        <v>0</v>
      </c>
      <c r="AW49" s="6">
        <f>SUMIFS(Timesheet!$F$13:$F$11461,Timesheet!$A$13:$A$11461,'Mês 1'!AQ49,Timesheet!$C$13:$C$11461,'Mês 1'!$AW$40)</f>
        <v>0</v>
      </c>
      <c r="AX49" s="6">
        <f>SUMIFS(Timesheet!$F$13:$F$11461,Timesheet!$A$13:$A$11461,'Mês 1'!AQ49,Timesheet!$C$13:$C$11461,'Mês 1'!$AX$40)</f>
        <v>0</v>
      </c>
      <c r="AY49" s="6">
        <f>SUMIFS(Timesheet!$F$13:$F$11461,Timesheet!$A$13:$A$11461,'Mês 1'!AQ49,Timesheet!$C$13:$C$11461,'Mês 1'!$AY$40)</f>
        <v>0</v>
      </c>
      <c r="AZ49" s="6">
        <f>SUMIFS(Timesheet!$F$13:$F$11461,Timesheet!$A$13:$A$11461,'Mês 1'!AQ49,Timesheet!$C$13:$C$11461,'Mês 1'!$AZ$40)</f>
        <v>0</v>
      </c>
      <c r="BA49" s="6">
        <f t="shared" si="7"/>
        <v>0</v>
      </c>
      <c r="BB49" s="6">
        <f t="array" ref="BB49">MIN(IF(Timesheet!$A$13:$A$11483='Mês 1'!AQ49,Timesheet!$D$13:$D$11483))</f>
        <v>0</v>
      </c>
      <c r="BC49" s="6">
        <f t="array" ref="BC49">MAX(IF(Timesheet!$A$13:$A$11483='Mês 1'!AQ49,Timesheet!$E$13:$E$11483))</f>
        <v>0</v>
      </c>
      <c r="BE49" s="1">
        <v>45239</v>
      </c>
      <c r="BF49" s="6">
        <f>SUMIFS(Timesheet!$F$13:$F$11461,Timesheet!$A$13:$A$11461,'Mês 1'!BE49,Timesheet!$C$13:$C$11461,'Mês 1'!$BF$40)</f>
        <v>0</v>
      </c>
      <c r="BG49" s="6">
        <f>SUMIFS(Timesheet!$F$13:$F$11461,Timesheet!$A$13:$A$11461,'Mês 1'!BE49,Timesheet!$C$13:$C$11461,'Mês 1'!$BG$40)</f>
        <v>0</v>
      </c>
      <c r="BH49" s="6">
        <f>SUMIFS(Timesheet!$F$13:$F$11461,Timesheet!$A$13:$A$11461,'Mês 1'!BE49,Timesheet!$C$13:$C$11461,'Mês 1'!$BH$40)</f>
        <v>0</v>
      </c>
      <c r="BI49" s="6">
        <f>SUMIFS(Timesheet!$F$13:$F$11461,Timesheet!$A$13:$A$11461,'Mês 1'!BE49,Timesheet!$C$13:$C$11461,'Mês 1'!$BI$40)</f>
        <v>0</v>
      </c>
      <c r="BJ49" s="6">
        <f>SUMIFS(Timesheet!$F$13:$F$11461,Timesheet!$A$13:$A$11461,'Mês 1'!BE49,Timesheet!$C$13:$C$11461,'Mês 1'!$BJ$40)</f>
        <v>0</v>
      </c>
      <c r="BK49" s="6">
        <f>SUMIFS(Timesheet!$F$13:$F$11461,Timesheet!$A$13:$A$11461,'Mês 1'!BE49,Timesheet!$C$13:$C$11461,'Mês 1'!$BK$40)</f>
        <v>0</v>
      </c>
      <c r="BL49" s="6">
        <f>SUMIFS(Timesheet!$F$13:$F$11461,Timesheet!$A$13:$A$11461,'Mês 1'!BE49,Timesheet!$C$13:$C$11461,'Mês 1'!$BL$40)</f>
        <v>0</v>
      </c>
      <c r="BM49" s="6">
        <f>SUMIFS(Timesheet!$F$13:$F$11461,Timesheet!$A$13:$A$11461,'Mês 1'!BE49,Timesheet!$C$13:$C$11461,'Mês 1'!$BM$40)</f>
        <v>0</v>
      </c>
      <c r="BN49" s="6">
        <f>SUMIFS(Timesheet!$F$13:$F$11461,Timesheet!$A$13:$A$11461,'Mês 1'!BE49,Timesheet!$C$13:$C$11461,'Mês 1'!$BN$40)</f>
        <v>0</v>
      </c>
      <c r="BO49" s="6">
        <f t="shared" si="8"/>
        <v>0</v>
      </c>
      <c r="BP49" s="6">
        <f t="array" ref="BP49">MIN(IF(Timesheet!$A$13:$A$11483='Mês 1'!BE49,Timesheet!$D$13:$D$11483))</f>
        <v>0</v>
      </c>
      <c r="BQ49" s="6">
        <f t="array" ref="BQ49">MAX(IF(Timesheet!$A$13:$A$11483='Mês 1'!BE49,Timesheet!$E$13:$E$11483))</f>
        <v>0</v>
      </c>
    </row>
    <row r="50" spans="1:69" x14ac:dyDescent="0.25">
      <c r="A50" s="1">
        <v>44995</v>
      </c>
      <c r="B50" s="6">
        <f>SUMIFS(Timesheet!$F$13:$F$11461,Timesheet!$A$13:$A$11461,'Mês 1'!A50,Timesheet!$C$13:$C$11461,'Mês 1'!$B$40)</f>
        <v>0</v>
      </c>
      <c r="C50" s="6">
        <f>SUMIFS(Timesheet!$F$13:$F$11461,Timesheet!$A$13:$A$11461,'Mês 1'!A50,Timesheet!$C$13:$C$11461,'Mês 1'!$C$40)</f>
        <v>0</v>
      </c>
      <c r="D50" s="6">
        <f>SUMIFS(Timesheet!$F$13:$F$11461,Timesheet!$A$13:$A$11461,'Mês 1'!A50,Timesheet!$C$13:$C$11461,'Mês 1'!$D$40)</f>
        <v>0</v>
      </c>
      <c r="E50" s="6">
        <f>SUMIFS(Timesheet!$F$13:$F$11461,Timesheet!$A$13:$A$11461,'Mês 1'!A50,Timesheet!$C$13:$C$11461,'Mês 1'!$E$40)</f>
        <v>0</v>
      </c>
      <c r="F50" s="6">
        <f>SUMIFS(Timesheet!$F$13:$F$11461,Timesheet!$A$13:$A$11461,'Mês 1'!A50,Timesheet!$C$13:$C$11461,'Mês 1'!$F$40)</f>
        <v>0</v>
      </c>
      <c r="G50" s="6">
        <f>SUMIFS(Timesheet!$F$13:$F$11461,Timesheet!$A$13:$A$11461,'Mês 1'!A50,Timesheet!$C$13:$C$11461,'Mês 1'!$G$40)</f>
        <v>0</v>
      </c>
      <c r="H50" s="6">
        <f>SUMIFS(Timesheet!$F$13:$F$11461,Timesheet!$A$13:$A$11461,'Mês 1'!A50,Timesheet!$C$13:$C$11461,'Mês 1'!$H$40)</f>
        <v>0</v>
      </c>
      <c r="I50" s="6">
        <f>SUMIFS(Timesheet!$F$13:$F$11461,Timesheet!$A$13:$A$11461,'Mês 1'!A50,Timesheet!$C$13:$C$11461,'Mês 1'!$I$40)</f>
        <v>0</v>
      </c>
      <c r="J50" s="6">
        <f>SUMIFS(Timesheet!$F$13:$F$11461,Timesheet!$A$13:$A$11461,'Mês 1'!A50,Timesheet!$C$13:$C$11461,'Mês 1'!$J$40)</f>
        <v>0</v>
      </c>
      <c r="K50" s="6">
        <f t="shared" si="4"/>
        <v>0</v>
      </c>
      <c r="L50" s="6">
        <f t="array" ref="L50">MIN(IF(Timesheet!$A$13:$A$11483='Mês 1'!A50,Timesheet!$D$13:$D$11483))</f>
        <v>0</v>
      </c>
      <c r="M50" s="6">
        <f t="array" ref="M50">MAX(IF(Timesheet!$A$13:$A$11483='Mês 1'!A50,Timesheet!$E$13:$E$11483))</f>
        <v>0</v>
      </c>
      <c r="O50" s="1">
        <v>45056</v>
      </c>
      <c r="P50" s="6">
        <f>SUMIFS(Timesheet!$F$13:$F$11461,Timesheet!$A$13:$A$11461,'Mês 1'!O50,Timesheet!$C$13:$C$11461,'Mês 1'!$P$40)</f>
        <v>0</v>
      </c>
      <c r="Q50" s="6">
        <f>SUMIFS(Timesheet!$F$13:$F$11461,Timesheet!$A$13:$A$11461,'Mês 1'!O50,Timesheet!$C$13:$C$11461,'Mês 1'!$Q$40)</f>
        <v>0</v>
      </c>
      <c r="R50" s="6">
        <f>SUMIFS(Timesheet!$F$13:$F$11461,Timesheet!$A$13:$A$11461,'Mês 1'!O50,Timesheet!$C$13:$C$11461,'Mês 1'!$R$40)</f>
        <v>0</v>
      </c>
      <c r="S50" s="6">
        <f>SUMIFS(Timesheet!$F$13:$F$11461,Timesheet!$A$13:$A$11461,'Mês 1'!O50,Timesheet!$C$13:$C$11461,'Mês 1'!$S$40)</f>
        <v>0</v>
      </c>
      <c r="T50" s="6">
        <f>SUMIFS(Timesheet!$F$13:$F$11461,Timesheet!$A$13:$A$11461,'Mês 1'!O50,Timesheet!$C$13:$C$11461,'Mês 1'!$T$40)</f>
        <v>0</v>
      </c>
      <c r="U50" s="6">
        <f>SUMIFS(Timesheet!$F$13:$F$11461,Timesheet!$A$13:$A$11461,'Mês 1'!O50,Timesheet!$C$13:$C$11461,'Mês 1'!$U$40)</f>
        <v>0</v>
      </c>
      <c r="V50" s="6">
        <f>SUMIFS(Timesheet!$F$13:$F$11461,Timesheet!$A$13:$A$11461,'Mês 1'!O50,Timesheet!$C$13:$C$11461,'Mês 1'!$V$40)</f>
        <v>0</v>
      </c>
      <c r="W50" s="6">
        <f>SUMIFS(Timesheet!$F$13:$F$11461,Timesheet!$A$13:$A$11461,'Mês 1'!O50,Timesheet!$C$13:$C$11461,'Mês 1'!$W$40)</f>
        <v>0</v>
      </c>
      <c r="X50" s="6">
        <f>SUMIFS(Timesheet!$F$13:$F$11461,Timesheet!$A$13:$A$11461,'Mês 1'!O50,Timesheet!$C$13:$C$11461,'Mês 1'!$X$40)</f>
        <v>0</v>
      </c>
      <c r="Y50" s="6">
        <f t="shared" si="5"/>
        <v>0</v>
      </c>
      <c r="Z50" s="6">
        <f t="array" ref="Z50">MIN(IF(Timesheet!$A$13:$A$11483='Mês 1'!O50,Timesheet!$D$13:$D$11483))</f>
        <v>0</v>
      </c>
      <c r="AA50" s="6">
        <f t="array" ref="AA50">MAX(IF(Timesheet!$A$13:$A$11483='Mês 1'!O50,Timesheet!$E$13:$E$11483))</f>
        <v>0</v>
      </c>
      <c r="AC50" s="1">
        <v>45117</v>
      </c>
      <c r="AD50" s="6">
        <f>SUMIFS(Timesheet!$F$13:$F$11461,Timesheet!$A$13:$A$11461,'Mês 1'!AC50,Timesheet!$C$13:$C$11461,'Mês 1'!$AD$40)</f>
        <v>0</v>
      </c>
      <c r="AE50" s="6">
        <f>SUMIFS(Timesheet!$F$13:$F$11461,Timesheet!$A$13:$A$11461,'Mês 1'!AC50,Timesheet!$C$13:$C$11461,'Mês 1'!$AE$40)</f>
        <v>0</v>
      </c>
      <c r="AF50" s="6">
        <f>SUMIFS(Timesheet!$F$13:$F$11461,Timesheet!$A$13:$A$11461,'Mês 1'!AC50,Timesheet!$C$13:$C$11461,'Mês 1'!$AF$40)</f>
        <v>0</v>
      </c>
      <c r="AG50" s="6">
        <f>SUMIFS(Timesheet!$F$13:$F$11461,Timesheet!$A$13:$A$11461,'Mês 1'!AC50,Timesheet!$C$13:$C$11461,'Mês 1'!$AG$40)</f>
        <v>0</v>
      </c>
      <c r="AH50" s="6">
        <f>SUMIFS(Timesheet!$F$13:$F$11461,Timesheet!$A$13:$A$11461,'Mês 1'!AC50,Timesheet!$C$13:$C$11461,'Mês 1'!$AH$40)</f>
        <v>0</v>
      </c>
      <c r="AI50" s="6">
        <f>SUMIFS(Timesheet!$F$13:$F$11461,Timesheet!$A$13:$A$11461,'Mês 1'!AC50,Timesheet!$C$13:$C$11461,'Mês 1'!$AI$40)</f>
        <v>0</v>
      </c>
      <c r="AJ50" s="6">
        <f>SUMIFS(Timesheet!$F$13:$F$11461,Timesheet!$A$13:$A$11461,'Mês 1'!AC50,Timesheet!$C$13:$C$11461,'Mês 1'!$AJ$40)</f>
        <v>0</v>
      </c>
      <c r="AK50" s="6">
        <f>SUMIFS(Timesheet!$F$13:$F$11461,Timesheet!$A$13:$A$11461,'Mês 1'!AC50,Timesheet!$C$13:$C$11461,'Mês 1'!$AK$40)</f>
        <v>0</v>
      </c>
      <c r="AL50" s="6">
        <f>SUMIFS(Timesheet!$F$13:$F$11461,Timesheet!$A$13:$A$11461,'Mês 1'!AC50,Timesheet!$C$13:$C$11461,'Mês 1'!$AL$40)</f>
        <v>0</v>
      </c>
      <c r="AM50" s="6">
        <f t="shared" si="6"/>
        <v>0</v>
      </c>
      <c r="AN50" s="6">
        <f t="array" ref="AN50">MIN(IF(Timesheet!$A$13:$A$11483='Mês 1'!AC50,Timesheet!$D$13:$D$11483))</f>
        <v>0</v>
      </c>
      <c r="AO50" s="6">
        <f t="array" ref="AO50">MAX(IF(Timesheet!$A$13:$A$11483='Mês 1'!AC50,Timesheet!$E$13:$E$11483))</f>
        <v>0</v>
      </c>
      <c r="AQ50" s="1">
        <v>45179</v>
      </c>
      <c r="AR50" s="6">
        <f>SUMIFS(Timesheet!$F$13:$F$11461,Timesheet!$A$13:$A$11461,'Mês 1'!AQ50,Timesheet!$C$13:$C$11461,'Mês 1'!$AR$40)</f>
        <v>0</v>
      </c>
      <c r="AS50" s="6">
        <f>SUMIFS(Timesheet!$F$13:$F$11461,Timesheet!$A$13:$A$11461,'Mês 1'!AQ50,Timesheet!$C$13:$C$11461,'Mês 1'!$AS$40)</f>
        <v>0</v>
      </c>
      <c r="AT50" s="6">
        <f>SUMIFS(Timesheet!$F$13:$F$11461,Timesheet!$A$13:$A$11461,'Mês 1'!AQ50,Timesheet!$C$13:$C$11461,'Mês 1'!$AT$40)</f>
        <v>0</v>
      </c>
      <c r="AU50" s="6">
        <f>SUMIFS(Timesheet!$F$13:$F$11461,Timesheet!$A$13:$A$11461,'Mês 1'!AQ50,Timesheet!$C$13:$C$11461,'Mês 1'!$AU$40)</f>
        <v>0</v>
      </c>
      <c r="AV50" s="6">
        <f>SUMIFS(Timesheet!$F$13:$F$11461,Timesheet!$A$13:$A$11461,'Mês 1'!AQ50,Timesheet!$C$13:$C$11461,'Mês 1'!$AV$40)</f>
        <v>0</v>
      </c>
      <c r="AW50" s="6">
        <f>SUMIFS(Timesheet!$F$13:$F$11461,Timesheet!$A$13:$A$11461,'Mês 1'!AQ50,Timesheet!$C$13:$C$11461,'Mês 1'!$AW$40)</f>
        <v>0</v>
      </c>
      <c r="AX50" s="6">
        <f>SUMIFS(Timesheet!$F$13:$F$11461,Timesheet!$A$13:$A$11461,'Mês 1'!AQ50,Timesheet!$C$13:$C$11461,'Mês 1'!$AX$40)</f>
        <v>0</v>
      </c>
      <c r="AY50" s="6">
        <f>SUMIFS(Timesheet!$F$13:$F$11461,Timesheet!$A$13:$A$11461,'Mês 1'!AQ50,Timesheet!$C$13:$C$11461,'Mês 1'!$AY$40)</f>
        <v>0</v>
      </c>
      <c r="AZ50" s="6">
        <f>SUMIFS(Timesheet!$F$13:$F$11461,Timesheet!$A$13:$A$11461,'Mês 1'!AQ50,Timesheet!$C$13:$C$11461,'Mês 1'!$AZ$40)</f>
        <v>0</v>
      </c>
      <c r="BA50" s="6">
        <f t="shared" si="7"/>
        <v>0</v>
      </c>
      <c r="BB50" s="6">
        <f t="array" ref="BB50">MIN(IF(Timesheet!$A$13:$A$11483='Mês 1'!AQ50,Timesheet!$D$13:$D$11483))</f>
        <v>0</v>
      </c>
      <c r="BC50" s="6">
        <f t="array" ref="BC50">MAX(IF(Timesheet!$A$13:$A$11483='Mês 1'!AQ50,Timesheet!$E$13:$E$11483))</f>
        <v>0</v>
      </c>
      <c r="BE50" s="1">
        <v>45240</v>
      </c>
      <c r="BF50" s="6">
        <f>SUMIFS(Timesheet!$F$13:$F$11461,Timesheet!$A$13:$A$11461,'Mês 1'!BE50,Timesheet!$C$13:$C$11461,'Mês 1'!$BF$40)</f>
        <v>0</v>
      </c>
      <c r="BG50" s="6">
        <f>SUMIFS(Timesheet!$F$13:$F$11461,Timesheet!$A$13:$A$11461,'Mês 1'!BE50,Timesheet!$C$13:$C$11461,'Mês 1'!$BG$40)</f>
        <v>0</v>
      </c>
      <c r="BH50" s="6">
        <f>SUMIFS(Timesheet!$F$13:$F$11461,Timesheet!$A$13:$A$11461,'Mês 1'!BE50,Timesheet!$C$13:$C$11461,'Mês 1'!$BH$40)</f>
        <v>0</v>
      </c>
      <c r="BI50" s="6">
        <f>SUMIFS(Timesheet!$F$13:$F$11461,Timesheet!$A$13:$A$11461,'Mês 1'!BE50,Timesheet!$C$13:$C$11461,'Mês 1'!$BI$40)</f>
        <v>0</v>
      </c>
      <c r="BJ50" s="6">
        <f>SUMIFS(Timesheet!$F$13:$F$11461,Timesheet!$A$13:$A$11461,'Mês 1'!BE50,Timesheet!$C$13:$C$11461,'Mês 1'!$BJ$40)</f>
        <v>0</v>
      </c>
      <c r="BK50" s="6">
        <f>SUMIFS(Timesheet!$F$13:$F$11461,Timesheet!$A$13:$A$11461,'Mês 1'!BE50,Timesheet!$C$13:$C$11461,'Mês 1'!$BK$40)</f>
        <v>0</v>
      </c>
      <c r="BL50" s="6">
        <f>SUMIFS(Timesheet!$F$13:$F$11461,Timesheet!$A$13:$A$11461,'Mês 1'!BE50,Timesheet!$C$13:$C$11461,'Mês 1'!$BL$40)</f>
        <v>0</v>
      </c>
      <c r="BM50" s="6">
        <f>SUMIFS(Timesheet!$F$13:$F$11461,Timesheet!$A$13:$A$11461,'Mês 1'!BE50,Timesheet!$C$13:$C$11461,'Mês 1'!$BM$40)</f>
        <v>0</v>
      </c>
      <c r="BN50" s="6">
        <f>SUMIFS(Timesheet!$F$13:$F$11461,Timesheet!$A$13:$A$11461,'Mês 1'!BE50,Timesheet!$C$13:$C$11461,'Mês 1'!$BN$40)</f>
        <v>0</v>
      </c>
      <c r="BO50" s="6">
        <f t="shared" si="8"/>
        <v>0</v>
      </c>
      <c r="BP50" s="6">
        <f t="array" ref="BP50">MIN(IF(Timesheet!$A$13:$A$11483='Mês 1'!BE50,Timesheet!$D$13:$D$11483))</f>
        <v>0</v>
      </c>
      <c r="BQ50" s="6">
        <f t="array" ref="BQ50">MAX(IF(Timesheet!$A$13:$A$11483='Mês 1'!BE50,Timesheet!$E$13:$E$11483))</f>
        <v>0</v>
      </c>
    </row>
    <row r="51" spans="1:69" x14ac:dyDescent="0.25">
      <c r="A51" s="1">
        <v>44996</v>
      </c>
      <c r="B51" s="6">
        <f>SUMIFS(Timesheet!$F$13:$F$11461,Timesheet!$A$13:$A$11461,'Mês 1'!A51,Timesheet!$C$13:$C$11461,'Mês 1'!$B$40)</f>
        <v>0</v>
      </c>
      <c r="C51" s="6">
        <f>SUMIFS(Timesheet!$F$13:$F$11461,Timesheet!$A$13:$A$11461,'Mês 1'!A51,Timesheet!$C$13:$C$11461,'Mês 1'!$C$40)</f>
        <v>0</v>
      </c>
      <c r="D51" s="6">
        <f>SUMIFS(Timesheet!$F$13:$F$11461,Timesheet!$A$13:$A$11461,'Mês 1'!A51,Timesheet!$C$13:$C$11461,'Mês 1'!$D$40)</f>
        <v>0</v>
      </c>
      <c r="E51" s="6">
        <f>SUMIFS(Timesheet!$F$13:$F$11461,Timesheet!$A$13:$A$11461,'Mês 1'!A51,Timesheet!$C$13:$C$11461,'Mês 1'!$E$40)</f>
        <v>0</v>
      </c>
      <c r="F51" s="6">
        <f>SUMIFS(Timesheet!$F$13:$F$11461,Timesheet!$A$13:$A$11461,'Mês 1'!A51,Timesheet!$C$13:$C$11461,'Mês 1'!$F$40)</f>
        <v>0</v>
      </c>
      <c r="G51" s="6">
        <f>SUMIFS(Timesheet!$F$13:$F$11461,Timesheet!$A$13:$A$11461,'Mês 1'!A51,Timesheet!$C$13:$C$11461,'Mês 1'!$G$40)</f>
        <v>0</v>
      </c>
      <c r="H51" s="6">
        <f>SUMIFS(Timesheet!$F$13:$F$11461,Timesheet!$A$13:$A$11461,'Mês 1'!A51,Timesheet!$C$13:$C$11461,'Mês 1'!$H$40)</f>
        <v>0</v>
      </c>
      <c r="I51" s="6">
        <f>SUMIFS(Timesheet!$F$13:$F$11461,Timesheet!$A$13:$A$11461,'Mês 1'!A51,Timesheet!$C$13:$C$11461,'Mês 1'!$I$40)</f>
        <v>0</v>
      </c>
      <c r="J51" s="6">
        <f>SUMIFS(Timesheet!$F$13:$F$11461,Timesheet!$A$13:$A$11461,'Mês 1'!A51,Timesheet!$C$13:$C$11461,'Mês 1'!$J$40)</f>
        <v>0</v>
      </c>
      <c r="K51" s="6">
        <f t="shared" si="4"/>
        <v>0</v>
      </c>
      <c r="L51" s="6">
        <f t="array" ref="L51">MIN(IF(Timesheet!$A$13:$A$11483='Mês 1'!A51,Timesheet!$D$13:$D$11483))</f>
        <v>0</v>
      </c>
      <c r="M51" s="6">
        <f t="array" ref="M51">MAX(IF(Timesheet!$A$13:$A$11483='Mês 1'!A51,Timesheet!$E$13:$E$11483))</f>
        <v>0</v>
      </c>
      <c r="O51" s="1">
        <v>45057</v>
      </c>
      <c r="P51" s="6">
        <f>SUMIFS(Timesheet!$F$13:$F$11461,Timesheet!$A$13:$A$11461,'Mês 1'!O51,Timesheet!$C$13:$C$11461,'Mês 1'!$P$40)</f>
        <v>0</v>
      </c>
      <c r="Q51" s="6">
        <f>SUMIFS(Timesheet!$F$13:$F$11461,Timesheet!$A$13:$A$11461,'Mês 1'!O51,Timesheet!$C$13:$C$11461,'Mês 1'!$Q$40)</f>
        <v>0</v>
      </c>
      <c r="R51" s="6">
        <f>SUMIFS(Timesheet!$F$13:$F$11461,Timesheet!$A$13:$A$11461,'Mês 1'!O51,Timesheet!$C$13:$C$11461,'Mês 1'!$R$40)</f>
        <v>0</v>
      </c>
      <c r="S51" s="6">
        <f>SUMIFS(Timesheet!$F$13:$F$11461,Timesheet!$A$13:$A$11461,'Mês 1'!O51,Timesheet!$C$13:$C$11461,'Mês 1'!$S$40)</f>
        <v>0</v>
      </c>
      <c r="T51" s="6">
        <f>SUMIFS(Timesheet!$F$13:$F$11461,Timesheet!$A$13:$A$11461,'Mês 1'!O51,Timesheet!$C$13:$C$11461,'Mês 1'!$T$40)</f>
        <v>0</v>
      </c>
      <c r="U51" s="6">
        <f>SUMIFS(Timesheet!$F$13:$F$11461,Timesheet!$A$13:$A$11461,'Mês 1'!O51,Timesheet!$C$13:$C$11461,'Mês 1'!$U$40)</f>
        <v>0</v>
      </c>
      <c r="V51" s="6">
        <f>SUMIFS(Timesheet!$F$13:$F$11461,Timesheet!$A$13:$A$11461,'Mês 1'!O51,Timesheet!$C$13:$C$11461,'Mês 1'!$V$40)</f>
        <v>0</v>
      </c>
      <c r="W51" s="6">
        <f>SUMIFS(Timesheet!$F$13:$F$11461,Timesheet!$A$13:$A$11461,'Mês 1'!O51,Timesheet!$C$13:$C$11461,'Mês 1'!$W$40)</f>
        <v>0</v>
      </c>
      <c r="X51" s="6">
        <f>SUMIFS(Timesheet!$F$13:$F$11461,Timesheet!$A$13:$A$11461,'Mês 1'!O51,Timesheet!$C$13:$C$11461,'Mês 1'!$X$40)</f>
        <v>0</v>
      </c>
      <c r="Y51" s="6">
        <f t="shared" si="5"/>
        <v>0</v>
      </c>
      <c r="Z51" s="6">
        <f t="array" ref="Z51">MIN(IF(Timesheet!$A$13:$A$11483='Mês 1'!O51,Timesheet!$D$13:$D$11483))</f>
        <v>0</v>
      </c>
      <c r="AA51" s="6">
        <f t="array" ref="AA51">MAX(IF(Timesheet!$A$13:$A$11483='Mês 1'!O51,Timesheet!$E$13:$E$11483))</f>
        <v>0</v>
      </c>
      <c r="AC51" s="1">
        <v>45118</v>
      </c>
      <c r="AD51" s="6">
        <f>SUMIFS(Timesheet!$F$13:$F$11461,Timesheet!$A$13:$A$11461,'Mês 1'!AC51,Timesheet!$C$13:$C$11461,'Mês 1'!$AD$40)</f>
        <v>0</v>
      </c>
      <c r="AE51" s="6">
        <f>SUMIFS(Timesheet!$F$13:$F$11461,Timesheet!$A$13:$A$11461,'Mês 1'!AC51,Timesheet!$C$13:$C$11461,'Mês 1'!$AE$40)</f>
        <v>0</v>
      </c>
      <c r="AF51" s="6">
        <f>SUMIFS(Timesheet!$F$13:$F$11461,Timesheet!$A$13:$A$11461,'Mês 1'!AC51,Timesheet!$C$13:$C$11461,'Mês 1'!$AF$40)</f>
        <v>0</v>
      </c>
      <c r="AG51" s="6">
        <f>SUMIFS(Timesheet!$F$13:$F$11461,Timesheet!$A$13:$A$11461,'Mês 1'!AC51,Timesheet!$C$13:$C$11461,'Mês 1'!$AG$40)</f>
        <v>0</v>
      </c>
      <c r="AH51" s="6">
        <f>SUMIFS(Timesheet!$F$13:$F$11461,Timesheet!$A$13:$A$11461,'Mês 1'!AC51,Timesheet!$C$13:$C$11461,'Mês 1'!$AH$40)</f>
        <v>0</v>
      </c>
      <c r="AI51" s="6">
        <f>SUMIFS(Timesheet!$F$13:$F$11461,Timesheet!$A$13:$A$11461,'Mês 1'!AC51,Timesheet!$C$13:$C$11461,'Mês 1'!$AI$40)</f>
        <v>0</v>
      </c>
      <c r="AJ51" s="6">
        <f>SUMIFS(Timesheet!$F$13:$F$11461,Timesheet!$A$13:$A$11461,'Mês 1'!AC51,Timesheet!$C$13:$C$11461,'Mês 1'!$AJ$40)</f>
        <v>0</v>
      </c>
      <c r="AK51" s="6">
        <f>SUMIFS(Timesheet!$F$13:$F$11461,Timesheet!$A$13:$A$11461,'Mês 1'!AC51,Timesheet!$C$13:$C$11461,'Mês 1'!$AK$40)</f>
        <v>0</v>
      </c>
      <c r="AL51" s="6">
        <f>SUMIFS(Timesheet!$F$13:$F$11461,Timesheet!$A$13:$A$11461,'Mês 1'!AC51,Timesheet!$C$13:$C$11461,'Mês 1'!$AL$40)</f>
        <v>0</v>
      </c>
      <c r="AM51" s="6">
        <f t="shared" si="6"/>
        <v>0</v>
      </c>
      <c r="AN51" s="6">
        <f t="array" ref="AN51">MIN(IF(Timesheet!$A$13:$A$11483='Mês 1'!AC51,Timesheet!$D$13:$D$11483))</f>
        <v>0</v>
      </c>
      <c r="AO51" s="6">
        <f t="array" ref="AO51">MAX(IF(Timesheet!$A$13:$A$11483='Mês 1'!AC51,Timesheet!$E$13:$E$11483))</f>
        <v>0</v>
      </c>
      <c r="AQ51" s="1">
        <v>45180</v>
      </c>
      <c r="AR51" s="6">
        <f>SUMIFS(Timesheet!$F$13:$F$11461,Timesheet!$A$13:$A$11461,'Mês 1'!AQ51,Timesheet!$C$13:$C$11461,'Mês 1'!$AR$40)</f>
        <v>0</v>
      </c>
      <c r="AS51" s="6">
        <f>SUMIFS(Timesheet!$F$13:$F$11461,Timesheet!$A$13:$A$11461,'Mês 1'!AQ51,Timesheet!$C$13:$C$11461,'Mês 1'!$AS$40)</f>
        <v>0</v>
      </c>
      <c r="AT51" s="6">
        <f>SUMIFS(Timesheet!$F$13:$F$11461,Timesheet!$A$13:$A$11461,'Mês 1'!AQ51,Timesheet!$C$13:$C$11461,'Mês 1'!$AT$40)</f>
        <v>0</v>
      </c>
      <c r="AU51" s="6">
        <f>SUMIFS(Timesheet!$F$13:$F$11461,Timesheet!$A$13:$A$11461,'Mês 1'!AQ51,Timesheet!$C$13:$C$11461,'Mês 1'!$AU$40)</f>
        <v>0</v>
      </c>
      <c r="AV51" s="6">
        <f>SUMIFS(Timesheet!$F$13:$F$11461,Timesheet!$A$13:$A$11461,'Mês 1'!AQ51,Timesheet!$C$13:$C$11461,'Mês 1'!$AV$40)</f>
        <v>0</v>
      </c>
      <c r="AW51" s="6">
        <f>SUMIFS(Timesheet!$F$13:$F$11461,Timesheet!$A$13:$A$11461,'Mês 1'!AQ51,Timesheet!$C$13:$C$11461,'Mês 1'!$AW$40)</f>
        <v>0</v>
      </c>
      <c r="AX51" s="6">
        <f>SUMIFS(Timesheet!$F$13:$F$11461,Timesheet!$A$13:$A$11461,'Mês 1'!AQ51,Timesheet!$C$13:$C$11461,'Mês 1'!$AX$40)</f>
        <v>0</v>
      </c>
      <c r="AY51" s="6">
        <f>SUMIFS(Timesheet!$F$13:$F$11461,Timesheet!$A$13:$A$11461,'Mês 1'!AQ51,Timesheet!$C$13:$C$11461,'Mês 1'!$AY$40)</f>
        <v>0</v>
      </c>
      <c r="AZ51" s="6">
        <f>SUMIFS(Timesheet!$F$13:$F$11461,Timesheet!$A$13:$A$11461,'Mês 1'!AQ51,Timesheet!$C$13:$C$11461,'Mês 1'!$AZ$40)</f>
        <v>0</v>
      </c>
      <c r="BA51" s="6">
        <f t="shared" si="7"/>
        <v>0</v>
      </c>
      <c r="BB51" s="6">
        <f t="array" ref="BB51">MIN(IF(Timesheet!$A$13:$A$11483='Mês 1'!AQ51,Timesheet!$D$13:$D$11483))</f>
        <v>0</v>
      </c>
      <c r="BC51" s="6">
        <f t="array" ref="BC51">MAX(IF(Timesheet!$A$13:$A$11483='Mês 1'!AQ51,Timesheet!$E$13:$E$11483))</f>
        <v>0</v>
      </c>
      <c r="BE51" s="1">
        <v>45241</v>
      </c>
      <c r="BF51" s="6">
        <f>SUMIFS(Timesheet!$F$13:$F$11461,Timesheet!$A$13:$A$11461,'Mês 1'!BE51,Timesheet!$C$13:$C$11461,'Mês 1'!$BF$40)</f>
        <v>0</v>
      </c>
      <c r="BG51" s="6">
        <f>SUMIFS(Timesheet!$F$13:$F$11461,Timesheet!$A$13:$A$11461,'Mês 1'!BE51,Timesheet!$C$13:$C$11461,'Mês 1'!$BG$40)</f>
        <v>0</v>
      </c>
      <c r="BH51" s="6">
        <f>SUMIFS(Timesheet!$F$13:$F$11461,Timesheet!$A$13:$A$11461,'Mês 1'!BE51,Timesheet!$C$13:$C$11461,'Mês 1'!$BH$40)</f>
        <v>0</v>
      </c>
      <c r="BI51" s="6">
        <f>SUMIFS(Timesheet!$F$13:$F$11461,Timesheet!$A$13:$A$11461,'Mês 1'!BE51,Timesheet!$C$13:$C$11461,'Mês 1'!$BI$40)</f>
        <v>0</v>
      </c>
      <c r="BJ51" s="6">
        <f>SUMIFS(Timesheet!$F$13:$F$11461,Timesheet!$A$13:$A$11461,'Mês 1'!BE51,Timesheet!$C$13:$C$11461,'Mês 1'!$BJ$40)</f>
        <v>0</v>
      </c>
      <c r="BK51" s="6">
        <f>SUMIFS(Timesheet!$F$13:$F$11461,Timesheet!$A$13:$A$11461,'Mês 1'!BE51,Timesheet!$C$13:$C$11461,'Mês 1'!$BK$40)</f>
        <v>0</v>
      </c>
      <c r="BL51" s="6">
        <f>SUMIFS(Timesheet!$F$13:$F$11461,Timesheet!$A$13:$A$11461,'Mês 1'!BE51,Timesheet!$C$13:$C$11461,'Mês 1'!$BL$40)</f>
        <v>0</v>
      </c>
      <c r="BM51" s="6">
        <f>SUMIFS(Timesheet!$F$13:$F$11461,Timesheet!$A$13:$A$11461,'Mês 1'!BE51,Timesheet!$C$13:$C$11461,'Mês 1'!$BM$40)</f>
        <v>0</v>
      </c>
      <c r="BN51" s="6">
        <f>SUMIFS(Timesheet!$F$13:$F$11461,Timesheet!$A$13:$A$11461,'Mês 1'!BE51,Timesheet!$C$13:$C$11461,'Mês 1'!$BN$40)</f>
        <v>0</v>
      </c>
      <c r="BO51" s="6">
        <f t="shared" si="8"/>
        <v>0</v>
      </c>
      <c r="BP51" s="6">
        <f t="array" ref="BP51">MIN(IF(Timesheet!$A$13:$A$11483='Mês 1'!BE51,Timesheet!$D$13:$D$11483))</f>
        <v>0</v>
      </c>
      <c r="BQ51" s="6">
        <f t="array" ref="BQ51">MAX(IF(Timesheet!$A$13:$A$11483='Mês 1'!BE51,Timesheet!$E$13:$E$11483))</f>
        <v>0</v>
      </c>
    </row>
    <row r="52" spans="1:69" x14ac:dyDescent="0.25">
      <c r="A52" s="1">
        <v>44997</v>
      </c>
      <c r="B52" s="6">
        <f>SUMIFS(Timesheet!$F$13:$F$11461,Timesheet!$A$13:$A$11461,'Mês 1'!A52,Timesheet!$C$13:$C$11461,'Mês 1'!$B$40)</f>
        <v>0</v>
      </c>
      <c r="C52" s="6">
        <f>SUMIFS(Timesheet!$F$13:$F$11461,Timesheet!$A$13:$A$11461,'Mês 1'!A52,Timesheet!$C$13:$C$11461,'Mês 1'!$C$40)</f>
        <v>0</v>
      </c>
      <c r="D52" s="6">
        <f>SUMIFS(Timesheet!$F$13:$F$11461,Timesheet!$A$13:$A$11461,'Mês 1'!A52,Timesheet!$C$13:$C$11461,'Mês 1'!$D$40)</f>
        <v>0</v>
      </c>
      <c r="E52" s="6">
        <f>SUMIFS(Timesheet!$F$13:$F$11461,Timesheet!$A$13:$A$11461,'Mês 1'!A52,Timesheet!$C$13:$C$11461,'Mês 1'!$E$40)</f>
        <v>0</v>
      </c>
      <c r="F52" s="6">
        <f>SUMIFS(Timesheet!$F$13:$F$11461,Timesheet!$A$13:$A$11461,'Mês 1'!A52,Timesheet!$C$13:$C$11461,'Mês 1'!$F$40)</f>
        <v>0</v>
      </c>
      <c r="G52" s="6">
        <f>SUMIFS(Timesheet!$F$13:$F$11461,Timesheet!$A$13:$A$11461,'Mês 1'!A52,Timesheet!$C$13:$C$11461,'Mês 1'!$G$40)</f>
        <v>0</v>
      </c>
      <c r="H52" s="6">
        <f>SUMIFS(Timesheet!$F$13:$F$11461,Timesheet!$A$13:$A$11461,'Mês 1'!A52,Timesheet!$C$13:$C$11461,'Mês 1'!$H$40)</f>
        <v>0</v>
      </c>
      <c r="I52" s="6">
        <f>SUMIFS(Timesheet!$F$13:$F$11461,Timesheet!$A$13:$A$11461,'Mês 1'!A52,Timesheet!$C$13:$C$11461,'Mês 1'!$I$40)</f>
        <v>0</v>
      </c>
      <c r="J52" s="6">
        <f>SUMIFS(Timesheet!$F$13:$F$11461,Timesheet!$A$13:$A$11461,'Mês 1'!A52,Timesheet!$C$13:$C$11461,'Mês 1'!$J$40)</f>
        <v>0</v>
      </c>
      <c r="K52" s="6">
        <f t="shared" si="4"/>
        <v>0</v>
      </c>
      <c r="L52" s="6">
        <f t="array" ref="L52">MIN(IF(Timesheet!$A$13:$A$11483='Mês 1'!A52,Timesheet!$D$13:$D$11483))</f>
        <v>0</v>
      </c>
      <c r="M52" s="6">
        <f t="array" ref="M52">MAX(IF(Timesheet!$A$13:$A$11483='Mês 1'!A52,Timesheet!$E$13:$E$11483))</f>
        <v>0</v>
      </c>
      <c r="O52" s="1">
        <v>45058</v>
      </c>
      <c r="P52" s="6">
        <f>SUMIFS(Timesheet!$F$13:$F$11461,Timesheet!$A$13:$A$11461,'Mês 1'!O52,Timesheet!$C$13:$C$11461,'Mês 1'!$P$40)</f>
        <v>0</v>
      </c>
      <c r="Q52" s="6">
        <f>SUMIFS(Timesheet!$F$13:$F$11461,Timesheet!$A$13:$A$11461,'Mês 1'!O52,Timesheet!$C$13:$C$11461,'Mês 1'!$Q$40)</f>
        <v>0</v>
      </c>
      <c r="R52" s="6">
        <f>SUMIFS(Timesheet!$F$13:$F$11461,Timesheet!$A$13:$A$11461,'Mês 1'!O52,Timesheet!$C$13:$C$11461,'Mês 1'!$R$40)</f>
        <v>0</v>
      </c>
      <c r="S52" s="6">
        <f>SUMIFS(Timesheet!$F$13:$F$11461,Timesheet!$A$13:$A$11461,'Mês 1'!O52,Timesheet!$C$13:$C$11461,'Mês 1'!$S$40)</f>
        <v>0</v>
      </c>
      <c r="T52" s="6">
        <f>SUMIFS(Timesheet!$F$13:$F$11461,Timesheet!$A$13:$A$11461,'Mês 1'!O52,Timesheet!$C$13:$C$11461,'Mês 1'!$T$40)</f>
        <v>0</v>
      </c>
      <c r="U52" s="6">
        <f>SUMIFS(Timesheet!$F$13:$F$11461,Timesheet!$A$13:$A$11461,'Mês 1'!O52,Timesheet!$C$13:$C$11461,'Mês 1'!$U$40)</f>
        <v>0</v>
      </c>
      <c r="V52" s="6">
        <f>SUMIFS(Timesheet!$F$13:$F$11461,Timesheet!$A$13:$A$11461,'Mês 1'!O52,Timesheet!$C$13:$C$11461,'Mês 1'!$V$40)</f>
        <v>0</v>
      </c>
      <c r="W52" s="6">
        <f>SUMIFS(Timesheet!$F$13:$F$11461,Timesheet!$A$13:$A$11461,'Mês 1'!O52,Timesheet!$C$13:$C$11461,'Mês 1'!$W$40)</f>
        <v>0</v>
      </c>
      <c r="X52" s="6">
        <f>SUMIFS(Timesheet!$F$13:$F$11461,Timesheet!$A$13:$A$11461,'Mês 1'!O52,Timesheet!$C$13:$C$11461,'Mês 1'!$X$40)</f>
        <v>0</v>
      </c>
      <c r="Y52" s="6">
        <f t="shared" si="5"/>
        <v>0</v>
      </c>
      <c r="Z52" s="6">
        <f t="array" ref="Z52">MIN(IF(Timesheet!$A$13:$A$11483='Mês 1'!O52,Timesheet!$D$13:$D$11483))</f>
        <v>0</v>
      </c>
      <c r="AA52" s="6">
        <f t="array" ref="AA52">MAX(IF(Timesheet!$A$13:$A$11483='Mês 1'!O52,Timesheet!$E$13:$E$11483))</f>
        <v>0</v>
      </c>
      <c r="AC52" s="1">
        <v>45119</v>
      </c>
      <c r="AD52" s="6">
        <f>SUMIFS(Timesheet!$F$13:$F$11461,Timesheet!$A$13:$A$11461,'Mês 1'!AC52,Timesheet!$C$13:$C$11461,'Mês 1'!$AD$40)</f>
        <v>0</v>
      </c>
      <c r="AE52" s="6">
        <f>SUMIFS(Timesheet!$F$13:$F$11461,Timesheet!$A$13:$A$11461,'Mês 1'!AC52,Timesheet!$C$13:$C$11461,'Mês 1'!$AE$40)</f>
        <v>0</v>
      </c>
      <c r="AF52" s="6">
        <f>SUMIFS(Timesheet!$F$13:$F$11461,Timesheet!$A$13:$A$11461,'Mês 1'!AC52,Timesheet!$C$13:$C$11461,'Mês 1'!$AF$40)</f>
        <v>0</v>
      </c>
      <c r="AG52" s="6">
        <f>SUMIFS(Timesheet!$F$13:$F$11461,Timesheet!$A$13:$A$11461,'Mês 1'!AC52,Timesheet!$C$13:$C$11461,'Mês 1'!$AG$40)</f>
        <v>0</v>
      </c>
      <c r="AH52" s="6">
        <f>SUMIFS(Timesheet!$F$13:$F$11461,Timesheet!$A$13:$A$11461,'Mês 1'!AC52,Timesheet!$C$13:$C$11461,'Mês 1'!$AH$40)</f>
        <v>0</v>
      </c>
      <c r="AI52" s="6">
        <f>SUMIFS(Timesheet!$F$13:$F$11461,Timesheet!$A$13:$A$11461,'Mês 1'!AC52,Timesheet!$C$13:$C$11461,'Mês 1'!$AI$40)</f>
        <v>0</v>
      </c>
      <c r="AJ52" s="6">
        <f>SUMIFS(Timesheet!$F$13:$F$11461,Timesheet!$A$13:$A$11461,'Mês 1'!AC52,Timesheet!$C$13:$C$11461,'Mês 1'!$AJ$40)</f>
        <v>0</v>
      </c>
      <c r="AK52" s="6">
        <f>SUMIFS(Timesheet!$F$13:$F$11461,Timesheet!$A$13:$A$11461,'Mês 1'!AC52,Timesheet!$C$13:$C$11461,'Mês 1'!$AK$40)</f>
        <v>0</v>
      </c>
      <c r="AL52" s="6">
        <f>SUMIFS(Timesheet!$F$13:$F$11461,Timesheet!$A$13:$A$11461,'Mês 1'!AC52,Timesheet!$C$13:$C$11461,'Mês 1'!$AL$40)</f>
        <v>0</v>
      </c>
      <c r="AM52" s="6">
        <f t="shared" si="6"/>
        <v>0</v>
      </c>
      <c r="AN52" s="6">
        <f t="array" ref="AN52">MIN(IF(Timesheet!$A$13:$A$11483='Mês 1'!AC52,Timesheet!$D$13:$D$11483))</f>
        <v>0</v>
      </c>
      <c r="AO52" s="6">
        <f t="array" ref="AO52">MAX(IF(Timesheet!$A$13:$A$11483='Mês 1'!AC52,Timesheet!$E$13:$E$11483))</f>
        <v>0</v>
      </c>
      <c r="AQ52" s="1">
        <v>45181</v>
      </c>
      <c r="AR52" s="6">
        <f>SUMIFS(Timesheet!$F$13:$F$11461,Timesheet!$A$13:$A$11461,'Mês 1'!AQ52,Timesheet!$C$13:$C$11461,'Mês 1'!$AR$40)</f>
        <v>0</v>
      </c>
      <c r="AS52" s="6">
        <f>SUMIFS(Timesheet!$F$13:$F$11461,Timesheet!$A$13:$A$11461,'Mês 1'!AQ52,Timesheet!$C$13:$C$11461,'Mês 1'!$AS$40)</f>
        <v>0</v>
      </c>
      <c r="AT52" s="6">
        <f>SUMIFS(Timesheet!$F$13:$F$11461,Timesheet!$A$13:$A$11461,'Mês 1'!AQ52,Timesheet!$C$13:$C$11461,'Mês 1'!$AT$40)</f>
        <v>0</v>
      </c>
      <c r="AU52" s="6">
        <f>SUMIFS(Timesheet!$F$13:$F$11461,Timesheet!$A$13:$A$11461,'Mês 1'!AQ52,Timesheet!$C$13:$C$11461,'Mês 1'!$AU$40)</f>
        <v>0</v>
      </c>
      <c r="AV52" s="6">
        <f>SUMIFS(Timesheet!$F$13:$F$11461,Timesheet!$A$13:$A$11461,'Mês 1'!AQ52,Timesheet!$C$13:$C$11461,'Mês 1'!$AV$40)</f>
        <v>0</v>
      </c>
      <c r="AW52" s="6">
        <f>SUMIFS(Timesheet!$F$13:$F$11461,Timesheet!$A$13:$A$11461,'Mês 1'!AQ52,Timesheet!$C$13:$C$11461,'Mês 1'!$AW$40)</f>
        <v>0</v>
      </c>
      <c r="AX52" s="6">
        <f>SUMIFS(Timesheet!$F$13:$F$11461,Timesheet!$A$13:$A$11461,'Mês 1'!AQ52,Timesheet!$C$13:$C$11461,'Mês 1'!$AX$40)</f>
        <v>0</v>
      </c>
      <c r="AY52" s="6">
        <f>SUMIFS(Timesheet!$F$13:$F$11461,Timesheet!$A$13:$A$11461,'Mês 1'!AQ52,Timesheet!$C$13:$C$11461,'Mês 1'!$AY$40)</f>
        <v>0</v>
      </c>
      <c r="AZ52" s="6">
        <f>SUMIFS(Timesheet!$F$13:$F$11461,Timesheet!$A$13:$A$11461,'Mês 1'!AQ52,Timesheet!$C$13:$C$11461,'Mês 1'!$AZ$40)</f>
        <v>0</v>
      </c>
      <c r="BA52" s="6">
        <f t="shared" si="7"/>
        <v>0</v>
      </c>
      <c r="BB52" s="6">
        <f t="array" ref="BB52">MIN(IF(Timesheet!$A$13:$A$11483='Mês 1'!AQ52,Timesheet!$D$13:$D$11483))</f>
        <v>0</v>
      </c>
      <c r="BC52" s="6">
        <f t="array" ref="BC52">MAX(IF(Timesheet!$A$13:$A$11483='Mês 1'!AQ52,Timesheet!$E$13:$E$11483))</f>
        <v>0</v>
      </c>
      <c r="BE52" s="1">
        <v>45242</v>
      </c>
      <c r="BF52" s="6">
        <f>SUMIFS(Timesheet!$F$13:$F$11461,Timesheet!$A$13:$A$11461,'Mês 1'!BE52,Timesheet!$C$13:$C$11461,'Mês 1'!$BF$40)</f>
        <v>0</v>
      </c>
      <c r="BG52" s="6">
        <f>SUMIFS(Timesheet!$F$13:$F$11461,Timesheet!$A$13:$A$11461,'Mês 1'!BE52,Timesheet!$C$13:$C$11461,'Mês 1'!$BG$40)</f>
        <v>0</v>
      </c>
      <c r="BH52" s="6">
        <f>SUMIFS(Timesheet!$F$13:$F$11461,Timesheet!$A$13:$A$11461,'Mês 1'!BE52,Timesheet!$C$13:$C$11461,'Mês 1'!$BH$40)</f>
        <v>0</v>
      </c>
      <c r="BI52" s="6">
        <f>SUMIFS(Timesheet!$F$13:$F$11461,Timesheet!$A$13:$A$11461,'Mês 1'!BE52,Timesheet!$C$13:$C$11461,'Mês 1'!$BI$40)</f>
        <v>0</v>
      </c>
      <c r="BJ52" s="6">
        <f>SUMIFS(Timesheet!$F$13:$F$11461,Timesheet!$A$13:$A$11461,'Mês 1'!BE52,Timesheet!$C$13:$C$11461,'Mês 1'!$BJ$40)</f>
        <v>0</v>
      </c>
      <c r="BK52" s="6">
        <f>SUMIFS(Timesheet!$F$13:$F$11461,Timesheet!$A$13:$A$11461,'Mês 1'!BE52,Timesheet!$C$13:$C$11461,'Mês 1'!$BK$40)</f>
        <v>0</v>
      </c>
      <c r="BL52" s="6">
        <f>SUMIFS(Timesheet!$F$13:$F$11461,Timesheet!$A$13:$A$11461,'Mês 1'!BE52,Timesheet!$C$13:$C$11461,'Mês 1'!$BL$40)</f>
        <v>0</v>
      </c>
      <c r="BM52" s="6">
        <f>SUMIFS(Timesheet!$F$13:$F$11461,Timesheet!$A$13:$A$11461,'Mês 1'!BE52,Timesheet!$C$13:$C$11461,'Mês 1'!$BM$40)</f>
        <v>0</v>
      </c>
      <c r="BN52" s="6">
        <f>SUMIFS(Timesheet!$F$13:$F$11461,Timesheet!$A$13:$A$11461,'Mês 1'!BE52,Timesheet!$C$13:$C$11461,'Mês 1'!$BN$40)</f>
        <v>0</v>
      </c>
      <c r="BO52" s="6">
        <f t="shared" si="8"/>
        <v>0</v>
      </c>
      <c r="BP52" s="6">
        <f t="array" ref="BP52">MIN(IF(Timesheet!$A$13:$A$11483='Mês 1'!BE52,Timesheet!$D$13:$D$11483))</f>
        <v>0</v>
      </c>
      <c r="BQ52" s="6">
        <f t="array" ref="BQ52">MAX(IF(Timesheet!$A$13:$A$11483='Mês 1'!BE52,Timesheet!$E$13:$E$11483))</f>
        <v>0</v>
      </c>
    </row>
    <row r="53" spans="1:69" x14ac:dyDescent="0.25">
      <c r="A53" s="1">
        <v>44998</v>
      </c>
      <c r="B53" s="6">
        <f>SUMIFS(Timesheet!$F$13:$F$11461,Timesheet!$A$13:$A$11461,'Mês 1'!A53,Timesheet!$C$13:$C$11461,'Mês 1'!$B$40)</f>
        <v>0</v>
      </c>
      <c r="C53" s="6">
        <f>SUMIFS(Timesheet!$F$13:$F$11461,Timesheet!$A$13:$A$11461,'Mês 1'!A53,Timesheet!$C$13:$C$11461,'Mês 1'!$C$40)</f>
        <v>0</v>
      </c>
      <c r="D53" s="6">
        <f>SUMIFS(Timesheet!$F$13:$F$11461,Timesheet!$A$13:$A$11461,'Mês 1'!A53,Timesheet!$C$13:$C$11461,'Mês 1'!$D$40)</f>
        <v>0</v>
      </c>
      <c r="E53" s="6">
        <f>SUMIFS(Timesheet!$F$13:$F$11461,Timesheet!$A$13:$A$11461,'Mês 1'!A53,Timesheet!$C$13:$C$11461,'Mês 1'!$E$40)</f>
        <v>0</v>
      </c>
      <c r="F53" s="6">
        <f>SUMIFS(Timesheet!$F$13:$F$11461,Timesheet!$A$13:$A$11461,'Mês 1'!A53,Timesheet!$C$13:$C$11461,'Mês 1'!$F$40)</f>
        <v>0</v>
      </c>
      <c r="G53" s="6">
        <f>SUMIFS(Timesheet!$F$13:$F$11461,Timesheet!$A$13:$A$11461,'Mês 1'!A53,Timesheet!$C$13:$C$11461,'Mês 1'!$G$40)</f>
        <v>0</v>
      </c>
      <c r="H53" s="6">
        <f>SUMIFS(Timesheet!$F$13:$F$11461,Timesheet!$A$13:$A$11461,'Mês 1'!A53,Timesheet!$C$13:$C$11461,'Mês 1'!$H$40)</f>
        <v>0</v>
      </c>
      <c r="I53" s="6">
        <f>SUMIFS(Timesheet!$F$13:$F$11461,Timesheet!$A$13:$A$11461,'Mês 1'!A53,Timesheet!$C$13:$C$11461,'Mês 1'!$I$40)</f>
        <v>0</v>
      </c>
      <c r="J53" s="6">
        <f>SUMIFS(Timesheet!$F$13:$F$11461,Timesheet!$A$13:$A$11461,'Mês 1'!A53,Timesheet!$C$13:$C$11461,'Mês 1'!$J$40)</f>
        <v>0</v>
      </c>
      <c r="K53" s="6">
        <f t="shared" si="4"/>
        <v>0</v>
      </c>
      <c r="L53" s="6">
        <f t="array" ref="L53">MIN(IF(Timesheet!$A$13:$A$11483='Mês 1'!A53,Timesheet!$D$13:$D$11483))</f>
        <v>0</v>
      </c>
      <c r="M53" s="6">
        <f t="array" ref="M53">MAX(IF(Timesheet!$A$13:$A$11483='Mês 1'!A53,Timesheet!$E$13:$E$11483))</f>
        <v>0</v>
      </c>
      <c r="O53" s="1">
        <v>45059</v>
      </c>
      <c r="P53" s="6">
        <f>SUMIFS(Timesheet!$F$13:$F$11461,Timesheet!$A$13:$A$11461,'Mês 1'!O53,Timesheet!$C$13:$C$11461,'Mês 1'!$P$40)</f>
        <v>0</v>
      </c>
      <c r="Q53" s="6">
        <f>SUMIFS(Timesheet!$F$13:$F$11461,Timesheet!$A$13:$A$11461,'Mês 1'!O53,Timesheet!$C$13:$C$11461,'Mês 1'!$Q$40)</f>
        <v>0</v>
      </c>
      <c r="R53" s="6">
        <f>SUMIFS(Timesheet!$F$13:$F$11461,Timesheet!$A$13:$A$11461,'Mês 1'!O53,Timesheet!$C$13:$C$11461,'Mês 1'!$R$40)</f>
        <v>0</v>
      </c>
      <c r="S53" s="6">
        <f>SUMIFS(Timesheet!$F$13:$F$11461,Timesheet!$A$13:$A$11461,'Mês 1'!O53,Timesheet!$C$13:$C$11461,'Mês 1'!$S$40)</f>
        <v>0</v>
      </c>
      <c r="T53" s="6">
        <f>SUMIFS(Timesheet!$F$13:$F$11461,Timesheet!$A$13:$A$11461,'Mês 1'!O53,Timesheet!$C$13:$C$11461,'Mês 1'!$T$40)</f>
        <v>0</v>
      </c>
      <c r="U53" s="6">
        <f>SUMIFS(Timesheet!$F$13:$F$11461,Timesheet!$A$13:$A$11461,'Mês 1'!O53,Timesheet!$C$13:$C$11461,'Mês 1'!$U$40)</f>
        <v>0</v>
      </c>
      <c r="V53" s="6">
        <f>SUMIFS(Timesheet!$F$13:$F$11461,Timesheet!$A$13:$A$11461,'Mês 1'!O53,Timesheet!$C$13:$C$11461,'Mês 1'!$V$40)</f>
        <v>0</v>
      </c>
      <c r="W53" s="6">
        <f>SUMIFS(Timesheet!$F$13:$F$11461,Timesheet!$A$13:$A$11461,'Mês 1'!O53,Timesheet!$C$13:$C$11461,'Mês 1'!$W$40)</f>
        <v>0</v>
      </c>
      <c r="X53" s="6">
        <f>SUMIFS(Timesheet!$F$13:$F$11461,Timesheet!$A$13:$A$11461,'Mês 1'!O53,Timesheet!$C$13:$C$11461,'Mês 1'!$X$40)</f>
        <v>0</v>
      </c>
      <c r="Y53" s="6">
        <f t="shared" si="5"/>
        <v>0</v>
      </c>
      <c r="Z53" s="6">
        <f t="array" ref="Z53">MIN(IF(Timesheet!$A$13:$A$11483='Mês 1'!O53,Timesheet!$D$13:$D$11483))</f>
        <v>0</v>
      </c>
      <c r="AA53" s="6">
        <f t="array" ref="AA53">MAX(IF(Timesheet!$A$13:$A$11483='Mês 1'!O53,Timesheet!$E$13:$E$11483))</f>
        <v>0</v>
      </c>
      <c r="AC53" s="1">
        <v>45120</v>
      </c>
      <c r="AD53" s="6">
        <f>SUMIFS(Timesheet!$F$13:$F$11461,Timesheet!$A$13:$A$11461,'Mês 1'!AC53,Timesheet!$C$13:$C$11461,'Mês 1'!$AD$40)</f>
        <v>0</v>
      </c>
      <c r="AE53" s="6">
        <f>SUMIFS(Timesheet!$F$13:$F$11461,Timesheet!$A$13:$A$11461,'Mês 1'!AC53,Timesheet!$C$13:$C$11461,'Mês 1'!$AE$40)</f>
        <v>0</v>
      </c>
      <c r="AF53" s="6">
        <f>SUMIFS(Timesheet!$F$13:$F$11461,Timesheet!$A$13:$A$11461,'Mês 1'!AC53,Timesheet!$C$13:$C$11461,'Mês 1'!$AF$40)</f>
        <v>0</v>
      </c>
      <c r="AG53" s="6">
        <f>SUMIFS(Timesheet!$F$13:$F$11461,Timesheet!$A$13:$A$11461,'Mês 1'!AC53,Timesheet!$C$13:$C$11461,'Mês 1'!$AG$40)</f>
        <v>0</v>
      </c>
      <c r="AH53" s="6">
        <f>SUMIFS(Timesheet!$F$13:$F$11461,Timesheet!$A$13:$A$11461,'Mês 1'!AC53,Timesheet!$C$13:$C$11461,'Mês 1'!$AH$40)</f>
        <v>0</v>
      </c>
      <c r="AI53" s="6">
        <f>SUMIFS(Timesheet!$F$13:$F$11461,Timesheet!$A$13:$A$11461,'Mês 1'!AC53,Timesheet!$C$13:$C$11461,'Mês 1'!$AI$40)</f>
        <v>0</v>
      </c>
      <c r="AJ53" s="6">
        <f>SUMIFS(Timesheet!$F$13:$F$11461,Timesheet!$A$13:$A$11461,'Mês 1'!AC53,Timesheet!$C$13:$C$11461,'Mês 1'!$AJ$40)</f>
        <v>0</v>
      </c>
      <c r="AK53" s="6">
        <f>SUMIFS(Timesheet!$F$13:$F$11461,Timesheet!$A$13:$A$11461,'Mês 1'!AC53,Timesheet!$C$13:$C$11461,'Mês 1'!$AK$40)</f>
        <v>0</v>
      </c>
      <c r="AL53" s="6">
        <f>SUMIFS(Timesheet!$F$13:$F$11461,Timesheet!$A$13:$A$11461,'Mês 1'!AC53,Timesheet!$C$13:$C$11461,'Mês 1'!$AL$40)</f>
        <v>0</v>
      </c>
      <c r="AM53" s="6">
        <f t="shared" si="6"/>
        <v>0</v>
      </c>
      <c r="AN53" s="6">
        <f t="array" ref="AN53">MIN(IF(Timesheet!$A$13:$A$11483='Mês 1'!AC53,Timesheet!$D$13:$D$11483))</f>
        <v>0</v>
      </c>
      <c r="AO53" s="6">
        <f t="array" ref="AO53">MAX(IF(Timesheet!$A$13:$A$11483='Mês 1'!AC53,Timesheet!$E$13:$E$11483))</f>
        <v>0</v>
      </c>
      <c r="AQ53" s="1">
        <v>45182</v>
      </c>
      <c r="AR53" s="6">
        <f>SUMIFS(Timesheet!$F$13:$F$11461,Timesheet!$A$13:$A$11461,'Mês 1'!AQ53,Timesheet!$C$13:$C$11461,'Mês 1'!$AR$40)</f>
        <v>0</v>
      </c>
      <c r="AS53" s="6">
        <f>SUMIFS(Timesheet!$F$13:$F$11461,Timesheet!$A$13:$A$11461,'Mês 1'!AQ53,Timesheet!$C$13:$C$11461,'Mês 1'!$AS$40)</f>
        <v>0</v>
      </c>
      <c r="AT53" s="6">
        <f>SUMIFS(Timesheet!$F$13:$F$11461,Timesheet!$A$13:$A$11461,'Mês 1'!AQ53,Timesheet!$C$13:$C$11461,'Mês 1'!$AT$40)</f>
        <v>0</v>
      </c>
      <c r="AU53" s="6">
        <f>SUMIFS(Timesheet!$F$13:$F$11461,Timesheet!$A$13:$A$11461,'Mês 1'!AQ53,Timesheet!$C$13:$C$11461,'Mês 1'!$AU$40)</f>
        <v>0</v>
      </c>
      <c r="AV53" s="6">
        <f>SUMIFS(Timesheet!$F$13:$F$11461,Timesheet!$A$13:$A$11461,'Mês 1'!AQ53,Timesheet!$C$13:$C$11461,'Mês 1'!$AV$40)</f>
        <v>0</v>
      </c>
      <c r="AW53" s="6">
        <f>SUMIFS(Timesheet!$F$13:$F$11461,Timesheet!$A$13:$A$11461,'Mês 1'!AQ53,Timesheet!$C$13:$C$11461,'Mês 1'!$AW$40)</f>
        <v>0</v>
      </c>
      <c r="AX53" s="6">
        <f>SUMIFS(Timesheet!$F$13:$F$11461,Timesheet!$A$13:$A$11461,'Mês 1'!AQ53,Timesheet!$C$13:$C$11461,'Mês 1'!$AX$40)</f>
        <v>0</v>
      </c>
      <c r="AY53" s="6">
        <f>SUMIFS(Timesheet!$F$13:$F$11461,Timesheet!$A$13:$A$11461,'Mês 1'!AQ53,Timesheet!$C$13:$C$11461,'Mês 1'!$AY$40)</f>
        <v>0</v>
      </c>
      <c r="AZ53" s="6">
        <f>SUMIFS(Timesheet!$F$13:$F$11461,Timesheet!$A$13:$A$11461,'Mês 1'!AQ53,Timesheet!$C$13:$C$11461,'Mês 1'!$AZ$40)</f>
        <v>0</v>
      </c>
      <c r="BA53" s="6">
        <f t="shared" si="7"/>
        <v>0</v>
      </c>
      <c r="BB53" s="6">
        <f t="array" ref="BB53">MIN(IF(Timesheet!$A$13:$A$11483='Mês 1'!AQ53,Timesheet!$D$13:$D$11483))</f>
        <v>0</v>
      </c>
      <c r="BC53" s="6">
        <f t="array" ref="BC53">MAX(IF(Timesheet!$A$13:$A$11483='Mês 1'!AQ53,Timesheet!$E$13:$E$11483))</f>
        <v>0</v>
      </c>
      <c r="BE53" s="1">
        <v>45243</v>
      </c>
      <c r="BF53" s="6">
        <f>SUMIFS(Timesheet!$F$13:$F$11461,Timesheet!$A$13:$A$11461,'Mês 1'!BE53,Timesheet!$C$13:$C$11461,'Mês 1'!$BF$40)</f>
        <v>0</v>
      </c>
      <c r="BG53" s="6">
        <f>SUMIFS(Timesheet!$F$13:$F$11461,Timesheet!$A$13:$A$11461,'Mês 1'!BE53,Timesheet!$C$13:$C$11461,'Mês 1'!$BG$40)</f>
        <v>0</v>
      </c>
      <c r="BH53" s="6">
        <f>SUMIFS(Timesheet!$F$13:$F$11461,Timesheet!$A$13:$A$11461,'Mês 1'!BE53,Timesheet!$C$13:$C$11461,'Mês 1'!$BH$40)</f>
        <v>0</v>
      </c>
      <c r="BI53" s="6">
        <f>SUMIFS(Timesheet!$F$13:$F$11461,Timesheet!$A$13:$A$11461,'Mês 1'!BE53,Timesheet!$C$13:$C$11461,'Mês 1'!$BI$40)</f>
        <v>0</v>
      </c>
      <c r="BJ53" s="6">
        <f>SUMIFS(Timesheet!$F$13:$F$11461,Timesheet!$A$13:$A$11461,'Mês 1'!BE53,Timesheet!$C$13:$C$11461,'Mês 1'!$BJ$40)</f>
        <v>0</v>
      </c>
      <c r="BK53" s="6">
        <f>SUMIFS(Timesheet!$F$13:$F$11461,Timesheet!$A$13:$A$11461,'Mês 1'!BE53,Timesheet!$C$13:$C$11461,'Mês 1'!$BK$40)</f>
        <v>0</v>
      </c>
      <c r="BL53" s="6">
        <f>SUMIFS(Timesheet!$F$13:$F$11461,Timesheet!$A$13:$A$11461,'Mês 1'!BE53,Timesheet!$C$13:$C$11461,'Mês 1'!$BL$40)</f>
        <v>0</v>
      </c>
      <c r="BM53" s="6">
        <f>SUMIFS(Timesheet!$F$13:$F$11461,Timesheet!$A$13:$A$11461,'Mês 1'!BE53,Timesheet!$C$13:$C$11461,'Mês 1'!$BM$40)</f>
        <v>0</v>
      </c>
      <c r="BN53" s="6">
        <f>SUMIFS(Timesheet!$F$13:$F$11461,Timesheet!$A$13:$A$11461,'Mês 1'!BE53,Timesheet!$C$13:$C$11461,'Mês 1'!$BN$40)</f>
        <v>0</v>
      </c>
      <c r="BO53" s="6">
        <f t="shared" si="8"/>
        <v>0</v>
      </c>
      <c r="BP53" s="6">
        <f t="array" ref="BP53">MIN(IF(Timesheet!$A$13:$A$11483='Mês 1'!BE53,Timesheet!$D$13:$D$11483))</f>
        <v>0</v>
      </c>
      <c r="BQ53" s="6">
        <f t="array" ref="BQ53">MAX(IF(Timesheet!$A$13:$A$11483='Mês 1'!BE53,Timesheet!$E$13:$E$11483))</f>
        <v>0</v>
      </c>
    </row>
    <row r="54" spans="1:69" x14ac:dyDescent="0.25">
      <c r="A54" s="1">
        <v>44999</v>
      </c>
      <c r="B54" s="6">
        <f>SUMIFS(Timesheet!$F$13:$F$11461,Timesheet!$A$13:$A$11461,'Mês 1'!A54,Timesheet!$C$13:$C$11461,'Mês 1'!$B$40)</f>
        <v>0</v>
      </c>
      <c r="C54" s="6">
        <f>SUMIFS(Timesheet!$F$13:$F$11461,Timesheet!$A$13:$A$11461,'Mês 1'!A54,Timesheet!$C$13:$C$11461,'Mês 1'!$C$40)</f>
        <v>0</v>
      </c>
      <c r="D54" s="6">
        <f>SUMIFS(Timesheet!$F$13:$F$11461,Timesheet!$A$13:$A$11461,'Mês 1'!A54,Timesheet!$C$13:$C$11461,'Mês 1'!$D$40)</f>
        <v>0</v>
      </c>
      <c r="E54" s="6">
        <f>SUMIFS(Timesheet!$F$13:$F$11461,Timesheet!$A$13:$A$11461,'Mês 1'!A54,Timesheet!$C$13:$C$11461,'Mês 1'!$E$40)</f>
        <v>0</v>
      </c>
      <c r="F54" s="6">
        <f>SUMIFS(Timesheet!$F$13:$F$11461,Timesheet!$A$13:$A$11461,'Mês 1'!A54,Timesheet!$C$13:$C$11461,'Mês 1'!$F$40)</f>
        <v>0</v>
      </c>
      <c r="G54" s="6">
        <f>SUMIFS(Timesheet!$F$13:$F$11461,Timesheet!$A$13:$A$11461,'Mês 1'!A54,Timesheet!$C$13:$C$11461,'Mês 1'!$G$40)</f>
        <v>0</v>
      </c>
      <c r="H54" s="6">
        <f>SUMIFS(Timesheet!$F$13:$F$11461,Timesheet!$A$13:$A$11461,'Mês 1'!A54,Timesheet!$C$13:$C$11461,'Mês 1'!$H$40)</f>
        <v>0</v>
      </c>
      <c r="I54" s="6">
        <f>SUMIFS(Timesheet!$F$13:$F$11461,Timesheet!$A$13:$A$11461,'Mês 1'!A54,Timesheet!$C$13:$C$11461,'Mês 1'!$I$40)</f>
        <v>0</v>
      </c>
      <c r="J54" s="6">
        <f>SUMIFS(Timesheet!$F$13:$F$11461,Timesheet!$A$13:$A$11461,'Mês 1'!A54,Timesheet!$C$13:$C$11461,'Mês 1'!$J$40)</f>
        <v>0</v>
      </c>
      <c r="K54" s="6">
        <f t="shared" si="4"/>
        <v>0</v>
      </c>
      <c r="L54" s="6">
        <f t="array" ref="L54">MIN(IF(Timesheet!$A$13:$A$11483='Mês 1'!A54,Timesheet!$D$13:$D$11483))</f>
        <v>0</v>
      </c>
      <c r="M54" s="6">
        <f t="array" ref="M54">MAX(IF(Timesheet!$A$13:$A$11483='Mês 1'!A54,Timesheet!$E$13:$E$11483))</f>
        <v>0</v>
      </c>
      <c r="O54" s="1">
        <v>45060</v>
      </c>
      <c r="P54" s="6">
        <f>SUMIFS(Timesheet!$F$13:$F$11461,Timesheet!$A$13:$A$11461,'Mês 1'!O54,Timesheet!$C$13:$C$11461,'Mês 1'!$P$40)</f>
        <v>0</v>
      </c>
      <c r="Q54" s="6">
        <f>SUMIFS(Timesheet!$F$13:$F$11461,Timesheet!$A$13:$A$11461,'Mês 1'!O54,Timesheet!$C$13:$C$11461,'Mês 1'!$Q$40)</f>
        <v>0</v>
      </c>
      <c r="R54" s="6">
        <f>SUMIFS(Timesheet!$F$13:$F$11461,Timesheet!$A$13:$A$11461,'Mês 1'!O54,Timesheet!$C$13:$C$11461,'Mês 1'!$R$40)</f>
        <v>0</v>
      </c>
      <c r="S54" s="6">
        <f>SUMIFS(Timesheet!$F$13:$F$11461,Timesheet!$A$13:$A$11461,'Mês 1'!O54,Timesheet!$C$13:$C$11461,'Mês 1'!$S$40)</f>
        <v>0</v>
      </c>
      <c r="T54" s="6">
        <f>SUMIFS(Timesheet!$F$13:$F$11461,Timesheet!$A$13:$A$11461,'Mês 1'!O54,Timesheet!$C$13:$C$11461,'Mês 1'!$T$40)</f>
        <v>0</v>
      </c>
      <c r="U54" s="6">
        <f>SUMIFS(Timesheet!$F$13:$F$11461,Timesheet!$A$13:$A$11461,'Mês 1'!O54,Timesheet!$C$13:$C$11461,'Mês 1'!$U$40)</f>
        <v>0</v>
      </c>
      <c r="V54" s="6">
        <f>SUMIFS(Timesheet!$F$13:$F$11461,Timesheet!$A$13:$A$11461,'Mês 1'!O54,Timesheet!$C$13:$C$11461,'Mês 1'!$V$40)</f>
        <v>0</v>
      </c>
      <c r="W54" s="6">
        <f>SUMIFS(Timesheet!$F$13:$F$11461,Timesheet!$A$13:$A$11461,'Mês 1'!O54,Timesheet!$C$13:$C$11461,'Mês 1'!$W$40)</f>
        <v>0</v>
      </c>
      <c r="X54" s="6">
        <f>SUMIFS(Timesheet!$F$13:$F$11461,Timesheet!$A$13:$A$11461,'Mês 1'!O54,Timesheet!$C$13:$C$11461,'Mês 1'!$X$40)</f>
        <v>0</v>
      </c>
      <c r="Y54" s="6">
        <f t="shared" si="5"/>
        <v>0</v>
      </c>
      <c r="Z54" s="6">
        <f t="array" ref="Z54">MIN(IF(Timesheet!$A$13:$A$11483='Mês 1'!O54,Timesheet!$D$13:$D$11483))</f>
        <v>0</v>
      </c>
      <c r="AA54" s="6">
        <f t="array" ref="AA54">MAX(IF(Timesheet!$A$13:$A$11483='Mês 1'!O54,Timesheet!$E$13:$E$11483))</f>
        <v>0</v>
      </c>
      <c r="AC54" s="1">
        <v>45121</v>
      </c>
      <c r="AD54" s="6">
        <f>SUMIFS(Timesheet!$F$13:$F$11461,Timesheet!$A$13:$A$11461,'Mês 1'!AC54,Timesheet!$C$13:$C$11461,'Mês 1'!$AD$40)</f>
        <v>0</v>
      </c>
      <c r="AE54" s="6">
        <f>SUMIFS(Timesheet!$F$13:$F$11461,Timesheet!$A$13:$A$11461,'Mês 1'!AC54,Timesheet!$C$13:$C$11461,'Mês 1'!$AE$40)</f>
        <v>0</v>
      </c>
      <c r="AF54" s="6">
        <f>SUMIFS(Timesheet!$F$13:$F$11461,Timesheet!$A$13:$A$11461,'Mês 1'!AC54,Timesheet!$C$13:$C$11461,'Mês 1'!$AF$40)</f>
        <v>0</v>
      </c>
      <c r="AG54" s="6">
        <f>SUMIFS(Timesheet!$F$13:$F$11461,Timesheet!$A$13:$A$11461,'Mês 1'!AC54,Timesheet!$C$13:$C$11461,'Mês 1'!$AG$40)</f>
        <v>0</v>
      </c>
      <c r="AH54" s="6">
        <f>SUMIFS(Timesheet!$F$13:$F$11461,Timesheet!$A$13:$A$11461,'Mês 1'!AC54,Timesheet!$C$13:$C$11461,'Mês 1'!$AH$40)</f>
        <v>0</v>
      </c>
      <c r="AI54" s="6">
        <f>SUMIFS(Timesheet!$F$13:$F$11461,Timesheet!$A$13:$A$11461,'Mês 1'!AC54,Timesheet!$C$13:$C$11461,'Mês 1'!$AI$40)</f>
        <v>0</v>
      </c>
      <c r="AJ54" s="6">
        <f>SUMIFS(Timesheet!$F$13:$F$11461,Timesheet!$A$13:$A$11461,'Mês 1'!AC54,Timesheet!$C$13:$C$11461,'Mês 1'!$AJ$40)</f>
        <v>0</v>
      </c>
      <c r="AK54" s="6">
        <f>SUMIFS(Timesheet!$F$13:$F$11461,Timesheet!$A$13:$A$11461,'Mês 1'!AC54,Timesheet!$C$13:$C$11461,'Mês 1'!$AK$40)</f>
        <v>0</v>
      </c>
      <c r="AL54" s="6">
        <f>SUMIFS(Timesheet!$F$13:$F$11461,Timesheet!$A$13:$A$11461,'Mês 1'!AC54,Timesheet!$C$13:$C$11461,'Mês 1'!$AL$40)</f>
        <v>0</v>
      </c>
      <c r="AM54" s="6">
        <f t="shared" si="6"/>
        <v>0</v>
      </c>
      <c r="AN54" s="6">
        <f t="array" ref="AN54">MIN(IF(Timesheet!$A$13:$A$11483='Mês 1'!AC54,Timesheet!$D$13:$D$11483))</f>
        <v>0</v>
      </c>
      <c r="AO54" s="6">
        <f t="array" ref="AO54">MAX(IF(Timesheet!$A$13:$A$11483='Mês 1'!AC54,Timesheet!$E$13:$E$11483))</f>
        <v>0</v>
      </c>
      <c r="AQ54" s="1">
        <v>45183</v>
      </c>
      <c r="AR54" s="6">
        <f>SUMIFS(Timesheet!$F$13:$F$11461,Timesheet!$A$13:$A$11461,'Mês 1'!AQ54,Timesheet!$C$13:$C$11461,'Mês 1'!$AR$40)</f>
        <v>0</v>
      </c>
      <c r="AS54" s="6">
        <f>SUMIFS(Timesheet!$F$13:$F$11461,Timesheet!$A$13:$A$11461,'Mês 1'!AQ54,Timesheet!$C$13:$C$11461,'Mês 1'!$AS$40)</f>
        <v>0</v>
      </c>
      <c r="AT54" s="6">
        <f>SUMIFS(Timesheet!$F$13:$F$11461,Timesheet!$A$13:$A$11461,'Mês 1'!AQ54,Timesheet!$C$13:$C$11461,'Mês 1'!$AT$40)</f>
        <v>0</v>
      </c>
      <c r="AU54" s="6">
        <f>SUMIFS(Timesheet!$F$13:$F$11461,Timesheet!$A$13:$A$11461,'Mês 1'!AQ54,Timesheet!$C$13:$C$11461,'Mês 1'!$AU$40)</f>
        <v>0</v>
      </c>
      <c r="AV54" s="6">
        <f>SUMIFS(Timesheet!$F$13:$F$11461,Timesheet!$A$13:$A$11461,'Mês 1'!AQ54,Timesheet!$C$13:$C$11461,'Mês 1'!$AV$40)</f>
        <v>0</v>
      </c>
      <c r="AW54" s="6">
        <f>SUMIFS(Timesheet!$F$13:$F$11461,Timesheet!$A$13:$A$11461,'Mês 1'!AQ54,Timesheet!$C$13:$C$11461,'Mês 1'!$AW$40)</f>
        <v>0</v>
      </c>
      <c r="AX54" s="6">
        <f>SUMIFS(Timesheet!$F$13:$F$11461,Timesheet!$A$13:$A$11461,'Mês 1'!AQ54,Timesheet!$C$13:$C$11461,'Mês 1'!$AX$40)</f>
        <v>0</v>
      </c>
      <c r="AY54" s="6">
        <f>SUMIFS(Timesheet!$F$13:$F$11461,Timesheet!$A$13:$A$11461,'Mês 1'!AQ54,Timesheet!$C$13:$C$11461,'Mês 1'!$AY$40)</f>
        <v>0</v>
      </c>
      <c r="AZ54" s="6">
        <f>SUMIFS(Timesheet!$F$13:$F$11461,Timesheet!$A$13:$A$11461,'Mês 1'!AQ54,Timesheet!$C$13:$C$11461,'Mês 1'!$AZ$40)</f>
        <v>0</v>
      </c>
      <c r="BA54" s="6">
        <f t="shared" si="7"/>
        <v>0</v>
      </c>
      <c r="BB54" s="6">
        <f t="array" ref="BB54">MIN(IF(Timesheet!$A$13:$A$11483='Mês 1'!AQ54,Timesheet!$D$13:$D$11483))</f>
        <v>0</v>
      </c>
      <c r="BC54" s="6">
        <f t="array" ref="BC54">MAX(IF(Timesheet!$A$13:$A$11483='Mês 1'!AQ54,Timesheet!$E$13:$E$11483))</f>
        <v>0</v>
      </c>
      <c r="BE54" s="1">
        <v>45244</v>
      </c>
      <c r="BF54" s="6">
        <f>SUMIFS(Timesheet!$F$13:$F$11461,Timesheet!$A$13:$A$11461,'Mês 1'!BE54,Timesheet!$C$13:$C$11461,'Mês 1'!$BF$40)</f>
        <v>0</v>
      </c>
      <c r="BG54" s="6">
        <f>SUMIFS(Timesheet!$F$13:$F$11461,Timesheet!$A$13:$A$11461,'Mês 1'!BE54,Timesheet!$C$13:$C$11461,'Mês 1'!$BG$40)</f>
        <v>0</v>
      </c>
      <c r="BH54" s="6">
        <f>SUMIFS(Timesheet!$F$13:$F$11461,Timesheet!$A$13:$A$11461,'Mês 1'!BE54,Timesheet!$C$13:$C$11461,'Mês 1'!$BH$40)</f>
        <v>0</v>
      </c>
      <c r="BI54" s="6">
        <f>SUMIFS(Timesheet!$F$13:$F$11461,Timesheet!$A$13:$A$11461,'Mês 1'!BE54,Timesheet!$C$13:$C$11461,'Mês 1'!$BI$40)</f>
        <v>0</v>
      </c>
      <c r="BJ54" s="6">
        <f>SUMIFS(Timesheet!$F$13:$F$11461,Timesheet!$A$13:$A$11461,'Mês 1'!BE54,Timesheet!$C$13:$C$11461,'Mês 1'!$BJ$40)</f>
        <v>0</v>
      </c>
      <c r="BK54" s="6">
        <f>SUMIFS(Timesheet!$F$13:$F$11461,Timesheet!$A$13:$A$11461,'Mês 1'!BE54,Timesheet!$C$13:$C$11461,'Mês 1'!$BK$40)</f>
        <v>0</v>
      </c>
      <c r="BL54" s="6">
        <f>SUMIFS(Timesheet!$F$13:$F$11461,Timesheet!$A$13:$A$11461,'Mês 1'!BE54,Timesheet!$C$13:$C$11461,'Mês 1'!$BL$40)</f>
        <v>0</v>
      </c>
      <c r="BM54" s="6">
        <f>SUMIFS(Timesheet!$F$13:$F$11461,Timesheet!$A$13:$A$11461,'Mês 1'!BE54,Timesheet!$C$13:$C$11461,'Mês 1'!$BM$40)</f>
        <v>0</v>
      </c>
      <c r="BN54" s="6">
        <f>SUMIFS(Timesheet!$F$13:$F$11461,Timesheet!$A$13:$A$11461,'Mês 1'!BE54,Timesheet!$C$13:$C$11461,'Mês 1'!$BN$40)</f>
        <v>0</v>
      </c>
      <c r="BO54" s="6">
        <f t="shared" si="8"/>
        <v>0</v>
      </c>
      <c r="BP54" s="6">
        <f t="array" ref="BP54">MIN(IF(Timesheet!$A$13:$A$11483='Mês 1'!BE54,Timesheet!$D$13:$D$11483))</f>
        <v>0</v>
      </c>
      <c r="BQ54" s="6">
        <f t="array" ref="BQ54">MAX(IF(Timesheet!$A$13:$A$11483='Mês 1'!BE54,Timesheet!$E$13:$E$11483))</f>
        <v>0</v>
      </c>
    </row>
    <row r="55" spans="1:69" x14ac:dyDescent="0.25">
      <c r="A55" s="1">
        <v>45000</v>
      </c>
      <c r="B55" s="6">
        <f>SUMIFS(Timesheet!$F$13:$F$11461,Timesheet!$A$13:$A$11461,'Mês 1'!A55,Timesheet!$C$13:$C$11461,'Mês 1'!$B$40)</f>
        <v>0</v>
      </c>
      <c r="C55" s="6">
        <f>SUMIFS(Timesheet!$F$13:$F$11461,Timesheet!$A$13:$A$11461,'Mês 1'!A55,Timesheet!$C$13:$C$11461,'Mês 1'!$C$40)</f>
        <v>0</v>
      </c>
      <c r="D55" s="6">
        <f>SUMIFS(Timesheet!$F$13:$F$11461,Timesheet!$A$13:$A$11461,'Mês 1'!A55,Timesheet!$C$13:$C$11461,'Mês 1'!$D$40)</f>
        <v>0</v>
      </c>
      <c r="E55" s="6">
        <f>SUMIFS(Timesheet!$F$13:$F$11461,Timesheet!$A$13:$A$11461,'Mês 1'!A55,Timesheet!$C$13:$C$11461,'Mês 1'!$E$40)</f>
        <v>0</v>
      </c>
      <c r="F55" s="6">
        <f>SUMIFS(Timesheet!$F$13:$F$11461,Timesheet!$A$13:$A$11461,'Mês 1'!A55,Timesheet!$C$13:$C$11461,'Mês 1'!$F$40)</f>
        <v>0</v>
      </c>
      <c r="G55" s="6">
        <f>SUMIFS(Timesheet!$F$13:$F$11461,Timesheet!$A$13:$A$11461,'Mês 1'!A55,Timesheet!$C$13:$C$11461,'Mês 1'!$G$40)</f>
        <v>0</v>
      </c>
      <c r="H55" s="6">
        <f>SUMIFS(Timesheet!$F$13:$F$11461,Timesheet!$A$13:$A$11461,'Mês 1'!A55,Timesheet!$C$13:$C$11461,'Mês 1'!$H$40)</f>
        <v>0</v>
      </c>
      <c r="I55" s="6">
        <f>SUMIFS(Timesheet!$F$13:$F$11461,Timesheet!$A$13:$A$11461,'Mês 1'!A55,Timesheet!$C$13:$C$11461,'Mês 1'!$I$40)</f>
        <v>0</v>
      </c>
      <c r="J55" s="6">
        <f>SUMIFS(Timesheet!$F$13:$F$11461,Timesheet!$A$13:$A$11461,'Mês 1'!A55,Timesheet!$C$13:$C$11461,'Mês 1'!$J$40)</f>
        <v>0</v>
      </c>
      <c r="K55" s="6">
        <f t="shared" si="4"/>
        <v>0</v>
      </c>
      <c r="L55" s="6">
        <f t="array" ref="L55">MIN(IF(Timesheet!$A$13:$A$11483='Mês 1'!A55,Timesheet!$D$13:$D$11483))</f>
        <v>0</v>
      </c>
      <c r="M55" s="6">
        <f t="array" ref="M55">MAX(IF(Timesheet!$A$13:$A$11483='Mês 1'!A55,Timesheet!$E$13:$E$11483))</f>
        <v>0</v>
      </c>
      <c r="O55" s="1">
        <v>45061</v>
      </c>
      <c r="P55" s="6">
        <f>SUMIFS(Timesheet!$F$13:$F$11461,Timesheet!$A$13:$A$11461,'Mês 1'!O55,Timesheet!$C$13:$C$11461,'Mês 1'!$P$40)</f>
        <v>0</v>
      </c>
      <c r="Q55" s="6">
        <f>SUMIFS(Timesheet!$F$13:$F$11461,Timesheet!$A$13:$A$11461,'Mês 1'!O55,Timesheet!$C$13:$C$11461,'Mês 1'!$Q$40)</f>
        <v>0</v>
      </c>
      <c r="R55" s="6">
        <f>SUMIFS(Timesheet!$F$13:$F$11461,Timesheet!$A$13:$A$11461,'Mês 1'!O55,Timesheet!$C$13:$C$11461,'Mês 1'!$R$40)</f>
        <v>0</v>
      </c>
      <c r="S55" s="6">
        <f>SUMIFS(Timesheet!$F$13:$F$11461,Timesheet!$A$13:$A$11461,'Mês 1'!O55,Timesheet!$C$13:$C$11461,'Mês 1'!$S$40)</f>
        <v>0</v>
      </c>
      <c r="T55" s="6">
        <f>SUMIFS(Timesheet!$F$13:$F$11461,Timesheet!$A$13:$A$11461,'Mês 1'!O55,Timesheet!$C$13:$C$11461,'Mês 1'!$T$40)</f>
        <v>0</v>
      </c>
      <c r="U55" s="6">
        <f>SUMIFS(Timesheet!$F$13:$F$11461,Timesheet!$A$13:$A$11461,'Mês 1'!O55,Timesheet!$C$13:$C$11461,'Mês 1'!$U$40)</f>
        <v>0</v>
      </c>
      <c r="V55" s="6">
        <f>SUMIFS(Timesheet!$F$13:$F$11461,Timesheet!$A$13:$A$11461,'Mês 1'!O55,Timesheet!$C$13:$C$11461,'Mês 1'!$V$40)</f>
        <v>0</v>
      </c>
      <c r="W55" s="6">
        <f>SUMIFS(Timesheet!$F$13:$F$11461,Timesheet!$A$13:$A$11461,'Mês 1'!O55,Timesheet!$C$13:$C$11461,'Mês 1'!$W$40)</f>
        <v>0</v>
      </c>
      <c r="X55" s="6">
        <f>SUMIFS(Timesheet!$F$13:$F$11461,Timesheet!$A$13:$A$11461,'Mês 1'!O55,Timesheet!$C$13:$C$11461,'Mês 1'!$X$40)</f>
        <v>0</v>
      </c>
      <c r="Y55" s="6">
        <f t="shared" si="5"/>
        <v>0</v>
      </c>
      <c r="Z55" s="6">
        <f t="array" ref="Z55">MIN(IF(Timesheet!$A$13:$A$11483='Mês 1'!O55,Timesheet!$D$13:$D$11483))</f>
        <v>0</v>
      </c>
      <c r="AA55" s="6">
        <f t="array" ref="AA55">MAX(IF(Timesheet!$A$13:$A$11483='Mês 1'!O55,Timesheet!$E$13:$E$11483))</f>
        <v>0</v>
      </c>
      <c r="AC55" s="1">
        <v>45122</v>
      </c>
      <c r="AD55" s="6">
        <f>SUMIFS(Timesheet!$F$13:$F$11461,Timesheet!$A$13:$A$11461,'Mês 1'!AC55,Timesheet!$C$13:$C$11461,'Mês 1'!$AD$40)</f>
        <v>0</v>
      </c>
      <c r="AE55" s="6">
        <f>SUMIFS(Timesheet!$F$13:$F$11461,Timesheet!$A$13:$A$11461,'Mês 1'!AC55,Timesheet!$C$13:$C$11461,'Mês 1'!$AE$40)</f>
        <v>0</v>
      </c>
      <c r="AF55" s="6">
        <f>SUMIFS(Timesheet!$F$13:$F$11461,Timesheet!$A$13:$A$11461,'Mês 1'!AC55,Timesheet!$C$13:$C$11461,'Mês 1'!$AF$40)</f>
        <v>0</v>
      </c>
      <c r="AG55" s="6">
        <f>SUMIFS(Timesheet!$F$13:$F$11461,Timesheet!$A$13:$A$11461,'Mês 1'!AC55,Timesheet!$C$13:$C$11461,'Mês 1'!$AG$40)</f>
        <v>0</v>
      </c>
      <c r="AH55" s="6">
        <f>SUMIFS(Timesheet!$F$13:$F$11461,Timesheet!$A$13:$A$11461,'Mês 1'!AC55,Timesheet!$C$13:$C$11461,'Mês 1'!$AH$40)</f>
        <v>0</v>
      </c>
      <c r="AI55" s="6">
        <f>SUMIFS(Timesheet!$F$13:$F$11461,Timesheet!$A$13:$A$11461,'Mês 1'!AC55,Timesheet!$C$13:$C$11461,'Mês 1'!$AI$40)</f>
        <v>0</v>
      </c>
      <c r="AJ55" s="6">
        <f>SUMIFS(Timesheet!$F$13:$F$11461,Timesheet!$A$13:$A$11461,'Mês 1'!AC55,Timesheet!$C$13:$C$11461,'Mês 1'!$AJ$40)</f>
        <v>0</v>
      </c>
      <c r="AK55" s="6">
        <f>SUMIFS(Timesheet!$F$13:$F$11461,Timesheet!$A$13:$A$11461,'Mês 1'!AC55,Timesheet!$C$13:$C$11461,'Mês 1'!$AK$40)</f>
        <v>0</v>
      </c>
      <c r="AL55" s="6">
        <f>SUMIFS(Timesheet!$F$13:$F$11461,Timesheet!$A$13:$A$11461,'Mês 1'!AC55,Timesheet!$C$13:$C$11461,'Mês 1'!$AL$40)</f>
        <v>0</v>
      </c>
      <c r="AM55" s="6">
        <f t="shared" si="6"/>
        <v>0</v>
      </c>
      <c r="AN55" s="6">
        <f t="array" ref="AN55">MIN(IF(Timesheet!$A$13:$A$11483='Mês 1'!AC55,Timesheet!$D$13:$D$11483))</f>
        <v>0</v>
      </c>
      <c r="AO55" s="6">
        <f t="array" ref="AO55">MAX(IF(Timesheet!$A$13:$A$11483='Mês 1'!AC55,Timesheet!$E$13:$E$11483))</f>
        <v>0</v>
      </c>
      <c r="AQ55" s="1">
        <v>45184</v>
      </c>
      <c r="AR55" s="6">
        <f>SUMIFS(Timesheet!$F$13:$F$11461,Timesheet!$A$13:$A$11461,'Mês 1'!AQ55,Timesheet!$C$13:$C$11461,'Mês 1'!$AR$40)</f>
        <v>0</v>
      </c>
      <c r="AS55" s="6">
        <f>SUMIFS(Timesheet!$F$13:$F$11461,Timesheet!$A$13:$A$11461,'Mês 1'!AQ55,Timesheet!$C$13:$C$11461,'Mês 1'!$AS$40)</f>
        <v>0</v>
      </c>
      <c r="AT55" s="6">
        <f>SUMIFS(Timesheet!$F$13:$F$11461,Timesheet!$A$13:$A$11461,'Mês 1'!AQ55,Timesheet!$C$13:$C$11461,'Mês 1'!$AT$40)</f>
        <v>0</v>
      </c>
      <c r="AU55" s="6">
        <f>SUMIFS(Timesheet!$F$13:$F$11461,Timesheet!$A$13:$A$11461,'Mês 1'!AQ55,Timesheet!$C$13:$C$11461,'Mês 1'!$AU$40)</f>
        <v>0</v>
      </c>
      <c r="AV55" s="6">
        <f>SUMIFS(Timesheet!$F$13:$F$11461,Timesheet!$A$13:$A$11461,'Mês 1'!AQ55,Timesheet!$C$13:$C$11461,'Mês 1'!$AV$40)</f>
        <v>0</v>
      </c>
      <c r="AW55" s="6">
        <f>SUMIFS(Timesheet!$F$13:$F$11461,Timesheet!$A$13:$A$11461,'Mês 1'!AQ55,Timesheet!$C$13:$C$11461,'Mês 1'!$AW$40)</f>
        <v>0</v>
      </c>
      <c r="AX55" s="6">
        <f>SUMIFS(Timesheet!$F$13:$F$11461,Timesheet!$A$13:$A$11461,'Mês 1'!AQ55,Timesheet!$C$13:$C$11461,'Mês 1'!$AX$40)</f>
        <v>0</v>
      </c>
      <c r="AY55" s="6">
        <f>SUMIFS(Timesheet!$F$13:$F$11461,Timesheet!$A$13:$A$11461,'Mês 1'!AQ55,Timesheet!$C$13:$C$11461,'Mês 1'!$AY$40)</f>
        <v>0</v>
      </c>
      <c r="AZ55" s="6">
        <f>SUMIFS(Timesheet!$F$13:$F$11461,Timesheet!$A$13:$A$11461,'Mês 1'!AQ55,Timesheet!$C$13:$C$11461,'Mês 1'!$AZ$40)</f>
        <v>0</v>
      </c>
      <c r="BA55" s="6">
        <f t="shared" si="7"/>
        <v>0</v>
      </c>
      <c r="BB55" s="6">
        <f t="array" ref="BB55">MIN(IF(Timesheet!$A$13:$A$11483='Mês 1'!AQ55,Timesheet!$D$13:$D$11483))</f>
        <v>0</v>
      </c>
      <c r="BC55" s="6">
        <f t="array" ref="BC55">MAX(IF(Timesheet!$A$13:$A$11483='Mês 1'!AQ55,Timesheet!$E$13:$E$11483))</f>
        <v>0</v>
      </c>
      <c r="BE55" s="1">
        <v>45245</v>
      </c>
      <c r="BF55" s="6">
        <f>SUMIFS(Timesheet!$F$13:$F$11461,Timesheet!$A$13:$A$11461,'Mês 1'!BE55,Timesheet!$C$13:$C$11461,'Mês 1'!$BF$40)</f>
        <v>0</v>
      </c>
      <c r="BG55" s="6">
        <f>SUMIFS(Timesheet!$F$13:$F$11461,Timesheet!$A$13:$A$11461,'Mês 1'!BE55,Timesheet!$C$13:$C$11461,'Mês 1'!$BG$40)</f>
        <v>0</v>
      </c>
      <c r="BH55" s="6">
        <f>SUMIFS(Timesheet!$F$13:$F$11461,Timesheet!$A$13:$A$11461,'Mês 1'!BE55,Timesheet!$C$13:$C$11461,'Mês 1'!$BH$40)</f>
        <v>0</v>
      </c>
      <c r="BI55" s="6">
        <f>SUMIFS(Timesheet!$F$13:$F$11461,Timesheet!$A$13:$A$11461,'Mês 1'!BE55,Timesheet!$C$13:$C$11461,'Mês 1'!$BI$40)</f>
        <v>0</v>
      </c>
      <c r="BJ55" s="6">
        <f>SUMIFS(Timesheet!$F$13:$F$11461,Timesheet!$A$13:$A$11461,'Mês 1'!BE55,Timesheet!$C$13:$C$11461,'Mês 1'!$BJ$40)</f>
        <v>0</v>
      </c>
      <c r="BK55" s="6">
        <f>SUMIFS(Timesheet!$F$13:$F$11461,Timesheet!$A$13:$A$11461,'Mês 1'!BE55,Timesheet!$C$13:$C$11461,'Mês 1'!$BK$40)</f>
        <v>0</v>
      </c>
      <c r="BL55" s="6">
        <f>SUMIFS(Timesheet!$F$13:$F$11461,Timesheet!$A$13:$A$11461,'Mês 1'!BE55,Timesheet!$C$13:$C$11461,'Mês 1'!$BL$40)</f>
        <v>0</v>
      </c>
      <c r="BM55" s="6">
        <f>SUMIFS(Timesheet!$F$13:$F$11461,Timesheet!$A$13:$A$11461,'Mês 1'!BE55,Timesheet!$C$13:$C$11461,'Mês 1'!$BM$40)</f>
        <v>0</v>
      </c>
      <c r="BN55" s="6">
        <f>SUMIFS(Timesheet!$F$13:$F$11461,Timesheet!$A$13:$A$11461,'Mês 1'!BE55,Timesheet!$C$13:$C$11461,'Mês 1'!$BN$40)</f>
        <v>0</v>
      </c>
      <c r="BO55" s="6">
        <f t="shared" si="8"/>
        <v>0</v>
      </c>
      <c r="BP55" s="6">
        <f t="array" ref="BP55">MIN(IF(Timesheet!$A$13:$A$11483='Mês 1'!BE55,Timesheet!$D$13:$D$11483))</f>
        <v>0</v>
      </c>
      <c r="BQ55" s="6">
        <f t="array" ref="BQ55">MAX(IF(Timesheet!$A$13:$A$11483='Mês 1'!BE55,Timesheet!$E$13:$E$11483))</f>
        <v>0</v>
      </c>
    </row>
    <row r="56" spans="1:69" x14ac:dyDescent="0.25">
      <c r="A56" s="1">
        <v>45001</v>
      </c>
      <c r="B56" s="6">
        <f>SUMIFS(Timesheet!$F$13:$F$11461,Timesheet!$A$13:$A$11461,'Mês 1'!A56,Timesheet!$C$13:$C$11461,'Mês 1'!$B$40)</f>
        <v>0</v>
      </c>
      <c r="C56" s="6">
        <f>SUMIFS(Timesheet!$F$13:$F$11461,Timesheet!$A$13:$A$11461,'Mês 1'!A56,Timesheet!$C$13:$C$11461,'Mês 1'!$C$40)</f>
        <v>0</v>
      </c>
      <c r="D56" s="6">
        <f>SUMIFS(Timesheet!$F$13:$F$11461,Timesheet!$A$13:$A$11461,'Mês 1'!A56,Timesheet!$C$13:$C$11461,'Mês 1'!$D$40)</f>
        <v>0</v>
      </c>
      <c r="E56" s="6">
        <f>SUMIFS(Timesheet!$F$13:$F$11461,Timesheet!$A$13:$A$11461,'Mês 1'!A56,Timesheet!$C$13:$C$11461,'Mês 1'!$E$40)</f>
        <v>0</v>
      </c>
      <c r="F56" s="6">
        <f>SUMIFS(Timesheet!$F$13:$F$11461,Timesheet!$A$13:$A$11461,'Mês 1'!A56,Timesheet!$C$13:$C$11461,'Mês 1'!$F$40)</f>
        <v>0</v>
      </c>
      <c r="G56" s="6">
        <f>SUMIFS(Timesheet!$F$13:$F$11461,Timesheet!$A$13:$A$11461,'Mês 1'!A56,Timesheet!$C$13:$C$11461,'Mês 1'!$G$40)</f>
        <v>0</v>
      </c>
      <c r="H56" s="6">
        <f>SUMIFS(Timesheet!$F$13:$F$11461,Timesheet!$A$13:$A$11461,'Mês 1'!A56,Timesheet!$C$13:$C$11461,'Mês 1'!$H$40)</f>
        <v>0</v>
      </c>
      <c r="I56" s="6">
        <f>SUMIFS(Timesheet!$F$13:$F$11461,Timesheet!$A$13:$A$11461,'Mês 1'!A56,Timesheet!$C$13:$C$11461,'Mês 1'!$I$40)</f>
        <v>0</v>
      </c>
      <c r="J56" s="6">
        <f>SUMIFS(Timesheet!$F$13:$F$11461,Timesheet!$A$13:$A$11461,'Mês 1'!A56,Timesheet!$C$13:$C$11461,'Mês 1'!$J$40)</f>
        <v>0</v>
      </c>
      <c r="K56" s="6">
        <f t="shared" si="4"/>
        <v>0</v>
      </c>
      <c r="L56" s="6">
        <f t="array" ref="L56">MIN(IF(Timesheet!$A$13:$A$11483='Mês 1'!A56,Timesheet!$D$13:$D$11483))</f>
        <v>0</v>
      </c>
      <c r="M56" s="6">
        <f t="array" ref="M56">MAX(IF(Timesheet!$A$13:$A$11483='Mês 1'!A56,Timesheet!$E$13:$E$11483))</f>
        <v>0</v>
      </c>
      <c r="O56" s="1">
        <v>45062</v>
      </c>
      <c r="P56" s="6">
        <f>SUMIFS(Timesheet!$F$13:$F$11461,Timesheet!$A$13:$A$11461,'Mês 1'!O56,Timesheet!$C$13:$C$11461,'Mês 1'!$P$40)</f>
        <v>0</v>
      </c>
      <c r="Q56" s="6">
        <f>SUMIFS(Timesheet!$F$13:$F$11461,Timesheet!$A$13:$A$11461,'Mês 1'!O56,Timesheet!$C$13:$C$11461,'Mês 1'!$Q$40)</f>
        <v>0</v>
      </c>
      <c r="R56" s="6">
        <f>SUMIFS(Timesheet!$F$13:$F$11461,Timesheet!$A$13:$A$11461,'Mês 1'!O56,Timesheet!$C$13:$C$11461,'Mês 1'!$R$40)</f>
        <v>0</v>
      </c>
      <c r="S56" s="6">
        <f>SUMIFS(Timesheet!$F$13:$F$11461,Timesheet!$A$13:$A$11461,'Mês 1'!O56,Timesheet!$C$13:$C$11461,'Mês 1'!$S$40)</f>
        <v>0</v>
      </c>
      <c r="T56" s="6">
        <f>SUMIFS(Timesheet!$F$13:$F$11461,Timesheet!$A$13:$A$11461,'Mês 1'!O56,Timesheet!$C$13:$C$11461,'Mês 1'!$T$40)</f>
        <v>0</v>
      </c>
      <c r="U56" s="6">
        <f>SUMIFS(Timesheet!$F$13:$F$11461,Timesheet!$A$13:$A$11461,'Mês 1'!O56,Timesheet!$C$13:$C$11461,'Mês 1'!$U$40)</f>
        <v>0</v>
      </c>
      <c r="V56" s="6">
        <f>SUMIFS(Timesheet!$F$13:$F$11461,Timesheet!$A$13:$A$11461,'Mês 1'!O56,Timesheet!$C$13:$C$11461,'Mês 1'!$V$40)</f>
        <v>0</v>
      </c>
      <c r="W56" s="6">
        <f>SUMIFS(Timesheet!$F$13:$F$11461,Timesheet!$A$13:$A$11461,'Mês 1'!O56,Timesheet!$C$13:$C$11461,'Mês 1'!$W$40)</f>
        <v>0</v>
      </c>
      <c r="X56" s="6">
        <f>SUMIFS(Timesheet!$F$13:$F$11461,Timesheet!$A$13:$A$11461,'Mês 1'!O56,Timesheet!$C$13:$C$11461,'Mês 1'!$X$40)</f>
        <v>0</v>
      </c>
      <c r="Y56" s="6">
        <f t="shared" si="5"/>
        <v>0</v>
      </c>
      <c r="Z56" s="6">
        <f t="array" ref="Z56">MIN(IF(Timesheet!$A$13:$A$11483='Mês 1'!O56,Timesheet!$D$13:$D$11483))</f>
        <v>0</v>
      </c>
      <c r="AA56" s="6">
        <f t="array" ref="AA56">MAX(IF(Timesheet!$A$13:$A$11483='Mês 1'!O56,Timesheet!$E$13:$E$11483))</f>
        <v>0</v>
      </c>
      <c r="AC56" s="1">
        <v>45123</v>
      </c>
      <c r="AD56" s="6">
        <f>SUMIFS(Timesheet!$F$13:$F$11461,Timesheet!$A$13:$A$11461,'Mês 1'!AC56,Timesheet!$C$13:$C$11461,'Mês 1'!$AD$40)</f>
        <v>0</v>
      </c>
      <c r="AE56" s="6">
        <f>SUMIFS(Timesheet!$F$13:$F$11461,Timesheet!$A$13:$A$11461,'Mês 1'!AC56,Timesheet!$C$13:$C$11461,'Mês 1'!$AE$40)</f>
        <v>0</v>
      </c>
      <c r="AF56" s="6">
        <f>SUMIFS(Timesheet!$F$13:$F$11461,Timesheet!$A$13:$A$11461,'Mês 1'!AC56,Timesheet!$C$13:$C$11461,'Mês 1'!$AF$40)</f>
        <v>0</v>
      </c>
      <c r="AG56" s="6">
        <f>SUMIFS(Timesheet!$F$13:$F$11461,Timesheet!$A$13:$A$11461,'Mês 1'!AC56,Timesheet!$C$13:$C$11461,'Mês 1'!$AG$40)</f>
        <v>0</v>
      </c>
      <c r="AH56" s="6">
        <f>SUMIFS(Timesheet!$F$13:$F$11461,Timesheet!$A$13:$A$11461,'Mês 1'!AC56,Timesheet!$C$13:$C$11461,'Mês 1'!$AH$40)</f>
        <v>0</v>
      </c>
      <c r="AI56" s="6">
        <f>SUMIFS(Timesheet!$F$13:$F$11461,Timesheet!$A$13:$A$11461,'Mês 1'!AC56,Timesheet!$C$13:$C$11461,'Mês 1'!$AI$40)</f>
        <v>0</v>
      </c>
      <c r="AJ56" s="6">
        <f>SUMIFS(Timesheet!$F$13:$F$11461,Timesheet!$A$13:$A$11461,'Mês 1'!AC56,Timesheet!$C$13:$C$11461,'Mês 1'!$AJ$40)</f>
        <v>0</v>
      </c>
      <c r="AK56" s="6">
        <f>SUMIFS(Timesheet!$F$13:$F$11461,Timesheet!$A$13:$A$11461,'Mês 1'!AC56,Timesheet!$C$13:$C$11461,'Mês 1'!$AK$40)</f>
        <v>0</v>
      </c>
      <c r="AL56" s="6">
        <f>SUMIFS(Timesheet!$F$13:$F$11461,Timesheet!$A$13:$A$11461,'Mês 1'!AC56,Timesheet!$C$13:$C$11461,'Mês 1'!$AL$40)</f>
        <v>0</v>
      </c>
      <c r="AM56" s="6">
        <f t="shared" si="6"/>
        <v>0</v>
      </c>
      <c r="AN56" s="6">
        <f t="array" ref="AN56">MIN(IF(Timesheet!$A$13:$A$11483='Mês 1'!AC56,Timesheet!$D$13:$D$11483))</f>
        <v>0</v>
      </c>
      <c r="AO56" s="6">
        <f t="array" ref="AO56">MAX(IF(Timesheet!$A$13:$A$11483='Mês 1'!AC56,Timesheet!$E$13:$E$11483))</f>
        <v>0</v>
      </c>
      <c r="AQ56" s="1">
        <v>45185</v>
      </c>
      <c r="AR56" s="6">
        <f>SUMIFS(Timesheet!$F$13:$F$11461,Timesheet!$A$13:$A$11461,'Mês 1'!AQ56,Timesheet!$C$13:$C$11461,'Mês 1'!$AR$40)</f>
        <v>0</v>
      </c>
      <c r="AS56" s="6">
        <f>SUMIFS(Timesheet!$F$13:$F$11461,Timesheet!$A$13:$A$11461,'Mês 1'!AQ56,Timesheet!$C$13:$C$11461,'Mês 1'!$AS$40)</f>
        <v>0</v>
      </c>
      <c r="AT56" s="6">
        <f>SUMIFS(Timesheet!$F$13:$F$11461,Timesheet!$A$13:$A$11461,'Mês 1'!AQ56,Timesheet!$C$13:$C$11461,'Mês 1'!$AT$40)</f>
        <v>0</v>
      </c>
      <c r="AU56" s="6">
        <f>SUMIFS(Timesheet!$F$13:$F$11461,Timesheet!$A$13:$A$11461,'Mês 1'!AQ56,Timesheet!$C$13:$C$11461,'Mês 1'!$AU$40)</f>
        <v>0</v>
      </c>
      <c r="AV56" s="6">
        <f>SUMIFS(Timesheet!$F$13:$F$11461,Timesheet!$A$13:$A$11461,'Mês 1'!AQ56,Timesheet!$C$13:$C$11461,'Mês 1'!$AV$40)</f>
        <v>0</v>
      </c>
      <c r="AW56" s="6">
        <f>SUMIFS(Timesheet!$F$13:$F$11461,Timesheet!$A$13:$A$11461,'Mês 1'!AQ56,Timesheet!$C$13:$C$11461,'Mês 1'!$AW$40)</f>
        <v>0</v>
      </c>
      <c r="AX56" s="6">
        <f>SUMIFS(Timesheet!$F$13:$F$11461,Timesheet!$A$13:$A$11461,'Mês 1'!AQ56,Timesheet!$C$13:$C$11461,'Mês 1'!$AX$40)</f>
        <v>0</v>
      </c>
      <c r="AY56" s="6">
        <f>SUMIFS(Timesheet!$F$13:$F$11461,Timesheet!$A$13:$A$11461,'Mês 1'!AQ56,Timesheet!$C$13:$C$11461,'Mês 1'!$AY$40)</f>
        <v>0</v>
      </c>
      <c r="AZ56" s="6">
        <f>SUMIFS(Timesheet!$F$13:$F$11461,Timesheet!$A$13:$A$11461,'Mês 1'!AQ56,Timesheet!$C$13:$C$11461,'Mês 1'!$AZ$40)</f>
        <v>0</v>
      </c>
      <c r="BA56" s="6">
        <f t="shared" si="7"/>
        <v>0</v>
      </c>
      <c r="BB56" s="6">
        <f t="array" ref="BB56">MIN(IF(Timesheet!$A$13:$A$11483='Mês 1'!AQ56,Timesheet!$D$13:$D$11483))</f>
        <v>0</v>
      </c>
      <c r="BC56" s="6">
        <f t="array" ref="BC56">MAX(IF(Timesheet!$A$13:$A$11483='Mês 1'!AQ56,Timesheet!$E$13:$E$11483))</f>
        <v>0</v>
      </c>
      <c r="BE56" s="1">
        <v>45246</v>
      </c>
      <c r="BF56" s="6">
        <f>SUMIFS(Timesheet!$F$13:$F$11461,Timesheet!$A$13:$A$11461,'Mês 1'!BE56,Timesheet!$C$13:$C$11461,'Mês 1'!$BF$40)</f>
        <v>0</v>
      </c>
      <c r="BG56" s="6">
        <f>SUMIFS(Timesheet!$F$13:$F$11461,Timesheet!$A$13:$A$11461,'Mês 1'!BE56,Timesheet!$C$13:$C$11461,'Mês 1'!$BG$40)</f>
        <v>0</v>
      </c>
      <c r="BH56" s="6">
        <f>SUMIFS(Timesheet!$F$13:$F$11461,Timesheet!$A$13:$A$11461,'Mês 1'!BE56,Timesheet!$C$13:$C$11461,'Mês 1'!$BH$40)</f>
        <v>0</v>
      </c>
      <c r="BI56" s="6">
        <f>SUMIFS(Timesheet!$F$13:$F$11461,Timesheet!$A$13:$A$11461,'Mês 1'!BE56,Timesheet!$C$13:$C$11461,'Mês 1'!$BI$40)</f>
        <v>0</v>
      </c>
      <c r="BJ56" s="6">
        <f>SUMIFS(Timesheet!$F$13:$F$11461,Timesheet!$A$13:$A$11461,'Mês 1'!BE56,Timesheet!$C$13:$C$11461,'Mês 1'!$BJ$40)</f>
        <v>0</v>
      </c>
      <c r="BK56" s="6">
        <f>SUMIFS(Timesheet!$F$13:$F$11461,Timesheet!$A$13:$A$11461,'Mês 1'!BE56,Timesheet!$C$13:$C$11461,'Mês 1'!$BK$40)</f>
        <v>0</v>
      </c>
      <c r="BL56" s="6">
        <f>SUMIFS(Timesheet!$F$13:$F$11461,Timesheet!$A$13:$A$11461,'Mês 1'!BE56,Timesheet!$C$13:$C$11461,'Mês 1'!$BL$40)</f>
        <v>0</v>
      </c>
      <c r="BM56" s="6">
        <f>SUMIFS(Timesheet!$F$13:$F$11461,Timesheet!$A$13:$A$11461,'Mês 1'!BE56,Timesheet!$C$13:$C$11461,'Mês 1'!$BM$40)</f>
        <v>0</v>
      </c>
      <c r="BN56" s="6">
        <f>SUMIFS(Timesheet!$F$13:$F$11461,Timesheet!$A$13:$A$11461,'Mês 1'!BE56,Timesheet!$C$13:$C$11461,'Mês 1'!$BN$40)</f>
        <v>0</v>
      </c>
      <c r="BO56" s="6">
        <f t="shared" si="8"/>
        <v>0</v>
      </c>
      <c r="BP56" s="6">
        <f t="array" ref="BP56">MIN(IF(Timesheet!$A$13:$A$11483='Mês 1'!BE56,Timesheet!$D$13:$D$11483))</f>
        <v>0</v>
      </c>
      <c r="BQ56" s="6">
        <f t="array" ref="BQ56">MAX(IF(Timesheet!$A$13:$A$11483='Mês 1'!BE56,Timesheet!$E$13:$E$11483))</f>
        <v>0</v>
      </c>
    </row>
    <row r="57" spans="1:69" x14ac:dyDescent="0.25">
      <c r="A57" s="1">
        <v>45002</v>
      </c>
      <c r="B57" s="6">
        <f>SUMIFS(Timesheet!$F$13:$F$11461,Timesheet!$A$13:$A$11461,'Mês 1'!A57,Timesheet!$C$13:$C$11461,'Mês 1'!$B$40)</f>
        <v>0</v>
      </c>
      <c r="C57" s="6">
        <f>SUMIFS(Timesheet!$F$13:$F$11461,Timesheet!$A$13:$A$11461,'Mês 1'!A57,Timesheet!$C$13:$C$11461,'Mês 1'!$C$40)</f>
        <v>0</v>
      </c>
      <c r="D57" s="6">
        <f>SUMIFS(Timesheet!$F$13:$F$11461,Timesheet!$A$13:$A$11461,'Mês 1'!A57,Timesheet!$C$13:$C$11461,'Mês 1'!$D$40)</f>
        <v>0</v>
      </c>
      <c r="E57" s="6">
        <f>SUMIFS(Timesheet!$F$13:$F$11461,Timesheet!$A$13:$A$11461,'Mês 1'!A57,Timesheet!$C$13:$C$11461,'Mês 1'!$E$40)</f>
        <v>0</v>
      </c>
      <c r="F57" s="6">
        <f>SUMIFS(Timesheet!$F$13:$F$11461,Timesheet!$A$13:$A$11461,'Mês 1'!A57,Timesheet!$C$13:$C$11461,'Mês 1'!$F$40)</f>
        <v>0</v>
      </c>
      <c r="G57" s="6">
        <f>SUMIFS(Timesheet!$F$13:$F$11461,Timesheet!$A$13:$A$11461,'Mês 1'!A57,Timesheet!$C$13:$C$11461,'Mês 1'!$G$40)</f>
        <v>0</v>
      </c>
      <c r="H57" s="6">
        <f>SUMIFS(Timesheet!$F$13:$F$11461,Timesheet!$A$13:$A$11461,'Mês 1'!A57,Timesheet!$C$13:$C$11461,'Mês 1'!$H$40)</f>
        <v>0</v>
      </c>
      <c r="I57" s="6">
        <f>SUMIFS(Timesheet!$F$13:$F$11461,Timesheet!$A$13:$A$11461,'Mês 1'!A57,Timesheet!$C$13:$C$11461,'Mês 1'!$I$40)</f>
        <v>0</v>
      </c>
      <c r="J57" s="6">
        <f>SUMIFS(Timesheet!$F$13:$F$11461,Timesheet!$A$13:$A$11461,'Mês 1'!A57,Timesheet!$C$13:$C$11461,'Mês 1'!$J$40)</f>
        <v>0</v>
      </c>
      <c r="K57" s="6">
        <f t="shared" si="4"/>
        <v>0</v>
      </c>
      <c r="L57" s="6">
        <f t="array" ref="L57">MIN(IF(Timesheet!$A$13:$A$11483='Mês 1'!A57,Timesheet!$D$13:$D$11483))</f>
        <v>0</v>
      </c>
      <c r="M57" s="6">
        <f t="array" ref="M57">MAX(IF(Timesheet!$A$13:$A$11483='Mês 1'!A57,Timesheet!$E$13:$E$11483))</f>
        <v>0</v>
      </c>
      <c r="O57" s="1">
        <v>45063</v>
      </c>
      <c r="P57" s="6">
        <f>SUMIFS(Timesheet!$F$13:$F$11461,Timesheet!$A$13:$A$11461,'Mês 1'!O57,Timesheet!$C$13:$C$11461,'Mês 1'!$P$40)</f>
        <v>0</v>
      </c>
      <c r="Q57" s="6">
        <f>SUMIFS(Timesheet!$F$13:$F$11461,Timesheet!$A$13:$A$11461,'Mês 1'!O57,Timesheet!$C$13:$C$11461,'Mês 1'!$Q$40)</f>
        <v>0</v>
      </c>
      <c r="R57" s="6">
        <f>SUMIFS(Timesheet!$F$13:$F$11461,Timesheet!$A$13:$A$11461,'Mês 1'!O57,Timesheet!$C$13:$C$11461,'Mês 1'!$R$40)</f>
        <v>0</v>
      </c>
      <c r="S57" s="6">
        <f>SUMIFS(Timesheet!$F$13:$F$11461,Timesheet!$A$13:$A$11461,'Mês 1'!O57,Timesheet!$C$13:$C$11461,'Mês 1'!$S$40)</f>
        <v>0</v>
      </c>
      <c r="T57" s="6">
        <f>SUMIFS(Timesheet!$F$13:$F$11461,Timesheet!$A$13:$A$11461,'Mês 1'!O57,Timesheet!$C$13:$C$11461,'Mês 1'!$T$40)</f>
        <v>0</v>
      </c>
      <c r="U57" s="6">
        <f>SUMIFS(Timesheet!$F$13:$F$11461,Timesheet!$A$13:$A$11461,'Mês 1'!O57,Timesheet!$C$13:$C$11461,'Mês 1'!$U$40)</f>
        <v>0</v>
      </c>
      <c r="V57" s="6">
        <f>SUMIFS(Timesheet!$F$13:$F$11461,Timesheet!$A$13:$A$11461,'Mês 1'!O57,Timesheet!$C$13:$C$11461,'Mês 1'!$V$40)</f>
        <v>0</v>
      </c>
      <c r="W57" s="6">
        <f>SUMIFS(Timesheet!$F$13:$F$11461,Timesheet!$A$13:$A$11461,'Mês 1'!O57,Timesheet!$C$13:$C$11461,'Mês 1'!$W$40)</f>
        <v>0</v>
      </c>
      <c r="X57" s="6">
        <f>SUMIFS(Timesheet!$F$13:$F$11461,Timesheet!$A$13:$A$11461,'Mês 1'!O57,Timesheet!$C$13:$C$11461,'Mês 1'!$X$40)</f>
        <v>0</v>
      </c>
      <c r="Y57" s="6">
        <f t="shared" si="5"/>
        <v>0</v>
      </c>
      <c r="Z57" s="6">
        <f t="array" ref="Z57">MIN(IF(Timesheet!$A$13:$A$11483='Mês 1'!O57,Timesheet!$D$13:$D$11483))</f>
        <v>0</v>
      </c>
      <c r="AA57" s="6">
        <f t="array" ref="AA57">MAX(IF(Timesheet!$A$13:$A$11483='Mês 1'!O57,Timesheet!$E$13:$E$11483))</f>
        <v>0</v>
      </c>
      <c r="AC57" s="1">
        <v>45124</v>
      </c>
      <c r="AD57" s="6">
        <f>SUMIFS(Timesheet!$F$13:$F$11461,Timesheet!$A$13:$A$11461,'Mês 1'!AC57,Timesheet!$C$13:$C$11461,'Mês 1'!$AD$40)</f>
        <v>0</v>
      </c>
      <c r="AE57" s="6">
        <f>SUMIFS(Timesheet!$F$13:$F$11461,Timesheet!$A$13:$A$11461,'Mês 1'!AC57,Timesheet!$C$13:$C$11461,'Mês 1'!$AE$40)</f>
        <v>0</v>
      </c>
      <c r="AF57" s="6">
        <f>SUMIFS(Timesheet!$F$13:$F$11461,Timesheet!$A$13:$A$11461,'Mês 1'!AC57,Timesheet!$C$13:$C$11461,'Mês 1'!$AF$40)</f>
        <v>0</v>
      </c>
      <c r="AG57" s="6">
        <f>SUMIFS(Timesheet!$F$13:$F$11461,Timesheet!$A$13:$A$11461,'Mês 1'!AC57,Timesheet!$C$13:$C$11461,'Mês 1'!$AG$40)</f>
        <v>0</v>
      </c>
      <c r="AH57" s="6">
        <f>SUMIFS(Timesheet!$F$13:$F$11461,Timesheet!$A$13:$A$11461,'Mês 1'!AC57,Timesheet!$C$13:$C$11461,'Mês 1'!$AH$40)</f>
        <v>0</v>
      </c>
      <c r="AI57" s="6">
        <f>SUMIFS(Timesheet!$F$13:$F$11461,Timesheet!$A$13:$A$11461,'Mês 1'!AC57,Timesheet!$C$13:$C$11461,'Mês 1'!$AI$40)</f>
        <v>0</v>
      </c>
      <c r="AJ57" s="6">
        <f>SUMIFS(Timesheet!$F$13:$F$11461,Timesheet!$A$13:$A$11461,'Mês 1'!AC57,Timesheet!$C$13:$C$11461,'Mês 1'!$AJ$40)</f>
        <v>0</v>
      </c>
      <c r="AK57" s="6">
        <f>SUMIFS(Timesheet!$F$13:$F$11461,Timesheet!$A$13:$A$11461,'Mês 1'!AC57,Timesheet!$C$13:$C$11461,'Mês 1'!$AK$40)</f>
        <v>0</v>
      </c>
      <c r="AL57" s="6">
        <f>SUMIFS(Timesheet!$F$13:$F$11461,Timesheet!$A$13:$A$11461,'Mês 1'!AC57,Timesheet!$C$13:$C$11461,'Mês 1'!$AL$40)</f>
        <v>0</v>
      </c>
      <c r="AM57" s="6">
        <f t="shared" si="6"/>
        <v>0</v>
      </c>
      <c r="AN57" s="6">
        <f t="array" ref="AN57">MIN(IF(Timesheet!$A$13:$A$11483='Mês 1'!AC57,Timesheet!$D$13:$D$11483))</f>
        <v>0</v>
      </c>
      <c r="AO57" s="6">
        <f t="array" ref="AO57">MAX(IF(Timesheet!$A$13:$A$11483='Mês 1'!AC57,Timesheet!$E$13:$E$11483))</f>
        <v>0</v>
      </c>
      <c r="AQ57" s="1">
        <v>45186</v>
      </c>
      <c r="AR57" s="6">
        <f>SUMIFS(Timesheet!$F$13:$F$11461,Timesheet!$A$13:$A$11461,'Mês 1'!AQ57,Timesheet!$C$13:$C$11461,'Mês 1'!$AR$40)</f>
        <v>0</v>
      </c>
      <c r="AS57" s="6">
        <f>SUMIFS(Timesheet!$F$13:$F$11461,Timesheet!$A$13:$A$11461,'Mês 1'!AQ57,Timesheet!$C$13:$C$11461,'Mês 1'!$AS$40)</f>
        <v>0</v>
      </c>
      <c r="AT57" s="6">
        <f>SUMIFS(Timesheet!$F$13:$F$11461,Timesheet!$A$13:$A$11461,'Mês 1'!AQ57,Timesheet!$C$13:$C$11461,'Mês 1'!$AT$40)</f>
        <v>0</v>
      </c>
      <c r="AU57" s="6">
        <f>SUMIFS(Timesheet!$F$13:$F$11461,Timesheet!$A$13:$A$11461,'Mês 1'!AQ57,Timesheet!$C$13:$C$11461,'Mês 1'!$AU$40)</f>
        <v>0</v>
      </c>
      <c r="AV57" s="6">
        <f>SUMIFS(Timesheet!$F$13:$F$11461,Timesheet!$A$13:$A$11461,'Mês 1'!AQ57,Timesheet!$C$13:$C$11461,'Mês 1'!$AV$40)</f>
        <v>0</v>
      </c>
      <c r="AW57" s="6">
        <f>SUMIFS(Timesheet!$F$13:$F$11461,Timesheet!$A$13:$A$11461,'Mês 1'!AQ57,Timesheet!$C$13:$C$11461,'Mês 1'!$AW$40)</f>
        <v>0</v>
      </c>
      <c r="AX57" s="6">
        <f>SUMIFS(Timesheet!$F$13:$F$11461,Timesheet!$A$13:$A$11461,'Mês 1'!AQ57,Timesheet!$C$13:$C$11461,'Mês 1'!$AX$40)</f>
        <v>0</v>
      </c>
      <c r="AY57" s="6">
        <f>SUMIFS(Timesheet!$F$13:$F$11461,Timesheet!$A$13:$A$11461,'Mês 1'!AQ57,Timesheet!$C$13:$C$11461,'Mês 1'!$AY$40)</f>
        <v>0</v>
      </c>
      <c r="AZ57" s="6">
        <f>SUMIFS(Timesheet!$F$13:$F$11461,Timesheet!$A$13:$A$11461,'Mês 1'!AQ57,Timesheet!$C$13:$C$11461,'Mês 1'!$AZ$40)</f>
        <v>0</v>
      </c>
      <c r="BA57" s="6">
        <f t="shared" si="7"/>
        <v>0</v>
      </c>
      <c r="BB57" s="6">
        <f t="array" ref="BB57">MIN(IF(Timesheet!$A$13:$A$11483='Mês 1'!AQ57,Timesheet!$D$13:$D$11483))</f>
        <v>0</v>
      </c>
      <c r="BC57" s="6">
        <f t="array" ref="BC57">MAX(IF(Timesheet!$A$13:$A$11483='Mês 1'!AQ57,Timesheet!$E$13:$E$11483))</f>
        <v>0</v>
      </c>
      <c r="BE57" s="1">
        <v>45247</v>
      </c>
      <c r="BF57" s="6">
        <f>SUMIFS(Timesheet!$F$13:$F$11461,Timesheet!$A$13:$A$11461,'Mês 1'!BE57,Timesheet!$C$13:$C$11461,'Mês 1'!$BF$40)</f>
        <v>0</v>
      </c>
      <c r="BG57" s="6">
        <f>SUMIFS(Timesheet!$F$13:$F$11461,Timesheet!$A$13:$A$11461,'Mês 1'!BE57,Timesheet!$C$13:$C$11461,'Mês 1'!$BG$40)</f>
        <v>0</v>
      </c>
      <c r="BH57" s="6">
        <f>SUMIFS(Timesheet!$F$13:$F$11461,Timesheet!$A$13:$A$11461,'Mês 1'!BE57,Timesheet!$C$13:$C$11461,'Mês 1'!$BH$40)</f>
        <v>0</v>
      </c>
      <c r="BI57" s="6">
        <f>SUMIFS(Timesheet!$F$13:$F$11461,Timesheet!$A$13:$A$11461,'Mês 1'!BE57,Timesheet!$C$13:$C$11461,'Mês 1'!$BI$40)</f>
        <v>0</v>
      </c>
      <c r="BJ57" s="6">
        <f>SUMIFS(Timesheet!$F$13:$F$11461,Timesheet!$A$13:$A$11461,'Mês 1'!BE57,Timesheet!$C$13:$C$11461,'Mês 1'!$BJ$40)</f>
        <v>0</v>
      </c>
      <c r="BK57" s="6">
        <f>SUMIFS(Timesheet!$F$13:$F$11461,Timesheet!$A$13:$A$11461,'Mês 1'!BE57,Timesheet!$C$13:$C$11461,'Mês 1'!$BK$40)</f>
        <v>0</v>
      </c>
      <c r="BL57" s="6">
        <f>SUMIFS(Timesheet!$F$13:$F$11461,Timesheet!$A$13:$A$11461,'Mês 1'!BE57,Timesheet!$C$13:$C$11461,'Mês 1'!$BL$40)</f>
        <v>0</v>
      </c>
      <c r="BM57" s="6">
        <f>SUMIFS(Timesheet!$F$13:$F$11461,Timesheet!$A$13:$A$11461,'Mês 1'!BE57,Timesheet!$C$13:$C$11461,'Mês 1'!$BM$40)</f>
        <v>0</v>
      </c>
      <c r="BN57" s="6">
        <f>SUMIFS(Timesheet!$F$13:$F$11461,Timesheet!$A$13:$A$11461,'Mês 1'!BE57,Timesheet!$C$13:$C$11461,'Mês 1'!$BN$40)</f>
        <v>0</v>
      </c>
      <c r="BO57" s="6">
        <f t="shared" si="8"/>
        <v>0</v>
      </c>
      <c r="BP57" s="6">
        <f t="array" ref="BP57">MIN(IF(Timesheet!$A$13:$A$11483='Mês 1'!BE57,Timesheet!$D$13:$D$11483))</f>
        <v>0</v>
      </c>
      <c r="BQ57" s="6">
        <f t="array" ref="BQ57">MAX(IF(Timesheet!$A$13:$A$11483='Mês 1'!BE57,Timesheet!$E$13:$E$11483))</f>
        <v>0</v>
      </c>
    </row>
    <row r="58" spans="1:69" x14ac:dyDescent="0.25">
      <c r="A58" s="1">
        <v>45003</v>
      </c>
      <c r="B58" s="6">
        <f>SUMIFS(Timesheet!$F$13:$F$11461,Timesheet!$A$13:$A$11461,'Mês 1'!A58,Timesheet!$C$13:$C$11461,'Mês 1'!$B$40)</f>
        <v>0</v>
      </c>
      <c r="C58" s="6">
        <f>SUMIFS(Timesheet!$F$13:$F$11461,Timesheet!$A$13:$A$11461,'Mês 1'!A58,Timesheet!$C$13:$C$11461,'Mês 1'!$C$40)</f>
        <v>0</v>
      </c>
      <c r="D58" s="6">
        <f>SUMIFS(Timesheet!$F$13:$F$11461,Timesheet!$A$13:$A$11461,'Mês 1'!A58,Timesheet!$C$13:$C$11461,'Mês 1'!$D$40)</f>
        <v>0</v>
      </c>
      <c r="E58" s="6">
        <f>SUMIFS(Timesheet!$F$13:$F$11461,Timesheet!$A$13:$A$11461,'Mês 1'!A58,Timesheet!$C$13:$C$11461,'Mês 1'!$E$40)</f>
        <v>0</v>
      </c>
      <c r="F58" s="6">
        <f>SUMIFS(Timesheet!$F$13:$F$11461,Timesheet!$A$13:$A$11461,'Mês 1'!A58,Timesheet!$C$13:$C$11461,'Mês 1'!$F$40)</f>
        <v>0</v>
      </c>
      <c r="G58" s="6">
        <f>SUMIFS(Timesheet!$F$13:$F$11461,Timesheet!$A$13:$A$11461,'Mês 1'!A58,Timesheet!$C$13:$C$11461,'Mês 1'!$G$40)</f>
        <v>0</v>
      </c>
      <c r="H58" s="6">
        <f>SUMIFS(Timesheet!$F$13:$F$11461,Timesheet!$A$13:$A$11461,'Mês 1'!A58,Timesheet!$C$13:$C$11461,'Mês 1'!$H$40)</f>
        <v>0</v>
      </c>
      <c r="I58" s="6">
        <f>SUMIFS(Timesheet!$F$13:$F$11461,Timesheet!$A$13:$A$11461,'Mês 1'!A58,Timesheet!$C$13:$C$11461,'Mês 1'!$I$40)</f>
        <v>0</v>
      </c>
      <c r="J58" s="6">
        <f>SUMIFS(Timesheet!$F$13:$F$11461,Timesheet!$A$13:$A$11461,'Mês 1'!A58,Timesheet!$C$13:$C$11461,'Mês 1'!$J$40)</f>
        <v>0</v>
      </c>
      <c r="K58" s="6">
        <f t="shared" si="4"/>
        <v>0</v>
      </c>
      <c r="L58" s="6">
        <f t="array" ref="L58">MIN(IF(Timesheet!$A$13:$A$11483='Mês 1'!A58,Timesheet!$D$13:$D$11483))</f>
        <v>0</v>
      </c>
      <c r="M58" s="6">
        <f t="array" ref="M58">MAX(IF(Timesheet!$A$13:$A$11483='Mês 1'!A58,Timesheet!$E$13:$E$11483))</f>
        <v>0</v>
      </c>
      <c r="O58" s="1">
        <v>45064</v>
      </c>
      <c r="P58" s="6">
        <f>SUMIFS(Timesheet!$F$13:$F$11461,Timesheet!$A$13:$A$11461,'Mês 1'!O58,Timesheet!$C$13:$C$11461,'Mês 1'!$P$40)</f>
        <v>0</v>
      </c>
      <c r="Q58" s="6">
        <f>SUMIFS(Timesheet!$F$13:$F$11461,Timesheet!$A$13:$A$11461,'Mês 1'!O58,Timesheet!$C$13:$C$11461,'Mês 1'!$Q$40)</f>
        <v>0</v>
      </c>
      <c r="R58" s="6">
        <f>SUMIFS(Timesheet!$F$13:$F$11461,Timesheet!$A$13:$A$11461,'Mês 1'!O58,Timesheet!$C$13:$C$11461,'Mês 1'!$R$40)</f>
        <v>0</v>
      </c>
      <c r="S58" s="6">
        <f>SUMIFS(Timesheet!$F$13:$F$11461,Timesheet!$A$13:$A$11461,'Mês 1'!O58,Timesheet!$C$13:$C$11461,'Mês 1'!$S$40)</f>
        <v>0</v>
      </c>
      <c r="T58" s="6">
        <f>SUMIFS(Timesheet!$F$13:$F$11461,Timesheet!$A$13:$A$11461,'Mês 1'!O58,Timesheet!$C$13:$C$11461,'Mês 1'!$T$40)</f>
        <v>0</v>
      </c>
      <c r="U58" s="6">
        <f>SUMIFS(Timesheet!$F$13:$F$11461,Timesheet!$A$13:$A$11461,'Mês 1'!O58,Timesheet!$C$13:$C$11461,'Mês 1'!$U$40)</f>
        <v>0</v>
      </c>
      <c r="V58" s="6">
        <f>SUMIFS(Timesheet!$F$13:$F$11461,Timesheet!$A$13:$A$11461,'Mês 1'!O58,Timesheet!$C$13:$C$11461,'Mês 1'!$V$40)</f>
        <v>0</v>
      </c>
      <c r="W58" s="6">
        <f>SUMIFS(Timesheet!$F$13:$F$11461,Timesheet!$A$13:$A$11461,'Mês 1'!O58,Timesheet!$C$13:$C$11461,'Mês 1'!$W$40)</f>
        <v>0</v>
      </c>
      <c r="X58" s="6">
        <f>SUMIFS(Timesheet!$F$13:$F$11461,Timesheet!$A$13:$A$11461,'Mês 1'!O58,Timesheet!$C$13:$C$11461,'Mês 1'!$X$40)</f>
        <v>0</v>
      </c>
      <c r="Y58" s="6">
        <f t="shared" si="5"/>
        <v>0</v>
      </c>
      <c r="Z58" s="6">
        <f t="array" ref="Z58">MIN(IF(Timesheet!$A$13:$A$11483='Mês 1'!O58,Timesheet!$D$13:$D$11483))</f>
        <v>0</v>
      </c>
      <c r="AA58" s="6">
        <f t="array" ref="AA58">MAX(IF(Timesheet!$A$13:$A$11483='Mês 1'!O58,Timesheet!$E$13:$E$11483))</f>
        <v>0</v>
      </c>
      <c r="AC58" s="1">
        <v>45125</v>
      </c>
      <c r="AD58" s="6">
        <f>SUMIFS(Timesheet!$F$13:$F$11461,Timesheet!$A$13:$A$11461,'Mês 1'!AC58,Timesheet!$C$13:$C$11461,'Mês 1'!$AD$40)</f>
        <v>0</v>
      </c>
      <c r="AE58" s="6">
        <f>SUMIFS(Timesheet!$F$13:$F$11461,Timesheet!$A$13:$A$11461,'Mês 1'!AC58,Timesheet!$C$13:$C$11461,'Mês 1'!$AE$40)</f>
        <v>0</v>
      </c>
      <c r="AF58" s="6">
        <f>SUMIFS(Timesheet!$F$13:$F$11461,Timesheet!$A$13:$A$11461,'Mês 1'!AC58,Timesheet!$C$13:$C$11461,'Mês 1'!$AF$40)</f>
        <v>0</v>
      </c>
      <c r="AG58" s="6">
        <f>SUMIFS(Timesheet!$F$13:$F$11461,Timesheet!$A$13:$A$11461,'Mês 1'!AC58,Timesheet!$C$13:$C$11461,'Mês 1'!$AG$40)</f>
        <v>0</v>
      </c>
      <c r="AH58" s="6">
        <f>SUMIFS(Timesheet!$F$13:$F$11461,Timesheet!$A$13:$A$11461,'Mês 1'!AC58,Timesheet!$C$13:$C$11461,'Mês 1'!$AH$40)</f>
        <v>0</v>
      </c>
      <c r="AI58" s="6">
        <f>SUMIFS(Timesheet!$F$13:$F$11461,Timesheet!$A$13:$A$11461,'Mês 1'!AC58,Timesheet!$C$13:$C$11461,'Mês 1'!$AI$40)</f>
        <v>0</v>
      </c>
      <c r="AJ58" s="6">
        <f>SUMIFS(Timesheet!$F$13:$F$11461,Timesheet!$A$13:$A$11461,'Mês 1'!AC58,Timesheet!$C$13:$C$11461,'Mês 1'!$AJ$40)</f>
        <v>0</v>
      </c>
      <c r="AK58" s="6">
        <f>SUMIFS(Timesheet!$F$13:$F$11461,Timesheet!$A$13:$A$11461,'Mês 1'!AC58,Timesheet!$C$13:$C$11461,'Mês 1'!$AK$40)</f>
        <v>0</v>
      </c>
      <c r="AL58" s="6">
        <f>SUMIFS(Timesheet!$F$13:$F$11461,Timesheet!$A$13:$A$11461,'Mês 1'!AC58,Timesheet!$C$13:$C$11461,'Mês 1'!$AL$40)</f>
        <v>0</v>
      </c>
      <c r="AM58" s="6">
        <f t="shared" si="6"/>
        <v>0</v>
      </c>
      <c r="AN58" s="6">
        <f t="array" ref="AN58">MIN(IF(Timesheet!$A$13:$A$11483='Mês 1'!AC58,Timesheet!$D$13:$D$11483))</f>
        <v>0</v>
      </c>
      <c r="AO58" s="6">
        <f t="array" ref="AO58">MAX(IF(Timesheet!$A$13:$A$11483='Mês 1'!AC58,Timesheet!$E$13:$E$11483))</f>
        <v>0</v>
      </c>
      <c r="AQ58" s="1">
        <v>45187</v>
      </c>
      <c r="AR58" s="6">
        <f>SUMIFS(Timesheet!$F$13:$F$11461,Timesheet!$A$13:$A$11461,'Mês 1'!AQ58,Timesheet!$C$13:$C$11461,'Mês 1'!$AR$40)</f>
        <v>0</v>
      </c>
      <c r="AS58" s="6">
        <f>SUMIFS(Timesheet!$F$13:$F$11461,Timesheet!$A$13:$A$11461,'Mês 1'!AQ58,Timesheet!$C$13:$C$11461,'Mês 1'!$AS$40)</f>
        <v>0</v>
      </c>
      <c r="AT58" s="6">
        <f>SUMIFS(Timesheet!$F$13:$F$11461,Timesheet!$A$13:$A$11461,'Mês 1'!AQ58,Timesheet!$C$13:$C$11461,'Mês 1'!$AT$40)</f>
        <v>0</v>
      </c>
      <c r="AU58" s="6">
        <f>SUMIFS(Timesheet!$F$13:$F$11461,Timesheet!$A$13:$A$11461,'Mês 1'!AQ58,Timesheet!$C$13:$C$11461,'Mês 1'!$AU$40)</f>
        <v>0</v>
      </c>
      <c r="AV58" s="6">
        <f>SUMIFS(Timesheet!$F$13:$F$11461,Timesheet!$A$13:$A$11461,'Mês 1'!AQ58,Timesheet!$C$13:$C$11461,'Mês 1'!$AV$40)</f>
        <v>0</v>
      </c>
      <c r="AW58" s="6">
        <f>SUMIFS(Timesheet!$F$13:$F$11461,Timesheet!$A$13:$A$11461,'Mês 1'!AQ58,Timesheet!$C$13:$C$11461,'Mês 1'!$AW$40)</f>
        <v>0</v>
      </c>
      <c r="AX58" s="6">
        <f>SUMIFS(Timesheet!$F$13:$F$11461,Timesheet!$A$13:$A$11461,'Mês 1'!AQ58,Timesheet!$C$13:$C$11461,'Mês 1'!$AX$40)</f>
        <v>0</v>
      </c>
      <c r="AY58" s="6">
        <f>SUMIFS(Timesheet!$F$13:$F$11461,Timesheet!$A$13:$A$11461,'Mês 1'!AQ58,Timesheet!$C$13:$C$11461,'Mês 1'!$AY$40)</f>
        <v>0</v>
      </c>
      <c r="AZ58" s="6">
        <f>SUMIFS(Timesheet!$F$13:$F$11461,Timesheet!$A$13:$A$11461,'Mês 1'!AQ58,Timesheet!$C$13:$C$11461,'Mês 1'!$AZ$40)</f>
        <v>0</v>
      </c>
      <c r="BA58" s="6">
        <f t="shared" si="7"/>
        <v>0</v>
      </c>
      <c r="BB58" s="6">
        <f t="array" ref="BB58">MIN(IF(Timesheet!$A$13:$A$11483='Mês 1'!AQ58,Timesheet!$D$13:$D$11483))</f>
        <v>0</v>
      </c>
      <c r="BC58" s="6">
        <f t="array" ref="BC58">MAX(IF(Timesheet!$A$13:$A$11483='Mês 1'!AQ58,Timesheet!$E$13:$E$11483))</f>
        <v>0</v>
      </c>
      <c r="BE58" s="1">
        <v>45248</v>
      </c>
      <c r="BF58" s="6">
        <f>SUMIFS(Timesheet!$F$13:$F$11461,Timesheet!$A$13:$A$11461,'Mês 1'!BE58,Timesheet!$C$13:$C$11461,'Mês 1'!$BF$40)</f>
        <v>0</v>
      </c>
      <c r="BG58" s="6">
        <f>SUMIFS(Timesheet!$F$13:$F$11461,Timesheet!$A$13:$A$11461,'Mês 1'!BE58,Timesheet!$C$13:$C$11461,'Mês 1'!$BG$40)</f>
        <v>0</v>
      </c>
      <c r="BH58" s="6">
        <f>SUMIFS(Timesheet!$F$13:$F$11461,Timesheet!$A$13:$A$11461,'Mês 1'!BE58,Timesheet!$C$13:$C$11461,'Mês 1'!$BH$40)</f>
        <v>0</v>
      </c>
      <c r="BI58" s="6">
        <f>SUMIFS(Timesheet!$F$13:$F$11461,Timesheet!$A$13:$A$11461,'Mês 1'!BE58,Timesheet!$C$13:$C$11461,'Mês 1'!$BI$40)</f>
        <v>0</v>
      </c>
      <c r="BJ58" s="6">
        <f>SUMIFS(Timesheet!$F$13:$F$11461,Timesheet!$A$13:$A$11461,'Mês 1'!BE58,Timesheet!$C$13:$C$11461,'Mês 1'!$BJ$40)</f>
        <v>0</v>
      </c>
      <c r="BK58" s="6">
        <f>SUMIFS(Timesheet!$F$13:$F$11461,Timesheet!$A$13:$A$11461,'Mês 1'!BE58,Timesheet!$C$13:$C$11461,'Mês 1'!$BK$40)</f>
        <v>0</v>
      </c>
      <c r="BL58" s="6">
        <f>SUMIFS(Timesheet!$F$13:$F$11461,Timesheet!$A$13:$A$11461,'Mês 1'!BE58,Timesheet!$C$13:$C$11461,'Mês 1'!$BL$40)</f>
        <v>0</v>
      </c>
      <c r="BM58" s="6">
        <f>SUMIFS(Timesheet!$F$13:$F$11461,Timesheet!$A$13:$A$11461,'Mês 1'!BE58,Timesheet!$C$13:$C$11461,'Mês 1'!$BM$40)</f>
        <v>0</v>
      </c>
      <c r="BN58" s="6">
        <f>SUMIFS(Timesheet!$F$13:$F$11461,Timesheet!$A$13:$A$11461,'Mês 1'!BE58,Timesheet!$C$13:$C$11461,'Mês 1'!$BN$40)</f>
        <v>0</v>
      </c>
      <c r="BO58" s="6">
        <f t="shared" si="8"/>
        <v>0</v>
      </c>
      <c r="BP58" s="6">
        <f t="array" ref="BP58">MIN(IF(Timesheet!$A$13:$A$11483='Mês 1'!BE58,Timesheet!$D$13:$D$11483))</f>
        <v>0</v>
      </c>
      <c r="BQ58" s="6">
        <f t="array" ref="BQ58">MAX(IF(Timesheet!$A$13:$A$11483='Mês 1'!BE58,Timesheet!$E$13:$E$11483))</f>
        <v>0</v>
      </c>
    </row>
    <row r="59" spans="1:69" x14ac:dyDescent="0.25">
      <c r="A59" s="1">
        <v>45004</v>
      </c>
      <c r="B59" s="6">
        <f>SUMIFS(Timesheet!$F$13:$F$11461,Timesheet!$A$13:$A$11461,'Mês 1'!A59,Timesheet!$C$13:$C$11461,'Mês 1'!$B$40)</f>
        <v>0</v>
      </c>
      <c r="C59" s="6">
        <f>SUMIFS(Timesheet!$F$13:$F$11461,Timesheet!$A$13:$A$11461,'Mês 1'!A59,Timesheet!$C$13:$C$11461,'Mês 1'!$C$40)</f>
        <v>0</v>
      </c>
      <c r="D59" s="6">
        <f>SUMIFS(Timesheet!$F$13:$F$11461,Timesheet!$A$13:$A$11461,'Mês 1'!A59,Timesheet!$C$13:$C$11461,'Mês 1'!$D$40)</f>
        <v>0</v>
      </c>
      <c r="E59" s="6">
        <f>SUMIFS(Timesheet!$F$13:$F$11461,Timesheet!$A$13:$A$11461,'Mês 1'!A59,Timesheet!$C$13:$C$11461,'Mês 1'!$E$40)</f>
        <v>0</v>
      </c>
      <c r="F59" s="6">
        <f>SUMIFS(Timesheet!$F$13:$F$11461,Timesheet!$A$13:$A$11461,'Mês 1'!A59,Timesheet!$C$13:$C$11461,'Mês 1'!$F$40)</f>
        <v>0</v>
      </c>
      <c r="G59" s="6">
        <f>SUMIFS(Timesheet!$F$13:$F$11461,Timesheet!$A$13:$A$11461,'Mês 1'!A59,Timesheet!$C$13:$C$11461,'Mês 1'!$G$40)</f>
        <v>0</v>
      </c>
      <c r="H59" s="6">
        <f>SUMIFS(Timesheet!$F$13:$F$11461,Timesheet!$A$13:$A$11461,'Mês 1'!A59,Timesheet!$C$13:$C$11461,'Mês 1'!$H$40)</f>
        <v>0</v>
      </c>
      <c r="I59" s="6">
        <f>SUMIFS(Timesheet!$F$13:$F$11461,Timesheet!$A$13:$A$11461,'Mês 1'!A59,Timesheet!$C$13:$C$11461,'Mês 1'!$I$40)</f>
        <v>0</v>
      </c>
      <c r="J59" s="6">
        <f>SUMIFS(Timesheet!$F$13:$F$11461,Timesheet!$A$13:$A$11461,'Mês 1'!A59,Timesheet!$C$13:$C$11461,'Mês 1'!$J$40)</f>
        <v>0</v>
      </c>
      <c r="K59" s="6">
        <f t="shared" si="4"/>
        <v>0</v>
      </c>
      <c r="L59" s="6">
        <f t="array" ref="L59">MIN(IF(Timesheet!$A$13:$A$11483='Mês 1'!A59,Timesheet!$D$13:$D$11483))</f>
        <v>0</v>
      </c>
      <c r="M59" s="6">
        <f t="array" ref="M59">MAX(IF(Timesheet!$A$13:$A$11483='Mês 1'!A59,Timesheet!$E$13:$E$11483))</f>
        <v>0</v>
      </c>
      <c r="O59" s="1">
        <v>45065</v>
      </c>
      <c r="P59" s="6">
        <f>SUMIFS(Timesheet!$F$13:$F$11461,Timesheet!$A$13:$A$11461,'Mês 1'!O59,Timesheet!$C$13:$C$11461,'Mês 1'!$P$40)</f>
        <v>0</v>
      </c>
      <c r="Q59" s="6">
        <f>SUMIFS(Timesheet!$F$13:$F$11461,Timesheet!$A$13:$A$11461,'Mês 1'!O59,Timesheet!$C$13:$C$11461,'Mês 1'!$Q$40)</f>
        <v>0</v>
      </c>
      <c r="R59" s="6">
        <f>SUMIFS(Timesheet!$F$13:$F$11461,Timesheet!$A$13:$A$11461,'Mês 1'!O59,Timesheet!$C$13:$C$11461,'Mês 1'!$R$40)</f>
        <v>0</v>
      </c>
      <c r="S59" s="6">
        <f>SUMIFS(Timesheet!$F$13:$F$11461,Timesheet!$A$13:$A$11461,'Mês 1'!O59,Timesheet!$C$13:$C$11461,'Mês 1'!$S$40)</f>
        <v>0</v>
      </c>
      <c r="T59" s="6">
        <f>SUMIFS(Timesheet!$F$13:$F$11461,Timesheet!$A$13:$A$11461,'Mês 1'!O59,Timesheet!$C$13:$C$11461,'Mês 1'!$T$40)</f>
        <v>0</v>
      </c>
      <c r="U59" s="6">
        <f>SUMIFS(Timesheet!$F$13:$F$11461,Timesheet!$A$13:$A$11461,'Mês 1'!O59,Timesheet!$C$13:$C$11461,'Mês 1'!$U$40)</f>
        <v>0</v>
      </c>
      <c r="V59" s="6">
        <f>SUMIFS(Timesheet!$F$13:$F$11461,Timesheet!$A$13:$A$11461,'Mês 1'!O59,Timesheet!$C$13:$C$11461,'Mês 1'!$V$40)</f>
        <v>0</v>
      </c>
      <c r="W59" s="6">
        <f>SUMIFS(Timesheet!$F$13:$F$11461,Timesheet!$A$13:$A$11461,'Mês 1'!O59,Timesheet!$C$13:$C$11461,'Mês 1'!$W$40)</f>
        <v>0</v>
      </c>
      <c r="X59" s="6">
        <f>SUMIFS(Timesheet!$F$13:$F$11461,Timesheet!$A$13:$A$11461,'Mês 1'!O59,Timesheet!$C$13:$C$11461,'Mês 1'!$X$40)</f>
        <v>0</v>
      </c>
      <c r="Y59" s="6">
        <f t="shared" si="5"/>
        <v>0</v>
      </c>
      <c r="Z59" s="6">
        <f t="array" ref="Z59">MIN(IF(Timesheet!$A$13:$A$11483='Mês 1'!O59,Timesheet!$D$13:$D$11483))</f>
        <v>0</v>
      </c>
      <c r="AA59" s="6">
        <f t="array" ref="AA59">MAX(IF(Timesheet!$A$13:$A$11483='Mês 1'!O59,Timesheet!$E$13:$E$11483))</f>
        <v>0</v>
      </c>
      <c r="AC59" s="1">
        <v>45126</v>
      </c>
      <c r="AD59" s="6">
        <f>SUMIFS(Timesheet!$F$13:$F$11461,Timesheet!$A$13:$A$11461,'Mês 1'!AC59,Timesheet!$C$13:$C$11461,'Mês 1'!$AD$40)</f>
        <v>0</v>
      </c>
      <c r="AE59" s="6">
        <f>SUMIFS(Timesheet!$F$13:$F$11461,Timesheet!$A$13:$A$11461,'Mês 1'!AC59,Timesheet!$C$13:$C$11461,'Mês 1'!$AE$40)</f>
        <v>0</v>
      </c>
      <c r="AF59" s="6">
        <f>SUMIFS(Timesheet!$F$13:$F$11461,Timesheet!$A$13:$A$11461,'Mês 1'!AC59,Timesheet!$C$13:$C$11461,'Mês 1'!$AF$40)</f>
        <v>0</v>
      </c>
      <c r="AG59" s="6">
        <f>SUMIFS(Timesheet!$F$13:$F$11461,Timesheet!$A$13:$A$11461,'Mês 1'!AC59,Timesheet!$C$13:$C$11461,'Mês 1'!$AG$40)</f>
        <v>0</v>
      </c>
      <c r="AH59" s="6">
        <f>SUMIFS(Timesheet!$F$13:$F$11461,Timesheet!$A$13:$A$11461,'Mês 1'!AC59,Timesheet!$C$13:$C$11461,'Mês 1'!$AH$40)</f>
        <v>0</v>
      </c>
      <c r="AI59" s="6">
        <f>SUMIFS(Timesheet!$F$13:$F$11461,Timesheet!$A$13:$A$11461,'Mês 1'!AC59,Timesheet!$C$13:$C$11461,'Mês 1'!$AI$40)</f>
        <v>0</v>
      </c>
      <c r="AJ59" s="6">
        <f>SUMIFS(Timesheet!$F$13:$F$11461,Timesheet!$A$13:$A$11461,'Mês 1'!AC59,Timesheet!$C$13:$C$11461,'Mês 1'!$AJ$40)</f>
        <v>0</v>
      </c>
      <c r="AK59" s="6">
        <f>SUMIFS(Timesheet!$F$13:$F$11461,Timesheet!$A$13:$A$11461,'Mês 1'!AC59,Timesheet!$C$13:$C$11461,'Mês 1'!$AK$40)</f>
        <v>0</v>
      </c>
      <c r="AL59" s="6">
        <f>SUMIFS(Timesheet!$F$13:$F$11461,Timesheet!$A$13:$A$11461,'Mês 1'!AC59,Timesheet!$C$13:$C$11461,'Mês 1'!$AL$40)</f>
        <v>0</v>
      </c>
      <c r="AM59" s="6">
        <f t="shared" si="6"/>
        <v>0</v>
      </c>
      <c r="AN59" s="6">
        <f t="array" ref="AN59">MIN(IF(Timesheet!$A$13:$A$11483='Mês 1'!AC59,Timesheet!$D$13:$D$11483))</f>
        <v>0</v>
      </c>
      <c r="AO59" s="6">
        <f t="array" ref="AO59">MAX(IF(Timesheet!$A$13:$A$11483='Mês 1'!AC59,Timesheet!$E$13:$E$11483))</f>
        <v>0</v>
      </c>
      <c r="AQ59" s="1">
        <v>45188</v>
      </c>
      <c r="AR59" s="6">
        <f>SUMIFS(Timesheet!$F$13:$F$11461,Timesheet!$A$13:$A$11461,'Mês 1'!AQ59,Timesheet!$C$13:$C$11461,'Mês 1'!$AR$40)</f>
        <v>0</v>
      </c>
      <c r="AS59" s="6">
        <f>SUMIFS(Timesheet!$F$13:$F$11461,Timesheet!$A$13:$A$11461,'Mês 1'!AQ59,Timesheet!$C$13:$C$11461,'Mês 1'!$AS$40)</f>
        <v>0</v>
      </c>
      <c r="AT59" s="6">
        <f>SUMIFS(Timesheet!$F$13:$F$11461,Timesheet!$A$13:$A$11461,'Mês 1'!AQ59,Timesheet!$C$13:$C$11461,'Mês 1'!$AT$40)</f>
        <v>0</v>
      </c>
      <c r="AU59" s="6">
        <f>SUMIFS(Timesheet!$F$13:$F$11461,Timesheet!$A$13:$A$11461,'Mês 1'!AQ59,Timesheet!$C$13:$C$11461,'Mês 1'!$AU$40)</f>
        <v>0</v>
      </c>
      <c r="AV59" s="6">
        <f>SUMIFS(Timesheet!$F$13:$F$11461,Timesheet!$A$13:$A$11461,'Mês 1'!AQ59,Timesheet!$C$13:$C$11461,'Mês 1'!$AV$40)</f>
        <v>0</v>
      </c>
      <c r="AW59" s="6">
        <f>SUMIFS(Timesheet!$F$13:$F$11461,Timesheet!$A$13:$A$11461,'Mês 1'!AQ59,Timesheet!$C$13:$C$11461,'Mês 1'!$AW$40)</f>
        <v>0</v>
      </c>
      <c r="AX59" s="6">
        <f>SUMIFS(Timesheet!$F$13:$F$11461,Timesheet!$A$13:$A$11461,'Mês 1'!AQ59,Timesheet!$C$13:$C$11461,'Mês 1'!$AX$40)</f>
        <v>0</v>
      </c>
      <c r="AY59" s="6">
        <f>SUMIFS(Timesheet!$F$13:$F$11461,Timesheet!$A$13:$A$11461,'Mês 1'!AQ59,Timesheet!$C$13:$C$11461,'Mês 1'!$AY$40)</f>
        <v>0</v>
      </c>
      <c r="AZ59" s="6">
        <f>SUMIFS(Timesheet!$F$13:$F$11461,Timesheet!$A$13:$A$11461,'Mês 1'!AQ59,Timesheet!$C$13:$C$11461,'Mês 1'!$AZ$40)</f>
        <v>0</v>
      </c>
      <c r="BA59" s="6">
        <f t="shared" si="7"/>
        <v>0</v>
      </c>
      <c r="BB59" s="6">
        <f t="array" ref="BB59">MIN(IF(Timesheet!$A$13:$A$11483='Mês 1'!AQ59,Timesheet!$D$13:$D$11483))</f>
        <v>0</v>
      </c>
      <c r="BC59" s="6">
        <f t="array" ref="BC59">MAX(IF(Timesheet!$A$13:$A$11483='Mês 1'!AQ59,Timesheet!$E$13:$E$11483))</f>
        <v>0</v>
      </c>
      <c r="BE59" s="1">
        <v>45249</v>
      </c>
      <c r="BF59" s="6">
        <f>SUMIFS(Timesheet!$F$13:$F$11461,Timesheet!$A$13:$A$11461,'Mês 1'!BE59,Timesheet!$C$13:$C$11461,'Mês 1'!$BF$40)</f>
        <v>0</v>
      </c>
      <c r="BG59" s="6">
        <f>SUMIFS(Timesheet!$F$13:$F$11461,Timesheet!$A$13:$A$11461,'Mês 1'!BE59,Timesheet!$C$13:$C$11461,'Mês 1'!$BG$40)</f>
        <v>0</v>
      </c>
      <c r="BH59" s="6">
        <f>SUMIFS(Timesheet!$F$13:$F$11461,Timesheet!$A$13:$A$11461,'Mês 1'!BE59,Timesheet!$C$13:$C$11461,'Mês 1'!$BH$40)</f>
        <v>0</v>
      </c>
      <c r="BI59" s="6">
        <f>SUMIFS(Timesheet!$F$13:$F$11461,Timesheet!$A$13:$A$11461,'Mês 1'!BE59,Timesheet!$C$13:$C$11461,'Mês 1'!$BI$40)</f>
        <v>0</v>
      </c>
      <c r="BJ59" s="6">
        <f>SUMIFS(Timesheet!$F$13:$F$11461,Timesheet!$A$13:$A$11461,'Mês 1'!BE59,Timesheet!$C$13:$C$11461,'Mês 1'!$BJ$40)</f>
        <v>0</v>
      </c>
      <c r="BK59" s="6">
        <f>SUMIFS(Timesheet!$F$13:$F$11461,Timesheet!$A$13:$A$11461,'Mês 1'!BE59,Timesheet!$C$13:$C$11461,'Mês 1'!$BK$40)</f>
        <v>0</v>
      </c>
      <c r="BL59" s="6">
        <f>SUMIFS(Timesheet!$F$13:$F$11461,Timesheet!$A$13:$A$11461,'Mês 1'!BE59,Timesheet!$C$13:$C$11461,'Mês 1'!$BL$40)</f>
        <v>0</v>
      </c>
      <c r="BM59" s="6">
        <f>SUMIFS(Timesheet!$F$13:$F$11461,Timesheet!$A$13:$A$11461,'Mês 1'!BE59,Timesheet!$C$13:$C$11461,'Mês 1'!$BM$40)</f>
        <v>0</v>
      </c>
      <c r="BN59" s="6">
        <f>SUMIFS(Timesheet!$F$13:$F$11461,Timesheet!$A$13:$A$11461,'Mês 1'!BE59,Timesheet!$C$13:$C$11461,'Mês 1'!$BN$40)</f>
        <v>0</v>
      </c>
      <c r="BO59" s="6">
        <f t="shared" si="8"/>
        <v>0</v>
      </c>
      <c r="BP59" s="6">
        <f t="array" ref="BP59">MIN(IF(Timesheet!$A$13:$A$11483='Mês 1'!BE59,Timesheet!$D$13:$D$11483))</f>
        <v>0</v>
      </c>
      <c r="BQ59" s="6">
        <f t="array" ref="BQ59">MAX(IF(Timesheet!$A$13:$A$11483='Mês 1'!BE59,Timesheet!$E$13:$E$11483))</f>
        <v>0</v>
      </c>
    </row>
    <row r="60" spans="1:69" x14ac:dyDescent="0.25">
      <c r="A60" s="1">
        <v>45005</v>
      </c>
      <c r="B60" s="6">
        <f>SUMIFS(Timesheet!$F$13:$F$11461,Timesheet!$A$13:$A$11461,'Mês 1'!A60,Timesheet!$C$13:$C$11461,'Mês 1'!$B$40)</f>
        <v>0</v>
      </c>
      <c r="C60" s="6">
        <f>SUMIFS(Timesheet!$F$13:$F$11461,Timesheet!$A$13:$A$11461,'Mês 1'!A60,Timesheet!$C$13:$C$11461,'Mês 1'!$C$40)</f>
        <v>0</v>
      </c>
      <c r="D60" s="6">
        <f>SUMIFS(Timesheet!$F$13:$F$11461,Timesheet!$A$13:$A$11461,'Mês 1'!A60,Timesheet!$C$13:$C$11461,'Mês 1'!$D$40)</f>
        <v>0</v>
      </c>
      <c r="E60" s="6">
        <f>SUMIFS(Timesheet!$F$13:$F$11461,Timesheet!$A$13:$A$11461,'Mês 1'!A60,Timesheet!$C$13:$C$11461,'Mês 1'!$E$40)</f>
        <v>0</v>
      </c>
      <c r="F60" s="6">
        <f>SUMIFS(Timesheet!$F$13:$F$11461,Timesheet!$A$13:$A$11461,'Mês 1'!A60,Timesheet!$C$13:$C$11461,'Mês 1'!$F$40)</f>
        <v>0</v>
      </c>
      <c r="G60" s="6">
        <f>SUMIFS(Timesheet!$F$13:$F$11461,Timesheet!$A$13:$A$11461,'Mês 1'!A60,Timesheet!$C$13:$C$11461,'Mês 1'!$G$40)</f>
        <v>0</v>
      </c>
      <c r="H60" s="6">
        <f>SUMIFS(Timesheet!$F$13:$F$11461,Timesheet!$A$13:$A$11461,'Mês 1'!A60,Timesheet!$C$13:$C$11461,'Mês 1'!$H$40)</f>
        <v>0</v>
      </c>
      <c r="I60" s="6">
        <f>SUMIFS(Timesheet!$F$13:$F$11461,Timesheet!$A$13:$A$11461,'Mês 1'!A60,Timesheet!$C$13:$C$11461,'Mês 1'!$I$40)</f>
        <v>0</v>
      </c>
      <c r="J60" s="6">
        <f>SUMIFS(Timesheet!$F$13:$F$11461,Timesheet!$A$13:$A$11461,'Mês 1'!A60,Timesheet!$C$13:$C$11461,'Mês 1'!$J$40)</f>
        <v>0</v>
      </c>
      <c r="K60" s="6">
        <f t="shared" si="4"/>
        <v>0</v>
      </c>
      <c r="L60" s="6">
        <f t="array" ref="L60">MIN(IF(Timesheet!$A$13:$A$11483='Mês 1'!A60,Timesheet!$D$13:$D$11483))</f>
        <v>0</v>
      </c>
      <c r="M60" s="6">
        <f t="array" ref="M60">MAX(IF(Timesheet!$A$13:$A$11483='Mês 1'!A60,Timesheet!$E$13:$E$11483))</f>
        <v>0</v>
      </c>
      <c r="O60" s="1">
        <v>45066</v>
      </c>
      <c r="P60" s="6">
        <f>SUMIFS(Timesheet!$F$13:$F$11461,Timesheet!$A$13:$A$11461,'Mês 1'!O60,Timesheet!$C$13:$C$11461,'Mês 1'!$P$40)</f>
        <v>0</v>
      </c>
      <c r="Q60" s="6">
        <f>SUMIFS(Timesheet!$F$13:$F$11461,Timesheet!$A$13:$A$11461,'Mês 1'!O60,Timesheet!$C$13:$C$11461,'Mês 1'!$Q$40)</f>
        <v>0</v>
      </c>
      <c r="R60" s="6">
        <f>SUMIFS(Timesheet!$F$13:$F$11461,Timesheet!$A$13:$A$11461,'Mês 1'!O60,Timesheet!$C$13:$C$11461,'Mês 1'!$R$40)</f>
        <v>0</v>
      </c>
      <c r="S60" s="6">
        <f>SUMIFS(Timesheet!$F$13:$F$11461,Timesheet!$A$13:$A$11461,'Mês 1'!O60,Timesheet!$C$13:$C$11461,'Mês 1'!$S$40)</f>
        <v>0</v>
      </c>
      <c r="T60" s="6">
        <f>SUMIFS(Timesheet!$F$13:$F$11461,Timesheet!$A$13:$A$11461,'Mês 1'!O60,Timesheet!$C$13:$C$11461,'Mês 1'!$T$40)</f>
        <v>0</v>
      </c>
      <c r="U60" s="6">
        <f>SUMIFS(Timesheet!$F$13:$F$11461,Timesheet!$A$13:$A$11461,'Mês 1'!O60,Timesheet!$C$13:$C$11461,'Mês 1'!$U$40)</f>
        <v>0</v>
      </c>
      <c r="V60" s="6">
        <f>SUMIFS(Timesheet!$F$13:$F$11461,Timesheet!$A$13:$A$11461,'Mês 1'!O60,Timesheet!$C$13:$C$11461,'Mês 1'!$V$40)</f>
        <v>0</v>
      </c>
      <c r="W60" s="6">
        <f>SUMIFS(Timesheet!$F$13:$F$11461,Timesheet!$A$13:$A$11461,'Mês 1'!O60,Timesheet!$C$13:$C$11461,'Mês 1'!$W$40)</f>
        <v>0</v>
      </c>
      <c r="X60" s="6">
        <f>SUMIFS(Timesheet!$F$13:$F$11461,Timesheet!$A$13:$A$11461,'Mês 1'!O60,Timesheet!$C$13:$C$11461,'Mês 1'!$X$40)</f>
        <v>0</v>
      </c>
      <c r="Y60" s="6">
        <f t="shared" si="5"/>
        <v>0</v>
      </c>
      <c r="Z60" s="6">
        <f t="array" ref="Z60">MIN(IF(Timesheet!$A$13:$A$11483='Mês 1'!O60,Timesheet!$D$13:$D$11483))</f>
        <v>0</v>
      </c>
      <c r="AA60" s="6">
        <f t="array" ref="AA60">MAX(IF(Timesheet!$A$13:$A$11483='Mês 1'!O60,Timesheet!$E$13:$E$11483))</f>
        <v>0</v>
      </c>
      <c r="AC60" s="1">
        <v>45127</v>
      </c>
      <c r="AD60" s="6">
        <f>SUMIFS(Timesheet!$F$13:$F$11461,Timesheet!$A$13:$A$11461,'Mês 1'!AC60,Timesheet!$C$13:$C$11461,'Mês 1'!$AD$40)</f>
        <v>0</v>
      </c>
      <c r="AE60" s="6">
        <f>SUMIFS(Timesheet!$F$13:$F$11461,Timesheet!$A$13:$A$11461,'Mês 1'!AC60,Timesheet!$C$13:$C$11461,'Mês 1'!$AE$40)</f>
        <v>0</v>
      </c>
      <c r="AF60" s="6">
        <f>SUMIFS(Timesheet!$F$13:$F$11461,Timesheet!$A$13:$A$11461,'Mês 1'!AC60,Timesheet!$C$13:$C$11461,'Mês 1'!$AF$40)</f>
        <v>0</v>
      </c>
      <c r="AG60" s="6">
        <f>SUMIFS(Timesheet!$F$13:$F$11461,Timesheet!$A$13:$A$11461,'Mês 1'!AC60,Timesheet!$C$13:$C$11461,'Mês 1'!$AG$40)</f>
        <v>0</v>
      </c>
      <c r="AH60" s="6">
        <f>SUMIFS(Timesheet!$F$13:$F$11461,Timesheet!$A$13:$A$11461,'Mês 1'!AC60,Timesheet!$C$13:$C$11461,'Mês 1'!$AH$40)</f>
        <v>0</v>
      </c>
      <c r="AI60" s="6">
        <f>SUMIFS(Timesheet!$F$13:$F$11461,Timesheet!$A$13:$A$11461,'Mês 1'!AC60,Timesheet!$C$13:$C$11461,'Mês 1'!$AI$40)</f>
        <v>0</v>
      </c>
      <c r="AJ60" s="6">
        <f>SUMIFS(Timesheet!$F$13:$F$11461,Timesheet!$A$13:$A$11461,'Mês 1'!AC60,Timesheet!$C$13:$C$11461,'Mês 1'!$AJ$40)</f>
        <v>0</v>
      </c>
      <c r="AK60" s="6">
        <f>SUMIFS(Timesheet!$F$13:$F$11461,Timesheet!$A$13:$A$11461,'Mês 1'!AC60,Timesheet!$C$13:$C$11461,'Mês 1'!$AK$40)</f>
        <v>0</v>
      </c>
      <c r="AL60" s="6">
        <f>SUMIFS(Timesheet!$F$13:$F$11461,Timesheet!$A$13:$A$11461,'Mês 1'!AC60,Timesheet!$C$13:$C$11461,'Mês 1'!$AL$40)</f>
        <v>0</v>
      </c>
      <c r="AM60" s="6">
        <f t="shared" si="6"/>
        <v>0</v>
      </c>
      <c r="AN60" s="6">
        <f t="array" ref="AN60">MIN(IF(Timesheet!$A$13:$A$11483='Mês 1'!AC60,Timesheet!$D$13:$D$11483))</f>
        <v>0</v>
      </c>
      <c r="AO60" s="6">
        <f t="array" ref="AO60">MAX(IF(Timesheet!$A$13:$A$11483='Mês 1'!AC60,Timesheet!$E$13:$E$11483))</f>
        <v>0</v>
      </c>
      <c r="AQ60" s="1">
        <v>45189</v>
      </c>
      <c r="AR60" s="6">
        <f>SUMIFS(Timesheet!$F$13:$F$11461,Timesheet!$A$13:$A$11461,'Mês 1'!AQ60,Timesheet!$C$13:$C$11461,'Mês 1'!$AR$40)</f>
        <v>0</v>
      </c>
      <c r="AS60" s="6">
        <f>SUMIFS(Timesheet!$F$13:$F$11461,Timesheet!$A$13:$A$11461,'Mês 1'!AQ60,Timesheet!$C$13:$C$11461,'Mês 1'!$AS$40)</f>
        <v>0</v>
      </c>
      <c r="AT60" s="6">
        <f>SUMIFS(Timesheet!$F$13:$F$11461,Timesheet!$A$13:$A$11461,'Mês 1'!AQ60,Timesheet!$C$13:$C$11461,'Mês 1'!$AT$40)</f>
        <v>0</v>
      </c>
      <c r="AU60" s="6">
        <f>SUMIFS(Timesheet!$F$13:$F$11461,Timesheet!$A$13:$A$11461,'Mês 1'!AQ60,Timesheet!$C$13:$C$11461,'Mês 1'!$AU$40)</f>
        <v>0</v>
      </c>
      <c r="AV60" s="6">
        <f>SUMIFS(Timesheet!$F$13:$F$11461,Timesheet!$A$13:$A$11461,'Mês 1'!AQ60,Timesheet!$C$13:$C$11461,'Mês 1'!$AV$40)</f>
        <v>0</v>
      </c>
      <c r="AW60" s="6">
        <f>SUMIFS(Timesheet!$F$13:$F$11461,Timesheet!$A$13:$A$11461,'Mês 1'!AQ60,Timesheet!$C$13:$C$11461,'Mês 1'!$AW$40)</f>
        <v>0</v>
      </c>
      <c r="AX60" s="6">
        <f>SUMIFS(Timesheet!$F$13:$F$11461,Timesheet!$A$13:$A$11461,'Mês 1'!AQ60,Timesheet!$C$13:$C$11461,'Mês 1'!$AX$40)</f>
        <v>0</v>
      </c>
      <c r="AY60" s="6">
        <f>SUMIFS(Timesheet!$F$13:$F$11461,Timesheet!$A$13:$A$11461,'Mês 1'!AQ60,Timesheet!$C$13:$C$11461,'Mês 1'!$AY$40)</f>
        <v>0</v>
      </c>
      <c r="AZ60" s="6">
        <f>SUMIFS(Timesheet!$F$13:$F$11461,Timesheet!$A$13:$A$11461,'Mês 1'!AQ60,Timesheet!$C$13:$C$11461,'Mês 1'!$AZ$40)</f>
        <v>0</v>
      </c>
      <c r="BA60" s="6">
        <f t="shared" si="7"/>
        <v>0</v>
      </c>
      <c r="BB60" s="6">
        <f t="array" ref="BB60">MIN(IF(Timesheet!$A$13:$A$11483='Mês 1'!AQ60,Timesheet!$D$13:$D$11483))</f>
        <v>0</v>
      </c>
      <c r="BC60" s="6">
        <f t="array" ref="BC60">MAX(IF(Timesheet!$A$13:$A$11483='Mês 1'!AQ60,Timesheet!$E$13:$E$11483))</f>
        <v>0</v>
      </c>
      <c r="BE60" s="1">
        <v>45250</v>
      </c>
      <c r="BF60" s="6">
        <f>SUMIFS(Timesheet!$F$13:$F$11461,Timesheet!$A$13:$A$11461,'Mês 1'!BE60,Timesheet!$C$13:$C$11461,'Mês 1'!$BF$40)</f>
        <v>0</v>
      </c>
      <c r="BG60" s="6">
        <f>SUMIFS(Timesheet!$F$13:$F$11461,Timesheet!$A$13:$A$11461,'Mês 1'!BE60,Timesheet!$C$13:$C$11461,'Mês 1'!$BG$40)</f>
        <v>0</v>
      </c>
      <c r="BH60" s="6">
        <f>SUMIFS(Timesheet!$F$13:$F$11461,Timesheet!$A$13:$A$11461,'Mês 1'!BE60,Timesheet!$C$13:$C$11461,'Mês 1'!$BH$40)</f>
        <v>0</v>
      </c>
      <c r="BI60" s="6">
        <f>SUMIFS(Timesheet!$F$13:$F$11461,Timesheet!$A$13:$A$11461,'Mês 1'!BE60,Timesheet!$C$13:$C$11461,'Mês 1'!$BI$40)</f>
        <v>0</v>
      </c>
      <c r="BJ60" s="6">
        <f>SUMIFS(Timesheet!$F$13:$F$11461,Timesheet!$A$13:$A$11461,'Mês 1'!BE60,Timesheet!$C$13:$C$11461,'Mês 1'!$BJ$40)</f>
        <v>0</v>
      </c>
      <c r="BK60" s="6">
        <f>SUMIFS(Timesheet!$F$13:$F$11461,Timesheet!$A$13:$A$11461,'Mês 1'!BE60,Timesheet!$C$13:$C$11461,'Mês 1'!$BK$40)</f>
        <v>0</v>
      </c>
      <c r="BL60" s="6">
        <f>SUMIFS(Timesheet!$F$13:$F$11461,Timesheet!$A$13:$A$11461,'Mês 1'!BE60,Timesheet!$C$13:$C$11461,'Mês 1'!$BL$40)</f>
        <v>0</v>
      </c>
      <c r="BM60" s="6">
        <f>SUMIFS(Timesheet!$F$13:$F$11461,Timesheet!$A$13:$A$11461,'Mês 1'!BE60,Timesheet!$C$13:$C$11461,'Mês 1'!$BM$40)</f>
        <v>0</v>
      </c>
      <c r="BN60" s="6">
        <f>SUMIFS(Timesheet!$F$13:$F$11461,Timesheet!$A$13:$A$11461,'Mês 1'!BE60,Timesheet!$C$13:$C$11461,'Mês 1'!$BN$40)</f>
        <v>0</v>
      </c>
      <c r="BO60" s="6">
        <f t="shared" si="8"/>
        <v>0</v>
      </c>
      <c r="BP60" s="6">
        <f t="array" ref="BP60">MIN(IF(Timesheet!$A$13:$A$11483='Mês 1'!BE60,Timesheet!$D$13:$D$11483))</f>
        <v>0</v>
      </c>
      <c r="BQ60" s="6">
        <f t="array" ref="BQ60">MAX(IF(Timesheet!$A$13:$A$11483='Mês 1'!BE60,Timesheet!$E$13:$E$11483))</f>
        <v>0</v>
      </c>
    </row>
    <row r="61" spans="1:69" x14ac:dyDescent="0.25">
      <c r="A61" s="1">
        <v>45006</v>
      </c>
      <c r="B61" s="6">
        <f>SUMIFS(Timesheet!$F$13:$F$11461,Timesheet!$A$13:$A$11461,'Mês 1'!A61,Timesheet!$C$13:$C$11461,'Mês 1'!$B$40)</f>
        <v>0</v>
      </c>
      <c r="C61" s="6">
        <f>SUMIFS(Timesheet!$F$13:$F$11461,Timesheet!$A$13:$A$11461,'Mês 1'!A61,Timesheet!$C$13:$C$11461,'Mês 1'!$C$40)</f>
        <v>0</v>
      </c>
      <c r="D61" s="6">
        <f>SUMIFS(Timesheet!$F$13:$F$11461,Timesheet!$A$13:$A$11461,'Mês 1'!A61,Timesheet!$C$13:$C$11461,'Mês 1'!$D$40)</f>
        <v>0</v>
      </c>
      <c r="E61" s="6">
        <f>SUMIFS(Timesheet!$F$13:$F$11461,Timesheet!$A$13:$A$11461,'Mês 1'!A61,Timesheet!$C$13:$C$11461,'Mês 1'!$E$40)</f>
        <v>0</v>
      </c>
      <c r="F61" s="6">
        <f>SUMIFS(Timesheet!$F$13:$F$11461,Timesheet!$A$13:$A$11461,'Mês 1'!A61,Timesheet!$C$13:$C$11461,'Mês 1'!$F$40)</f>
        <v>0</v>
      </c>
      <c r="G61" s="6">
        <f>SUMIFS(Timesheet!$F$13:$F$11461,Timesheet!$A$13:$A$11461,'Mês 1'!A61,Timesheet!$C$13:$C$11461,'Mês 1'!$G$40)</f>
        <v>0</v>
      </c>
      <c r="H61" s="6">
        <f>SUMIFS(Timesheet!$F$13:$F$11461,Timesheet!$A$13:$A$11461,'Mês 1'!A61,Timesheet!$C$13:$C$11461,'Mês 1'!$H$40)</f>
        <v>0</v>
      </c>
      <c r="I61" s="6">
        <f>SUMIFS(Timesheet!$F$13:$F$11461,Timesheet!$A$13:$A$11461,'Mês 1'!A61,Timesheet!$C$13:$C$11461,'Mês 1'!$I$40)</f>
        <v>0</v>
      </c>
      <c r="J61" s="6">
        <f>SUMIFS(Timesheet!$F$13:$F$11461,Timesheet!$A$13:$A$11461,'Mês 1'!A61,Timesheet!$C$13:$C$11461,'Mês 1'!$J$40)</f>
        <v>0</v>
      </c>
      <c r="K61" s="6">
        <f t="shared" si="4"/>
        <v>0</v>
      </c>
      <c r="L61" s="6">
        <f t="array" ref="L61">MIN(IF(Timesheet!$A$13:$A$11483='Mês 1'!A61,Timesheet!$D$13:$D$11483))</f>
        <v>0</v>
      </c>
      <c r="M61" s="6">
        <f t="array" ref="M61">MAX(IF(Timesheet!$A$13:$A$11483='Mês 1'!A61,Timesheet!$E$13:$E$11483))</f>
        <v>0</v>
      </c>
      <c r="O61" s="1">
        <v>45067</v>
      </c>
      <c r="P61" s="6">
        <f>SUMIFS(Timesheet!$F$13:$F$11461,Timesheet!$A$13:$A$11461,'Mês 1'!O61,Timesheet!$C$13:$C$11461,'Mês 1'!$P$40)</f>
        <v>0</v>
      </c>
      <c r="Q61" s="6">
        <f>SUMIFS(Timesheet!$F$13:$F$11461,Timesheet!$A$13:$A$11461,'Mês 1'!O61,Timesheet!$C$13:$C$11461,'Mês 1'!$Q$40)</f>
        <v>0</v>
      </c>
      <c r="R61" s="6">
        <f>SUMIFS(Timesheet!$F$13:$F$11461,Timesheet!$A$13:$A$11461,'Mês 1'!O61,Timesheet!$C$13:$C$11461,'Mês 1'!$R$40)</f>
        <v>0</v>
      </c>
      <c r="S61" s="6">
        <f>SUMIFS(Timesheet!$F$13:$F$11461,Timesheet!$A$13:$A$11461,'Mês 1'!O61,Timesheet!$C$13:$C$11461,'Mês 1'!$S$40)</f>
        <v>0</v>
      </c>
      <c r="T61" s="6">
        <f>SUMIFS(Timesheet!$F$13:$F$11461,Timesheet!$A$13:$A$11461,'Mês 1'!O61,Timesheet!$C$13:$C$11461,'Mês 1'!$T$40)</f>
        <v>0</v>
      </c>
      <c r="U61" s="6">
        <f>SUMIFS(Timesheet!$F$13:$F$11461,Timesheet!$A$13:$A$11461,'Mês 1'!O61,Timesheet!$C$13:$C$11461,'Mês 1'!$U$40)</f>
        <v>0</v>
      </c>
      <c r="V61" s="6">
        <f>SUMIFS(Timesheet!$F$13:$F$11461,Timesheet!$A$13:$A$11461,'Mês 1'!O61,Timesheet!$C$13:$C$11461,'Mês 1'!$V$40)</f>
        <v>0</v>
      </c>
      <c r="W61" s="6">
        <f>SUMIFS(Timesheet!$F$13:$F$11461,Timesheet!$A$13:$A$11461,'Mês 1'!O61,Timesheet!$C$13:$C$11461,'Mês 1'!$W$40)</f>
        <v>0</v>
      </c>
      <c r="X61" s="6">
        <f>SUMIFS(Timesheet!$F$13:$F$11461,Timesheet!$A$13:$A$11461,'Mês 1'!O61,Timesheet!$C$13:$C$11461,'Mês 1'!$X$40)</f>
        <v>0</v>
      </c>
      <c r="Y61" s="6">
        <f t="shared" si="5"/>
        <v>0</v>
      </c>
      <c r="Z61" s="6">
        <f t="array" ref="Z61">MIN(IF(Timesheet!$A$13:$A$11483='Mês 1'!O61,Timesheet!$D$13:$D$11483))</f>
        <v>0</v>
      </c>
      <c r="AA61" s="6">
        <f t="array" ref="AA61">MAX(IF(Timesheet!$A$13:$A$11483='Mês 1'!O61,Timesheet!$E$13:$E$11483))</f>
        <v>0</v>
      </c>
      <c r="AC61" s="1">
        <v>45128</v>
      </c>
      <c r="AD61" s="6">
        <f>SUMIFS(Timesheet!$F$13:$F$11461,Timesheet!$A$13:$A$11461,'Mês 1'!AC61,Timesheet!$C$13:$C$11461,'Mês 1'!$AD$40)</f>
        <v>0</v>
      </c>
      <c r="AE61" s="6">
        <f>SUMIFS(Timesheet!$F$13:$F$11461,Timesheet!$A$13:$A$11461,'Mês 1'!AC61,Timesheet!$C$13:$C$11461,'Mês 1'!$AE$40)</f>
        <v>0</v>
      </c>
      <c r="AF61" s="6">
        <f>SUMIFS(Timesheet!$F$13:$F$11461,Timesheet!$A$13:$A$11461,'Mês 1'!AC61,Timesheet!$C$13:$C$11461,'Mês 1'!$AF$40)</f>
        <v>0</v>
      </c>
      <c r="AG61" s="6">
        <f>SUMIFS(Timesheet!$F$13:$F$11461,Timesheet!$A$13:$A$11461,'Mês 1'!AC61,Timesheet!$C$13:$C$11461,'Mês 1'!$AG$40)</f>
        <v>0</v>
      </c>
      <c r="AH61" s="6">
        <f>SUMIFS(Timesheet!$F$13:$F$11461,Timesheet!$A$13:$A$11461,'Mês 1'!AC61,Timesheet!$C$13:$C$11461,'Mês 1'!$AH$40)</f>
        <v>0</v>
      </c>
      <c r="AI61" s="6">
        <f>SUMIFS(Timesheet!$F$13:$F$11461,Timesheet!$A$13:$A$11461,'Mês 1'!AC61,Timesheet!$C$13:$C$11461,'Mês 1'!$AI$40)</f>
        <v>0</v>
      </c>
      <c r="AJ61" s="6">
        <f>SUMIFS(Timesheet!$F$13:$F$11461,Timesheet!$A$13:$A$11461,'Mês 1'!AC61,Timesheet!$C$13:$C$11461,'Mês 1'!$AJ$40)</f>
        <v>0</v>
      </c>
      <c r="AK61" s="6">
        <f>SUMIFS(Timesheet!$F$13:$F$11461,Timesheet!$A$13:$A$11461,'Mês 1'!AC61,Timesheet!$C$13:$C$11461,'Mês 1'!$AK$40)</f>
        <v>0</v>
      </c>
      <c r="AL61" s="6">
        <f>SUMIFS(Timesheet!$F$13:$F$11461,Timesheet!$A$13:$A$11461,'Mês 1'!AC61,Timesheet!$C$13:$C$11461,'Mês 1'!$AL$40)</f>
        <v>0</v>
      </c>
      <c r="AM61" s="6">
        <f t="shared" si="6"/>
        <v>0</v>
      </c>
      <c r="AN61" s="6">
        <f t="array" ref="AN61">MIN(IF(Timesheet!$A$13:$A$11483='Mês 1'!AC61,Timesheet!$D$13:$D$11483))</f>
        <v>0</v>
      </c>
      <c r="AO61" s="6">
        <f t="array" ref="AO61">MAX(IF(Timesheet!$A$13:$A$11483='Mês 1'!AC61,Timesheet!$E$13:$E$11483))</f>
        <v>0</v>
      </c>
      <c r="AQ61" s="1">
        <v>45190</v>
      </c>
      <c r="AR61" s="6">
        <f>SUMIFS(Timesheet!$F$13:$F$11461,Timesheet!$A$13:$A$11461,'Mês 1'!AQ61,Timesheet!$C$13:$C$11461,'Mês 1'!$AR$40)</f>
        <v>0</v>
      </c>
      <c r="AS61" s="6">
        <f>SUMIFS(Timesheet!$F$13:$F$11461,Timesheet!$A$13:$A$11461,'Mês 1'!AQ61,Timesheet!$C$13:$C$11461,'Mês 1'!$AS$40)</f>
        <v>0</v>
      </c>
      <c r="AT61" s="6">
        <f>SUMIFS(Timesheet!$F$13:$F$11461,Timesheet!$A$13:$A$11461,'Mês 1'!AQ61,Timesheet!$C$13:$C$11461,'Mês 1'!$AT$40)</f>
        <v>0</v>
      </c>
      <c r="AU61" s="6">
        <f>SUMIFS(Timesheet!$F$13:$F$11461,Timesheet!$A$13:$A$11461,'Mês 1'!AQ61,Timesheet!$C$13:$C$11461,'Mês 1'!$AU$40)</f>
        <v>0</v>
      </c>
      <c r="AV61" s="6">
        <f>SUMIFS(Timesheet!$F$13:$F$11461,Timesheet!$A$13:$A$11461,'Mês 1'!AQ61,Timesheet!$C$13:$C$11461,'Mês 1'!$AV$40)</f>
        <v>0</v>
      </c>
      <c r="AW61" s="6">
        <f>SUMIFS(Timesheet!$F$13:$F$11461,Timesheet!$A$13:$A$11461,'Mês 1'!AQ61,Timesheet!$C$13:$C$11461,'Mês 1'!$AW$40)</f>
        <v>0</v>
      </c>
      <c r="AX61" s="6">
        <f>SUMIFS(Timesheet!$F$13:$F$11461,Timesheet!$A$13:$A$11461,'Mês 1'!AQ61,Timesheet!$C$13:$C$11461,'Mês 1'!$AX$40)</f>
        <v>0</v>
      </c>
      <c r="AY61" s="6">
        <f>SUMIFS(Timesheet!$F$13:$F$11461,Timesheet!$A$13:$A$11461,'Mês 1'!AQ61,Timesheet!$C$13:$C$11461,'Mês 1'!$AY$40)</f>
        <v>0</v>
      </c>
      <c r="AZ61" s="6">
        <f>SUMIFS(Timesheet!$F$13:$F$11461,Timesheet!$A$13:$A$11461,'Mês 1'!AQ61,Timesheet!$C$13:$C$11461,'Mês 1'!$AZ$40)</f>
        <v>0</v>
      </c>
      <c r="BA61" s="6">
        <f t="shared" si="7"/>
        <v>0</v>
      </c>
      <c r="BB61" s="6">
        <f t="array" ref="BB61">MIN(IF(Timesheet!$A$13:$A$11483='Mês 1'!AQ61,Timesheet!$D$13:$D$11483))</f>
        <v>0</v>
      </c>
      <c r="BC61" s="6">
        <f t="array" ref="BC61">MAX(IF(Timesheet!$A$13:$A$11483='Mês 1'!AQ61,Timesheet!$E$13:$E$11483))</f>
        <v>0</v>
      </c>
      <c r="BE61" s="1">
        <v>45251</v>
      </c>
      <c r="BF61" s="6">
        <f>SUMIFS(Timesheet!$F$13:$F$11461,Timesheet!$A$13:$A$11461,'Mês 1'!BE61,Timesheet!$C$13:$C$11461,'Mês 1'!$BF$40)</f>
        <v>0</v>
      </c>
      <c r="BG61" s="6">
        <f>SUMIFS(Timesheet!$F$13:$F$11461,Timesheet!$A$13:$A$11461,'Mês 1'!BE61,Timesheet!$C$13:$C$11461,'Mês 1'!$BG$40)</f>
        <v>0</v>
      </c>
      <c r="BH61" s="6">
        <f>SUMIFS(Timesheet!$F$13:$F$11461,Timesheet!$A$13:$A$11461,'Mês 1'!BE61,Timesheet!$C$13:$C$11461,'Mês 1'!$BH$40)</f>
        <v>0</v>
      </c>
      <c r="BI61" s="6">
        <f>SUMIFS(Timesheet!$F$13:$F$11461,Timesheet!$A$13:$A$11461,'Mês 1'!BE61,Timesheet!$C$13:$C$11461,'Mês 1'!$BI$40)</f>
        <v>0</v>
      </c>
      <c r="BJ61" s="6">
        <f>SUMIFS(Timesheet!$F$13:$F$11461,Timesheet!$A$13:$A$11461,'Mês 1'!BE61,Timesheet!$C$13:$C$11461,'Mês 1'!$BJ$40)</f>
        <v>0</v>
      </c>
      <c r="BK61" s="6">
        <f>SUMIFS(Timesheet!$F$13:$F$11461,Timesheet!$A$13:$A$11461,'Mês 1'!BE61,Timesheet!$C$13:$C$11461,'Mês 1'!$BK$40)</f>
        <v>0</v>
      </c>
      <c r="BL61" s="6">
        <f>SUMIFS(Timesheet!$F$13:$F$11461,Timesheet!$A$13:$A$11461,'Mês 1'!BE61,Timesheet!$C$13:$C$11461,'Mês 1'!$BL$40)</f>
        <v>0</v>
      </c>
      <c r="BM61" s="6">
        <f>SUMIFS(Timesheet!$F$13:$F$11461,Timesheet!$A$13:$A$11461,'Mês 1'!BE61,Timesheet!$C$13:$C$11461,'Mês 1'!$BM$40)</f>
        <v>0</v>
      </c>
      <c r="BN61" s="6">
        <f>SUMIFS(Timesheet!$F$13:$F$11461,Timesheet!$A$13:$A$11461,'Mês 1'!BE61,Timesheet!$C$13:$C$11461,'Mês 1'!$BN$40)</f>
        <v>0</v>
      </c>
      <c r="BO61" s="6">
        <f t="shared" si="8"/>
        <v>0</v>
      </c>
      <c r="BP61" s="6">
        <f t="array" ref="BP61">MIN(IF(Timesheet!$A$13:$A$11483='Mês 1'!BE61,Timesheet!$D$13:$D$11483))</f>
        <v>0</v>
      </c>
      <c r="BQ61" s="6">
        <f t="array" ref="BQ61">MAX(IF(Timesheet!$A$13:$A$11483='Mês 1'!BE61,Timesheet!$E$13:$E$11483))</f>
        <v>0</v>
      </c>
    </row>
    <row r="62" spans="1:69" x14ac:dyDescent="0.25">
      <c r="A62" s="1">
        <v>45007</v>
      </c>
      <c r="B62" s="6">
        <f>SUMIFS(Timesheet!$F$13:$F$11461,Timesheet!$A$13:$A$11461,'Mês 1'!A62,Timesheet!$C$13:$C$11461,'Mês 1'!$B$40)</f>
        <v>0</v>
      </c>
      <c r="C62" s="6">
        <f>SUMIFS(Timesheet!$F$13:$F$11461,Timesheet!$A$13:$A$11461,'Mês 1'!A62,Timesheet!$C$13:$C$11461,'Mês 1'!$C$40)</f>
        <v>0</v>
      </c>
      <c r="D62" s="6">
        <f>SUMIFS(Timesheet!$F$13:$F$11461,Timesheet!$A$13:$A$11461,'Mês 1'!A62,Timesheet!$C$13:$C$11461,'Mês 1'!$D$40)</f>
        <v>0</v>
      </c>
      <c r="E62" s="6">
        <f>SUMIFS(Timesheet!$F$13:$F$11461,Timesheet!$A$13:$A$11461,'Mês 1'!A62,Timesheet!$C$13:$C$11461,'Mês 1'!$E$40)</f>
        <v>0</v>
      </c>
      <c r="F62" s="6">
        <f>SUMIFS(Timesheet!$F$13:$F$11461,Timesheet!$A$13:$A$11461,'Mês 1'!A62,Timesheet!$C$13:$C$11461,'Mês 1'!$F$40)</f>
        <v>0</v>
      </c>
      <c r="G62" s="6">
        <f>SUMIFS(Timesheet!$F$13:$F$11461,Timesheet!$A$13:$A$11461,'Mês 1'!A62,Timesheet!$C$13:$C$11461,'Mês 1'!$G$40)</f>
        <v>0</v>
      </c>
      <c r="H62" s="6">
        <f>SUMIFS(Timesheet!$F$13:$F$11461,Timesheet!$A$13:$A$11461,'Mês 1'!A62,Timesheet!$C$13:$C$11461,'Mês 1'!$H$40)</f>
        <v>0</v>
      </c>
      <c r="I62" s="6">
        <f>SUMIFS(Timesheet!$F$13:$F$11461,Timesheet!$A$13:$A$11461,'Mês 1'!A62,Timesheet!$C$13:$C$11461,'Mês 1'!$I$40)</f>
        <v>0</v>
      </c>
      <c r="J62" s="6">
        <f>SUMIFS(Timesheet!$F$13:$F$11461,Timesheet!$A$13:$A$11461,'Mês 1'!A62,Timesheet!$C$13:$C$11461,'Mês 1'!$J$40)</f>
        <v>0</v>
      </c>
      <c r="K62" s="6">
        <f t="shared" si="4"/>
        <v>0</v>
      </c>
      <c r="L62" s="6">
        <f t="array" ref="L62">MIN(IF(Timesheet!$A$13:$A$11483='Mês 1'!A62,Timesheet!$D$13:$D$11483))</f>
        <v>0</v>
      </c>
      <c r="M62" s="6">
        <f t="array" ref="M62">MAX(IF(Timesheet!$A$13:$A$11483='Mês 1'!A62,Timesheet!$E$13:$E$11483))</f>
        <v>0</v>
      </c>
      <c r="O62" s="1">
        <v>45068</v>
      </c>
      <c r="P62" s="6">
        <f>SUMIFS(Timesheet!$F$13:$F$11461,Timesheet!$A$13:$A$11461,'Mês 1'!O62,Timesheet!$C$13:$C$11461,'Mês 1'!$P$40)</f>
        <v>0</v>
      </c>
      <c r="Q62" s="6">
        <f>SUMIFS(Timesheet!$F$13:$F$11461,Timesheet!$A$13:$A$11461,'Mês 1'!O62,Timesheet!$C$13:$C$11461,'Mês 1'!$Q$40)</f>
        <v>0</v>
      </c>
      <c r="R62" s="6">
        <f>SUMIFS(Timesheet!$F$13:$F$11461,Timesheet!$A$13:$A$11461,'Mês 1'!O62,Timesheet!$C$13:$C$11461,'Mês 1'!$R$40)</f>
        <v>0</v>
      </c>
      <c r="S62" s="6">
        <f>SUMIFS(Timesheet!$F$13:$F$11461,Timesheet!$A$13:$A$11461,'Mês 1'!O62,Timesheet!$C$13:$C$11461,'Mês 1'!$S$40)</f>
        <v>0</v>
      </c>
      <c r="T62" s="6">
        <f>SUMIFS(Timesheet!$F$13:$F$11461,Timesheet!$A$13:$A$11461,'Mês 1'!O62,Timesheet!$C$13:$C$11461,'Mês 1'!$T$40)</f>
        <v>0</v>
      </c>
      <c r="U62" s="6">
        <f>SUMIFS(Timesheet!$F$13:$F$11461,Timesheet!$A$13:$A$11461,'Mês 1'!O62,Timesheet!$C$13:$C$11461,'Mês 1'!$U$40)</f>
        <v>0</v>
      </c>
      <c r="V62" s="6">
        <f>SUMIFS(Timesheet!$F$13:$F$11461,Timesheet!$A$13:$A$11461,'Mês 1'!O62,Timesheet!$C$13:$C$11461,'Mês 1'!$V$40)</f>
        <v>0</v>
      </c>
      <c r="W62" s="6">
        <f>SUMIFS(Timesheet!$F$13:$F$11461,Timesheet!$A$13:$A$11461,'Mês 1'!O62,Timesheet!$C$13:$C$11461,'Mês 1'!$W$40)</f>
        <v>0</v>
      </c>
      <c r="X62" s="6">
        <f>SUMIFS(Timesheet!$F$13:$F$11461,Timesheet!$A$13:$A$11461,'Mês 1'!O62,Timesheet!$C$13:$C$11461,'Mês 1'!$X$40)</f>
        <v>0</v>
      </c>
      <c r="Y62" s="6">
        <f t="shared" si="5"/>
        <v>0</v>
      </c>
      <c r="Z62" s="6">
        <f t="array" ref="Z62">MIN(IF(Timesheet!$A$13:$A$11483='Mês 1'!O62,Timesheet!$D$13:$D$11483))</f>
        <v>0</v>
      </c>
      <c r="AA62" s="6">
        <f t="array" ref="AA62">MAX(IF(Timesheet!$A$13:$A$11483='Mês 1'!O62,Timesheet!$E$13:$E$11483))</f>
        <v>0</v>
      </c>
      <c r="AC62" s="1">
        <v>45129</v>
      </c>
      <c r="AD62" s="6">
        <f>SUMIFS(Timesheet!$F$13:$F$11461,Timesheet!$A$13:$A$11461,'Mês 1'!AC62,Timesheet!$C$13:$C$11461,'Mês 1'!$AD$40)</f>
        <v>0</v>
      </c>
      <c r="AE62" s="6">
        <f>SUMIFS(Timesheet!$F$13:$F$11461,Timesheet!$A$13:$A$11461,'Mês 1'!AC62,Timesheet!$C$13:$C$11461,'Mês 1'!$AE$40)</f>
        <v>0</v>
      </c>
      <c r="AF62" s="6">
        <f>SUMIFS(Timesheet!$F$13:$F$11461,Timesheet!$A$13:$A$11461,'Mês 1'!AC62,Timesheet!$C$13:$C$11461,'Mês 1'!$AF$40)</f>
        <v>0</v>
      </c>
      <c r="AG62" s="6">
        <f>SUMIFS(Timesheet!$F$13:$F$11461,Timesheet!$A$13:$A$11461,'Mês 1'!AC62,Timesheet!$C$13:$C$11461,'Mês 1'!$AG$40)</f>
        <v>0</v>
      </c>
      <c r="AH62" s="6">
        <f>SUMIFS(Timesheet!$F$13:$F$11461,Timesheet!$A$13:$A$11461,'Mês 1'!AC62,Timesheet!$C$13:$C$11461,'Mês 1'!$AH$40)</f>
        <v>0</v>
      </c>
      <c r="AI62" s="6">
        <f>SUMIFS(Timesheet!$F$13:$F$11461,Timesheet!$A$13:$A$11461,'Mês 1'!AC62,Timesheet!$C$13:$C$11461,'Mês 1'!$AI$40)</f>
        <v>0</v>
      </c>
      <c r="AJ62" s="6">
        <f>SUMIFS(Timesheet!$F$13:$F$11461,Timesheet!$A$13:$A$11461,'Mês 1'!AC62,Timesheet!$C$13:$C$11461,'Mês 1'!$AJ$40)</f>
        <v>0</v>
      </c>
      <c r="AK62" s="6">
        <f>SUMIFS(Timesheet!$F$13:$F$11461,Timesheet!$A$13:$A$11461,'Mês 1'!AC62,Timesheet!$C$13:$C$11461,'Mês 1'!$AK$40)</f>
        <v>0</v>
      </c>
      <c r="AL62" s="6">
        <f>SUMIFS(Timesheet!$F$13:$F$11461,Timesheet!$A$13:$A$11461,'Mês 1'!AC62,Timesheet!$C$13:$C$11461,'Mês 1'!$AL$40)</f>
        <v>0</v>
      </c>
      <c r="AM62" s="6">
        <f t="shared" si="6"/>
        <v>0</v>
      </c>
      <c r="AN62" s="6">
        <f t="array" ref="AN62">MIN(IF(Timesheet!$A$13:$A$11483='Mês 1'!AC62,Timesheet!$D$13:$D$11483))</f>
        <v>0</v>
      </c>
      <c r="AO62" s="6">
        <f t="array" ref="AO62">MAX(IF(Timesheet!$A$13:$A$11483='Mês 1'!AC62,Timesheet!$E$13:$E$11483))</f>
        <v>0</v>
      </c>
      <c r="AQ62" s="1">
        <v>45191</v>
      </c>
      <c r="AR62" s="6">
        <f>SUMIFS(Timesheet!$F$13:$F$11461,Timesheet!$A$13:$A$11461,'Mês 1'!AQ62,Timesheet!$C$13:$C$11461,'Mês 1'!$AR$40)</f>
        <v>0</v>
      </c>
      <c r="AS62" s="6">
        <f>SUMIFS(Timesheet!$F$13:$F$11461,Timesheet!$A$13:$A$11461,'Mês 1'!AQ62,Timesheet!$C$13:$C$11461,'Mês 1'!$AS$40)</f>
        <v>0</v>
      </c>
      <c r="AT62" s="6">
        <f>SUMIFS(Timesheet!$F$13:$F$11461,Timesheet!$A$13:$A$11461,'Mês 1'!AQ62,Timesheet!$C$13:$C$11461,'Mês 1'!$AT$40)</f>
        <v>0</v>
      </c>
      <c r="AU62" s="6">
        <f>SUMIFS(Timesheet!$F$13:$F$11461,Timesheet!$A$13:$A$11461,'Mês 1'!AQ62,Timesheet!$C$13:$C$11461,'Mês 1'!$AU$40)</f>
        <v>0</v>
      </c>
      <c r="AV62" s="6">
        <f>SUMIFS(Timesheet!$F$13:$F$11461,Timesheet!$A$13:$A$11461,'Mês 1'!AQ62,Timesheet!$C$13:$C$11461,'Mês 1'!$AV$40)</f>
        <v>0</v>
      </c>
      <c r="AW62" s="6">
        <f>SUMIFS(Timesheet!$F$13:$F$11461,Timesheet!$A$13:$A$11461,'Mês 1'!AQ62,Timesheet!$C$13:$C$11461,'Mês 1'!$AW$40)</f>
        <v>0</v>
      </c>
      <c r="AX62" s="6">
        <f>SUMIFS(Timesheet!$F$13:$F$11461,Timesheet!$A$13:$A$11461,'Mês 1'!AQ62,Timesheet!$C$13:$C$11461,'Mês 1'!$AX$40)</f>
        <v>0</v>
      </c>
      <c r="AY62" s="6">
        <f>SUMIFS(Timesheet!$F$13:$F$11461,Timesheet!$A$13:$A$11461,'Mês 1'!AQ62,Timesheet!$C$13:$C$11461,'Mês 1'!$AY$40)</f>
        <v>0</v>
      </c>
      <c r="AZ62" s="6">
        <f>SUMIFS(Timesheet!$F$13:$F$11461,Timesheet!$A$13:$A$11461,'Mês 1'!AQ62,Timesheet!$C$13:$C$11461,'Mês 1'!$AZ$40)</f>
        <v>0</v>
      </c>
      <c r="BA62" s="6">
        <f t="shared" si="7"/>
        <v>0</v>
      </c>
      <c r="BB62" s="6">
        <f t="array" ref="BB62">MIN(IF(Timesheet!$A$13:$A$11483='Mês 1'!AQ62,Timesheet!$D$13:$D$11483))</f>
        <v>0</v>
      </c>
      <c r="BC62" s="6">
        <f t="array" ref="BC62">MAX(IF(Timesheet!$A$13:$A$11483='Mês 1'!AQ62,Timesheet!$E$13:$E$11483))</f>
        <v>0</v>
      </c>
      <c r="BE62" s="1">
        <v>45252</v>
      </c>
      <c r="BF62" s="6">
        <f>SUMIFS(Timesheet!$F$13:$F$11461,Timesheet!$A$13:$A$11461,'Mês 1'!BE62,Timesheet!$C$13:$C$11461,'Mês 1'!$BF$40)</f>
        <v>0</v>
      </c>
      <c r="BG62" s="6">
        <f>SUMIFS(Timesheet!$F$13:$F$11461,Timesheet!$A$13:$A$11461,'Mês 1'!BE62,Timesheet!$C$13:$C$11461,'Mês 1'!$BG$40)</f>
        <v>0</v>
      </c>
      <c r="BH62" s="6">
        <f>SUMIFS(Timesheet!$F$13:$F$11461,Timesheet!$A$13:$A$11461,'Mês 1'!BE62,Timesheet!$C$13:$C$11461,'Mês 1'!$BH$40)</f>
        <v>0</v>
      </c>
      <c r="BI62" s="6">
        <f>SUMIFS(Timesheet!$F$13:$F$11461,Timesheet!$A$13:$A$11461,'Mês 1'!BE62,Timesheet!$C$13:$C$11461,'Mês 1'!$BI$40)</f>
        <v>0</v>
      </c>
      <c r="BJ62" s="6">
        <f>SUMIFS(Timesheet!$F$13:$F$11461,Timesheet!$A$13:$A$11461,'Mês 1'!BE62,Timesheet!$C$13:$C$11461,'Mês 1'!$BJ$40)</f>
        <v>0</v>
      </c>
      <c r="BK62" s="6">
        <f>SUMIFS(Timesheet!$F$13:$F$11461,Timesheet!$A$13:$A$11461,'Mês 1'!BE62,Timesheet!$C$13:$C$11461,'Mês 1'!$BK$40)</f>
        <v>0</v>
      </c>
      <c r="BL62" s="6">
        <f>SUMIFS(Timesheet!$F$13:$F$11461,Timesheet!$A$13:$A$11461,'Mês 1'!BE62,Timesheet!$C$13:$C$11461,'Mês 1'!$BL$40)</f>
        <v>0</v>
      </c>
      <c r="BM62" s="6">
        <f>SUMIFS(Timesheet!$F$13:$F$11461,Timesheet!$A$13:$A$11461,'Mês 1'!BE62,Timesheet!$C$13:$C$11461,'Mês 1'!$BM$40)</f>
        <v>0</v>
      </c>
      <c r="BN62" s="6">
        <f>SUMIFS(Timesheet!$F$13:$F$11461,Timesheet!$A$13:$A$11461,'Mês 1'!BE62,Timesheet!$C$13:$C$11461,'Mês 1'!$BN$40)</f>
        <v>0</v>
      </c>
      <c r="BO62" s="6">
        <f t="shared" si="8"/>
        <v>0</v>
      </c>
      <c r="BP62" s="6">
        <f t="array" ref="BP62">MIN(IF(Timesheet!$A$13:$A$11483='Mês 1'!BE62,Timesheet!$D$13:$D$11483))</f>
        <v>0</v>
      </c>
      <c r="BQ62" s="6">
        <f t="array" ref="BQ62">MAX(IF(Timesheet!$A$13:$A$11483='Mês 1'!BE62,Timesheet!$E$13:$E$11483))</f>
        <v>0</v>
      </c>
    </row>
    <row r="63" spans="1:69" x14ac:dyDescent="0.25">
      <c r="A63" s="1">
        <v>45008</v>
      </c>
      <c r="B63" s="6">
        <f>SUMIFS(Timesheet!$F$13:$F$11461,Timesheet!$A$13:$A$11461,'Mês 1'!A63,Timesheet!$C$13:$C$11461,'Mês 1'!$B$40)</f>
        <v>0</v>
      </c>
      <c r="C63" s="6">
        <f>SUMIFS(Timesheet!$F$13:$F$11461,Timesheet!$A$13:$A$11461,'Mês 1'!A63,Timesheet!$C$13:$C$11461,'Mês 1'!$C$40)</f>
        <v>0</v>
      </c>
      <c r="D63" s="6">
        <f>SUMIFS(Timesheet!$F$13:$F$11461,Timesheet!$A$13:$A$11461,'Mês 1'!A63,Timesheet!$C$13:$C$11461,'Mês 1'!$D$40)</f>
        <v>0</v>
      </c>
      <c r="E63" s="6">
        <f>SUMIFS(Timesheet!$F$13:$F$11461,Timesheet!$A$13:$A$11461,'Mês 1'!A63,Timesheet!$C$13:$C$11461,'Mês 1'!$E$40)</f>
        <v>0</v>
      </c>
      <c r="F63" s="6">
        <f>SUMIFS(Timesheet!$F$13:$F$11461,Timesheet!$A$13:$A$11461,'Mês 1'!A63,Timesheet!$C$13:$C$11461,'Mês 1'!$F$40)</f>
        <v>0</v>
      </c>
      <c r="G63" s="6">
        <f>SUMIFS(Timesheet!$F$13:$F$11461,Timesheet!$A$13:$A$11461,'Mês 1'!A63,Timesheet!$C$13:$C$11461,'Mês 1'!$G$40)</f>
        <v>0</v>
      </c>
      <c r="H63" s="6">
        <f>SUMIFS(Timesheet!$F$13:$F$11461,Timesheet!$A$13:$A$11461,'Mês 1'!A63,Timesheet!$C$13:$C$11461,'Mês 1'!$H$40)</f>
        <v>0</v>
      </c>
      <c r="I63" s="6">
        <f>SUMIFS(Timesheet!$F$13:$F$11461,Timesheet!$A$13:$A$11461,'Mês 1'!A63,Timesheet!$C$13:$C$11461,'Mês 1'!$I$40)</f>
        <v>0</v>
      </c>
      <c r="J63" s="6">
        <f>SUMIFS(Timesheet!$F$13:$F$11461,Timesheet!$A$13:$A$11461,'Mês 1'!A63,Timesheet!$C$13:$C$11461,'Mês 1'!$J$40)</f>
        <v>0</v>
      </c>
      <c r="K63" s="6">
        <f t="shared" si="4"/>
        <v>0</v>
      </c>
      <c r="L63" s="6">
        <f t="array" ref="L63">MIN(IF(Timesheet!$A$13:$A$11483='Mês 1'!A63,Timesheet!$D$13:$D$11483))</f>
        <v>0</v>
      </c>
      <c r="M63" s="6">
        <f t="array" ref="M63">MAX(IF(Timesheet!$A$13:$A$11483='Mês 1'!A63,Timesheet!$E$13:$E$11483))</f>
        <v>0</v>
      </c>
      <c r="O63" s="1">
        <v>45069</v>
      </c>
      <c r="P63" s="6">
        <f>SUMIFS(Timesheet!$F$13:$F$11461,Timesheet!$A$13:$A$11461,'Mês 1'!O63,Timesheet!$C$13:$C$11461,'Mês 1'!$P$40)</f>
        <v>0</v>
      </c>
      <c r="Q63" s="6">
        <f>SUMIFS(Timesheet!$F$13:$F$11461,Timesheet!$A$13:$A$11461,'Mês 1'!O63,Timesheet!$C$13:$C$11461,'Mês 1'!$Q$40)</f>
        <v>0</v>
      </c>
      <c r="R63" s="6">
        <f>SUMIFS(Timesheet!$F$13:$F$11461,Timesheet!$A$13:$A$11461,'Mês 1'!O63,Timesheet!$C$13:$C$11461,'Mês 1'!$R$40)</f>
        <v>0</v>
      </c>
      <c r="S63" s="6">
        <f>SUMIFS(Timesheet!$F$13:$F$11461,Timesheet!$A$13:$A$11461,'Mês 1'!O63,Timesheet!$C$13:$C$11461,'Mês 1'!$S$40)</f>
        <v>0</v>
      </c>
      <c r="T63" s="6">
        <f>SUMIFS(Timesheet!$F$13:$F$11461,Timesheet!$A$13:$A$11461,'Mês 1'!O63,Timesheet!$C$13:$C$11461,'Mês 1'!$T$40)</f>
        <v>0</v>
      </c>
      <c r="U63" s="6">
        <f>SUMIFS(Timesheet!$F$13:$F$11461,Timesheet!$A$13:$A$11461,'Mês 1'!O63,Timesheet!$C$13:$C$11461,'Mês 1'!$U$40)</f>
        <v>0</v>
      </c>
      <c r="V63" s="6">
        <f>SUMIFS(Timesheet!$F$13:$F$11461,Timesheet!$A$13:$A$11461,'Mês 1'!O63,Timesheet!$C$13:$C$11461,'Mês 1'!$V$40)</f>
        <v>0</v>
      </c>
      <c r="W63" s="6">
        <f>SUMIFS(Timesheet!$F$13:$F$11461,Timesheet!$A$13:$A$11461,'Mês 1'!O63,Timesheet!$C$13:$C$11461,'Mês 1'!$W$40)</f>
        <v>0</v>
      </c>
      <c r="X63" s="6">
        <f>SUMIFS(Timesheet!$F$13:$F$11461,Timesheet!$A$13:$A$11461,'Mês 1'!O63,Timesheet!$C$13:$C$11461,'Mês 1'!$X$40)</f>
        <v>0</v>
      </c>
      <c r="Y63" s="6">
        <f t="shared" si="5"/>
        <v>0</v>
      </c>
      <c r="Z63" s="6">
        <f t="array" ref="Z63">MIN(IF(Timesheet!$A$13:$A$11483='Mês 1'!O63,Timesheet!$D$13:$D$11483))</f>
        <v>0</v>
      </c>
      <c r="AA63" s="6">
        <f t="array" ref="AA63">MAX(IF(Timesheet!$A$13:$A$11483='Mês 1'!O63,Timesheet!$E$13:$E$11483))</f>
        <v>0</v>
      </c>
      <c r="AC63" s="1">
        <v>45130</v>
      </c>
      <c r="AD63" s="6">
        <f>SUMIFS(Timesheet!$F$13:$F$11461,Timesheet!$A$13:$A$11461,'Mês 1'!AC63,Timesheet!$C$13:$C$11461,'Mês 1'!$AD$40)</f>
        <v>0</v>
      </c>
      <c r="AE63" s="6">
        <f>SUMIFS(Timesheet!$F$13:$F$11461,Timesheet!$A$13:$A$11461,'Mês 1'!AC63,Timesheet!$C$13:$C$11461,'Mês 1'!$AE$40)</f>
        <v>0</v>
      </c>
      <c r="AF63" s="6">
        <f>SUMIFS(Timesheet!$F$13:$F$11461,Timesheet!$A$13:$A$11461,'Mês 1'!AC63,Timesheet!$C$13:$C$11461,'Mês 1'!$AF$40)</f>
        <v>0</v>
      </c>
      <c r="AG63" s="6">
        <f>SUMIFS(Timesheet!$F$13:$F$11461,Timesheet!$A$13:$A$11461,'Mês 1'!AC63,Timesheet!$C$13:$C$11461,'Mês 1'!$AG$40)</f>
        <v>0</v>
      </c>
      <c r="AH63" s="6">
        <f>SUMIFS(Timesheet!$F$13:$F$11461,Timesheet!$A$13:$A$11461,'Mês 1'!AC63,Timesheet!$C$13:$C$11461,'Mês 1'!$AH$40)</f>
        <v>0</v>
      </c>
      <c r="AI63" s="6">
        <f>SUMIFS(Timesheet!$F$13:$F$11461,Timesheet!$A$13:$A$11461,'Mês 1'!AC63,Timesheet!$C$13:$C$11461,'Mês 1'!$AI$40)</f>
        <v>0</v>
      </c>
      <c r="AJ63" s="6">
        <f>SUMIFS(Timesheet!$F$13:$F$11461,Timesheet!$A$13:$A$11461,'Mês 1'!AC63,Timesheet!$C$13:$C$11461,'Mês 1'!$AJ$40)</f>
        <v>0</v>
      </c>
      <c r="AK63" s="6">
        <f>SUMIFS(Timesheet!$F$13:$F$11461,Timesheet!$A$13:$A$11461,'Mês 1'!AC63,Timesheet!$C$13:$C$11461,'Mês 1'!$AK$40)</f>
        <v>0</v>
      </c>
      <c r="AL63" s="6">
        <f>SUMIFS(Timesheet!$F$13:$F$11461,Timesheet!$A$13:$A$11461,'Mês 1'!AC63,Timesheet!$C$13:$C$11461,'Mês 1'!$AL$40)</f>
        <v>0</v>
      </c>
      <c r="AM63" s="6">
        <f t="shared" si="6"/>
        <v>0</v>
      </c>
      <c r="AN63" s="6">
        <f t="array" ref="AN63">MIN(IF(Timesheet!$A$13:$A$11483='Mês 1'!AC63,Timesheet!$D$13:$D$11483))</f>
        <v>0</v>
      </c>
      <c r="AO63" s="6">
        <f t="array" ref="AO63">MAX(IF(Timesheet!$A$13:$A$11483='Mês 1'!AC63,Timesheet!$E$13:$E$11483))</f>
        <v>0</v>
      </c>
      <c r="AQ63" s="1">
        <v>45192</v>
      </c>
      <c r="AR63" s="6">
        <f>SUMIFS(Timesheet!$F$13:$F$11461,Timesheet!$A$13:$A$11461,'Mês 1'!AQ63,Timesheet!$C$13:$C$11461,'Mês 1'!$AR$40)</f>
        <v>0</v>
      </c>
      <c r="AS63" s="6">
        <f>SUMIFS(Timesheet!$F$13:$F$11461,Timesheet!$A$13:$A$11461,'Mês 1'!AQ63,Timesheet!$C$13:$C$11461,'Mês 1'!$AS$40)</f>
        <v>0</v>
      </c>
      <c r="AT63" s="6">
        <f>SUMIFS(Timesheet!$F$13:$F$11461,Timesheet!$A$13:$A$11461,'Mês 1'!AQ63,Timesheet!$C$13:$C$11461,'Mês 1'!$AT$40)</f>
        <v>0</v>
      </c>
      <c r="AU63" s="6">
        <f>SUMIFS(Timesheet!$F$13:$F$11461,Timesheet!$A$13:$A$11461,'Mês 1'!AQ63,Timesheet!$C$13:$C$11461,'Mês 1'!$AU$40)</f>
        <v>0</v>
      </c>
      <c r="AV63" s="6">
        <f>SUMIFS(Timesheet!$F$13:$F$11461,Timesheet!$A$13:$A$11461,'Mês 1'!AQ63,Timesheet!$C$13:$C$11461,'Mês 1'!$AV$40)</f>
        <v>0</v>
      </c>
      <c r="AW63" s="6">
        <f>SUMIFS(Timesheet!$F$13:$F$11461,Timesheet!$A$13:$A$11461,'Mês 1'!AQ63,Timesheet!$C$13:$C$11461,'Mês 1'!$AW$40)</f>
        <v>0</v>
      </c>
      <c r="AX63" s="6">
        <f>SUMIFS(Timesheet!$F$13:$F$11461,Timesheet!$A$13:$A$11461,'Mês 1'!AQ63,Timesheet!$C$13:$C$11461,'Mês 1'!$AX$40)</f>
        <v>0</v>
      </c>
      <c r="AY63" s="6">
        <f>SUMIFS(Timesheet!$F$13:$F$11461,Timesheet!$A$13:$A$11461,'Mês 1'!AQ63,Timesheet!$C$13:$C$11461,'Mês 1'!$AY$40)</f>
        <v>0</v>
      </c>
      <c r="AZ63" s="6">
        <f>SUMIFS(Timesheet!$F$13:$F$11461,Timesheet!$A$13:$A$11461,'Mês 1'!AQ63,Timesheet!$C$13:$C$11461,'Mês 1'!$AZ$40)</f>
        <v>0</v>
      </c>
      <c r="BA63" s="6">
        <f t="shared" si="7"/>
        <v>0</v>
      </c>
      <c r="BB63" s="6">
        <f t="array" ref="BB63">MIN(IF(Timesheet!$A$13:$A$11483='Mês 1'!AQ63,Timesheet!$D$13:$D$11483))</f>
        <v>0</v>
      </c>
      <c r="BC63" s="6">
        <f t="array" ref="BC63">MAX(IF(Timesheet!$A$13:$A$11483='Mês 1'!AQ63,Timesheet!$E$13:$E$11483))</f>
        <v>0</v>
      </c>
      <c r="BE63" s="1">
        <v>45253</v>
      </c>
      <c r="BF63" s="6">
        <f>SUMIFS(Timesheet!$F$13:$F$11461,Timesheet!$A$13:$A$11461,'Mês 1'!BE63,Timesheet!$C$13:$C$11461,'Mês 1'!$BF$40)</f>
        <v>0</v>
      </c>
      <c r="BG63" s="6">
        <f>SUMIFS(Timesheet!$F$13:$F$11461,Timesheet!$A$13:$A$11461,'Mês 1'!BE63,Timesheet!$C$13:$C$11461,'Mês 1'!$BG$40)</f>
        <v>0</v>
      </c>
      <c r="BH63" s="6">
        <f>SUMIFS(Timesheet!$F$13:$F$11461,Timesheet!$A$13:$A$11461,'Mês 1'!BE63,Timesheet!$C$13:$C$11461,'Mês 1'!$BH$40)</f>
        <v>0</v>
      </c>
      <c r="BI63" s="6">
        <f>SUMIFS(Timesheet!$F$13:$F$11461,Timesheet!$A$13:$A$11461,'Mês 1'!BE63,Timesheet!$C$13:$C$11461,'Mês 1'!$BI$40)</f>
        <v>0</v>
      </c>
      <c r="BJ63" s="6">
        <f>SUMIFS(Timesheet!$F$13:$F$11461,Timesheet!$A$13:$A$11461,'Mês 1'!BE63,Timesheet!$C$13:$C$11461,'Mês 1'!$BJ$40)</f>
        <v>0</v>
      </c>
      <c r="BK63" s="6">
        <f>SUMIFS(Timesheet!$F$13:$F$11461,Timesheet!$A$13:$A$11461,'Mês 1'!BE63,Timesheet!$C$13:$C$11461,'Mês 1'!$BK$40)</f>
        <v>0</v>
      </c>
      <c r="BL63" s="6">
        <f>SUMIFS(Timesheet!$F$13:$F$11461,Timesheet!$A$13:$A$11461,'Mês 1'!BE63,Timesheet!$C$13:$C$11461,'Mês 1'!$BL$40)</f>
        <v>0</v>
      </c>
      <c r="BM63" s="6">
        <f>SUMIFS(Timesheet!$F$13:$F$11461,Timesheet!$A$13:$A$11461,'Mês 1'!BE63,Timesheet!$C$13:$C$11461,'Mês 1'!$BM$40)</f>
        <v>0</v>
      </c>
      <c r="BN63" s="6">
        <f>SUMIFS(Timesheet!$F$13:$F$11461,Timesheet!$A$13:$A$11461,'Mês 1'!BE63,Timesheet!$C$13:$C$11461,'Mês 1'!$BN$40)</f>
        <v>0</v>
      </c>
      <c r="BO63" s="6">
        <f t="shared" si="8"/>
        <v>0</v>
      </c>
      <c r="BP63" s="6">
        <f t="array" ref="BP63">MIN(IF(Timesheet!$A$13:$A$11483='Mês 1'!BE63,Timesheet!$D$13:$D$11483))</f>
        <v>0</v>
      </c>
      <c r="BQ63" s="6">
        <f t="array" ref="BQ63">MAX(IF(Timesheet!$A$13:$A$11483='Mês 1'!BE63,Timesheet!$E$13:$E$11483))</f>
        <v>0</v>
      </c>
    </row>
    <row r="64" spans="1:69" x14ac:dyDescent="0.25">
      <c r="A64" s="1">
        <v>45009</v>
      </c>
      <c r="B64" s="6">
        <f>SUMIFS(Timesheet!$F$13:$F$11461,Timesheet!$A$13:$A$11461,'Mês 1'!A64,Timesheet!$C$13:$C$11461,'Mês 1'!$B$40)</f>
        <v>0</v>
      </c>
      <c r="C64" s="6">
        <f>SUMIFS(Timesheet!$F$13:$F$11461,Timesheet!$A$13:$A$11461,'Mês 1'!A64,Timesheet!$C$13:$C$11461,'Mês 1'!$C$40)</f>
        <v>0</v>
      </c>
      <c r="D64" s="6">
        <f>SUMIFS(Timesheet!$F$13:$F$11461,Timesheet!$A$13:$A$11461,'Mês 1'!A64,Timesheet!$C$13:$C$11461,'Mês 1'!$D$40)</f>
        <v>0</v>
      </c>
      <c r="E64" s="6">
        <f>SUMIFS(Timesheet!$F$13:$F$11461,Timesheet!$A$13:$A$11461,'Mês 1'!A64,Timesheet!$C$13:$C$11461,'Mês 1'!$E$40)</f>
        <v>0</v>
      </c>
      <c r="F64" s="6">
        <f>SUMIFS(Timesheet!$F$13:$F$11461,Timesheet!$A$13:$A$11461,'Mês 1'!A64,Timesheet!$C$13:$C$11461,'Mês 1'!$F$40)</f>
        <v>0</v>
      </c>
      <c r="G64" s="6">
        <f>SUMIFS(Timesheet!$F$13:$F$11461,Timesheet!$A$13:$A$11461,'Mês 1'!A64,Timesheet!$C$13:$C$11461,'Mês 1'!$G$40)</f>
        <v>0</v>
      </c>
      <c r="H64" s="6">
        <f>SUMIFS(Timesheet!$F$13:$F$11461,Timesheet!$A$13:$A$11461,'Mês 1'!A64,Timesheet!$C$13:$C$11461,'Mês 1'!$H$40)</f>
        <v>0</v>
      </c>
      <c r="I64" s="6">
        <f>SUMIFS(Timesheet!$F$13:$F$11461,Timesheet!$A$13:$A$11461,'Mês 1'!A64,Timesheet!$C$13:$C$11461,'Mês 1'!$I$40)</f>
        <v>0</v>
      </c>
      <c r="J64" s="6">
        <f>SUMIFS(Timesheet!$F$13:$F$11461,Timesheet!$A$13:$A$11461,'Mês 1'!A64,Timesheet!$C$13:$C$11461,'Mês 1'!$J$40)</f>
        <v>0</v>
      </c>
      <c r="K64" s="6">
        <f t="shared" si="4"/>
        <v>0</v>
      </c>
      <c r="L64" s="6">
        <f t="array" ref="L64">MIN(IF(Timesheet!$A$13:$A$11483='Mês 1'!A64,Timesheet!$D$13:$D$11483))</f>
        <v>0</v>
      </c>
      <c r="M64" s="6">
        <f t="array" ref="M64">MAX(IF(Timesheet!$A$13:$A$11483='Mês 1'!A64,Timesheet!$E$13:$E$11483))</f>
        <v>0</v>
      </c>
      <c r="O64" s="1">
        <v>45070</v>
      </c>
      <c r="P64" s="6">
        <f>SUMIFS(Timesheet!$F$13:$F$11461,Timesheet!$A$13:$A$11461,'Mês 1'!O64,Timesheet!$C$13:$C$11461,'Mês 1'!$P$40)</f>
        <v>0</v>
      </c>
      <c r="Q64" s="6">
        <f>SUMIFS(Timesheet!$F$13:$F$11461,Timesheet!$A$13:$A$11461,'Mês 1'!O64,Timesheet!$C$13:$C$11461,'Mês 1'!$Q$40)</f>
        <v>0</v>
      </c>
      <c r="R64" s="6">
        <f>SUMIFS(Timesheet!$F$13:$F$11461,Timesheet!$A$13:$A$11461,'Mês 1'!O64,Timesheet!$C$13:$C$11461,'Mês 1'!$R$40)</f>
        <v>0</v>
      </c>
      <c r="S64" s="6">
        <f>SUMIFS(Timesheet!$F$13:$F$11461,Timesheet!$A$13:$A$11461,'Mês 1'!O64,Timesheet!$C$13:$C$11461,'Mês 1'!$S$40)</f>
        <v>0</v>
      </c>
      <c r="T64" s="6">
        <f>SUMIFS(Timesheet!$F$13:$F$11461,Timesheet!$A$13:$A$11461,'Mês 1'!O64,Timesheet!$C$13:$C$11461,'Mês 1'!$T$40)</f>
        <v>0</v>
      </c>
      <c r="U64" s="6">
        <f>SUMIFS(Timesheet!$F$13:$F$11461,Timesheet!$A$13:$A$11461,'Mês 1'!O64,Timesheet!$C$13:$C$11461,'Mês 1'!$U$40)</f>
        <v>0</v>
      </c>
      <c r="V64" s="6">
        <f>SUMIFS(Timesheet!$F$13:$F$11461,Timesheet!$A$13:$A$11461,'Mês 1'!O64,Timesheet!$C$13:$C$11461,'Mês 1'!$V$40)</f>
        <v>0</v>
      </c>
      <c r="W64" s="6">
        <f>SUMIFS(Timesheet!$F$13:$F$11461,Timesheet!$A$13:$A$11461,'Mês 1'!O64,Timesheet!$C$13:$C$11461,'Mês 1'!$W$40)</f>
        <v>0</v>
      </c>
      <c r="X64" s="6">
        <f>SUMIFS(Timesheet!$F$13:$F$11461,Timesheet!$A$13:$A$11461,'Mês 1'!O64,Timesheet!$C$13:$C$11461,'Mês 1'!$X$40)</f>
        <v>0</v>
      </c>
      <c r="Y64" s="6">
        <f t="shared" si="5"/>
        <v>0</v>
      </c>
      <c r="Z64" s="6">
        <f t="array" ref="Z64">MIN(IF(Timesheet!$A$13:$A$11483='Mês 1'!O64,Timesheet!$D$13:$D$11483))</f>
        <v>0</v>
      </c>
      <c r="AA64" s="6">
        <f t="array" ref="AA64">MAX(IF(Timesheet!$A$13:$A$11483='Mês 1'!O64,Timesheet!$E$13:$E$11483))</f>
        <v>0</v>
      </c>
      <c r="AC64" s="1">
        <v>45131</v>
      </c>
      <c r="AD64" s="6">
        <f>SUMIFS(Timesheet!$F$13:$F$11461,Timesheet!$A$13:$A$11461,'Mês 1'!AC64,Timesheet!$C$13:$C$11461,'Mês 1'!$AD$40)</f>
        <v>0</v>
      </c>
      <c r="AE64" s="6">
        <f>SUMIFS(Timesheet!$F$13:$F$11461,Timesheet!$A$13:$A$11461,'Mês 1'!AC64,Timesheet!$C$13:$C$11461,'Mês 1'!$AE$40)</f>
        <v>0</v>
      </c>
      <c r="AF64" s="6">
        <f>SUMIFS(Timesheet!$F$13:$F$11461,Timesheet!$A$13:$A$11461,'Mês 1'!AC64,Timesheet!$C$13:$C$11461,'Mês 1'!$AF$40)</f>
        <v>0</v>
      </c>
      <c r="AG64" s="6">
        <f>SUMIFS(Timesheet!$F$13:$F$11461,Timesheet!$A$13:$A$11461,'Mês 1'!AC64,Timesheet!$C$13:$C$11461,'Mês 1'!$AG$40)</f>
        <v>0</v>
      </c>
      <c r="AH64" s="6">
        <f>SUMIFS(Timesheet!$F$13:$F$11461,Timesheet!$A$13:$A$11461,'Mês 1'!AC64,Timesheet!$C$13:$C$11461,'Mês 1'!$AH$40)</f>
        <v>0</v>
      </c>
      <c r="AI64" s="6">
        <f>SUMIFS(Timesheet!$F$13:$F$11461,Timesheet!$A$13:$A$11461,'Mês 1'!AC64,Timesheet!$C$13:$C$11461,'Mês 1'!$AI$40)</f>
        <v>0</v>
      </c>
      <c r="AJ64" s="6">
        <f>SUMIFS(Timesheet!$F$13:$F$11461,Timesheet!$A$13:$A$11461,'Mês 1'!AC64,Timesheet!$C$13:$C$11461,'Mês 1'!$AJ$40)</f>
        <v>0</v>
      </c>
      <c r="AK64" s="6">
        <f>SUMIFS(Timesheet!$F$13:$F$11461,Timesheet!$A$13:$A$11461,'Mês 1'!AC64,Timesheet!$C$13:$C$11461,'Mês 1'!$AK$40)</f>
        <v>0</v>
      </c>
      <c r="AL64" s="6">
        <f>SUMIFS(Timesheet!$F$13:$F$11461,Timesheet!$A$13:$A$11461,'Mês 1'!AC64,Timesheet!$C$13:$C$11461,'Mês 1'!$AL$40)</f>
        <v>0</v>
      </c>
      <c r="AM64" s="6">
        <f t="shared" si="6"/>
        <v>0</v>
      </c>
      <c r="AN64" s="6">
        <f t="array" ref="AN64">MIN(IF(Timesheet!$A$13:$A$11483='Mês 1'!AC64,Timesheet!$D$13:$D$11483))</f>
        <v>0</v>
      </c>
      <c r="AO64" s="6">
        <f t="array" ref="AO64">MAX(IF(Timesheet!$A$13:$A$11483='Mês 1'!AC64,Timesheet!$E$13:$E$11483))</f>
        <v>0</v>
      </c>
      <c r="AQ64" s="1">
        <v>45193</v>
      </c>
      <c r="AR64" s="6">
        <f>SUMIFS(Timesheet!$F$13:$F$11461,Timesheet!$A$13:$A$11461,'Mês 1'!AQ64,Timesheet!$C$13:$C$11461,'Mês 1'!$AR$40)</f>
        <v>0</v>
      </c>
      <c r="AS64" s="6">
        <f>SUMIFS(Timesheet!$F$13:$F$11461,Timesheet!$A$13:$A$11461,'Mês 1'!AQ64,Timesheet!$C$13:$C$11461,'Mês 1'!$AS$40)</f>
        <v>0</v>
      </c>
      <c r="AT64" s="6">
        <f>SUMIFS(Timesheet!$F$13:$F$11461,Timesheet!$A$13:$A$11461,'Mês 1'!AQ64,Timesheet!$C$13:$C$11461,'Mês 1'!$AT$40)</f>
        <v>0</v>
      </c>
      <c r="AU64" s="6">
        <f>SUMIFS(Timesheet!$F$13:$F$11461,Timesheet!$A$13:$A$11461,'Mês 1'!AQ64,Timesheet!$C$13:$C$11461,'Mês 1'!$AU$40)</f>
        <v>0</v>
      </c>
      <c r="AV64" s="6">
        <f>SUMIFS(Timesheet!$F$13:$F$11461,Timesheet!$A$13:$A$11461,'Mês 1'!AQ64,Timesheet!$C$13:$C$11461,'Mês 1'!$AV$40)</f>
        <v>0</v>
      </c>
      <c r="AW64" s="6">
        <f>SUMIFS(Timesheet!$F$13:$F$11461,Timesheet!$A$13:$A$11461,'Mês 1'!AQ64,Timesheet!$C$13:$C$11461,'Mês 1'!$AW$40)</f>
        <v>0</v>
      </c>
      <c r="AX64" s="6">
        <f>SUMIFS(Timesheet!$F$13:$F$11461,Timesheet!$A$13:$A$11461,'Mês 1'!AQ64,Timesheet!$C$13:$C$11461,'Mês 1'!$AX$40)</f>
        <v>0</v>
      </c>
      <c r="AY64" s="6">
        <f>SUMIFS(Timesheet!$F$13:$F$11461,Timesheet!$A$13:$A$11461,'Mês 1'!AQ64,Timesheet!$C$13:$C$11461,'Mês 1'!$AY$40)</f>
        <v>0</v>
      </c>
      <c r="AZ64" s="6">
        <f>SUMIFS(Timesheet!$F$13:$F$11461,Timesheet!$A$13:$A$11461,'Mês 1'!AQ64,Timesheet!$C$13:$C$11461,'Mês 1'!$AZ$40)</f>
        <v>0</v>
      </c>
      <c r="BA64" s="6">
        <f t="shared" si="7"/>
        <v>0</v>
      </c>
      <c r="BB64" s="6">
        <f t="array" ref="BB64">MIN(IF(Timesheet!$A$13:$A$11483='Mês 1'!AQ64,Timesheet!$D$13:$D$11483))</f>
        <v>0</v>
      </c>
      <c r="BC64" s="6">
        <f t="array" ref="BC64">MAX(IF(Timesheet!$A$13:$A$11483='Mês 1'!AQ64,Timesheet!$E$13:$E$11483))</f>
        <v>0</v>
      </c>
      <c r="BE64" s="1">
        <v>45254</v>
      </c>
      <c r="BF64" s="6">
        <f>SUMIFS(Timesheet!$F$13:$F$11461,Timesheet!$A$13:$A$11461,'Mês 1'!BE64,Timesheet!$C$13:$C$11461,'Mês 1'!$BF$40)</f>
        <v>0</v>
      </c>
      <c r="BG64" s="6">
        <f>SUMIFS(Timesheet!$F$13:$F$11461,Timesheet!$A$13:$A$11461,'Mês 1'!BE64,Timesheet!$C$13:$C$11461,'Mês 1'!$BG$40)</f>
        <v>0</v>
      </c>
      <c r="BH64" s="6">
        <f>SUMIFS(Timesheet!$F$13:$F$11461,Timesheet!$A$13:$A$11461,'Mês 1'!BE64,Timesheet!$C$13:$C$11461,'Mês 1'!$BH$40)</f>
        <v>0</v>
      </c>
      <c r="BI64" s="6">
        <f>SUMIFS(Timesheet!$F$13:$F$11461,Timesheet!$A$13:$A$11461,'Mês 1'!BE64,Timesheet!$C$13:$C$11461,'Mês 1'!$BI$40)</f>
        <v>0</v>
      </c>
      <c r="BJ64" s="6">
        <f>SUMIFS(Timesheet!$F$13:$F$11461,Timesheet!$A$13:$A$11461,'Mês 1'!BE64,Timesheet!$C$13:$C$11461,'Mês 1'!$BJ$40)</f>
        <v>0</v>
      </c>
      <c r="BK64" s="6">
        <f>SUMIFS(Timesheet!$F$13:$F$11461,Timesheet!$A$13:$A$11461,'Mês 1'!BE64,Timesheet!$C$13:$C$11461,'Mês 1'!$BK$40)</f>
        <v>0</v>
      </c>
      <c r="BL64" s="6">
        <f>SUMIFS(Timesheet!$F$13:$F$11461,Timesheet!$A$13:$A$11461,'Mês 1'!BE64,Timesheet!$C$13:$C$11461,'Mês 1'!$BL$40)</f>
        <v>0</v>
      </c>
      <c r="BM64" s="6">
        <f>SUMIFS(Timesheet!$F$13:$F$11461,Timesheet!$A$13:$A$11461,'Mês 1'!BE64,Timesheet!$C$13:$C$11461,'Mês 1'!$BM$40)</f>
        <v>0</v>
      </c>
      <c r="BN64" s="6">
        <f>SUMIFS(Timesheet!$F$13:$F$11461,Timesheet!$A$13:$A$11461,'Mês 1'!BE64,Timesheet!$C$13:$C$11461,'Mês 1'!$BN$40)</f>
        <v>0</v>
      </c>
      <c r="BO64" s="6">
        <f t="shared" si="8"/>
        <v>0</v>
      </c>
      <c r="BP64" s="6">
        <f t="array" ref="BP64">MIN(IF(Timesheet!$A$13:$A$11483='Mês 1'!BE64,Timesheet!$D$13:$D$11483))</f>
        <v>0</v>
      </c>
      <c r="BQ64" s="6">
        <f t="array" ref="BQ64">MAX(IF(Timesheet!$A$13:$A$11483='Mês 1'!BE64,Timesheet!$E$13:$E$11483))</f>
        <v>0</v>
      </c>
    </row>
    <row r="65" spans="1:69" x14ac:dyDescent="0.25">
      <c r="A65" s="1">
        <v>45010</v>
      </c>
      <c r="B65" s="6">
        <f>SUMIFS(Timesheet!$F$13:$F$11461,Timesheet!$A$13:$A$11461,'Mês 1'!A65,Timesheet!$C$13:$C$11461,'Mês 1'!$B$40)</f>
        <v>0</v>
      </c>
      <c r="C65" s="6">
        <f>SUMIFS(Timesheet!$F$13:$F$11461,Timesheet!$A$13:$A$11461,'Mês 1'!A65,Timesheet!$C$13:$C$11461,'Mês 1'!$C$40)</f>
        <v>0</v>
      </c>
      <c r="D65" s="6">
        <f>SUMIFS(Timesheet!$F$13:$F$11461,Timesheet!$A$13:$A$11461,'Mês 1'!A65,Timesheet!$C$13:$C$11461,'Mês 1'!$D$40)</f>
        <v>0</v>
      </c>
      <c r="E65" s="6">
        <f>SUMIFS(Timesheet!$F$13:$F$11461,Timesheet!$A$13:$A$11461,'Mês 1'!A65,Timesheet!$C$13:$C$11461,'Mês 1'!$E$40)</f>
        <v>0</v>
      </c>
      <c r="F65" s="6">
        <f>SUMIFS(Timesheet!$F$13:$F$11461,Timesheet!$A$13:$A$11461,'Mês 1'!A65,Timesheet!$C$13:$C$11461,'Mês 1'!$F$40)</f>
        <v>0</v>
      </c>
      <c r="G65" s="6">
        <f>SUMIFS(Timesheet!$F$13:$F$11461,Timesheet!$A$13:$A$11461,'Mês 1'!A65,Timesheet!$C$13:$C$11461,'Mês 1'!$G$40)</f>
        <v>0</v>
      </c>
      <c r="H65" s="6">
        <f>SUMIFS(Timesheet!$F$13:$F$11461,Timesheet!$A$13:$A$11461,'Mês 1'!A65,Timesheet!$C$13:$C$11461,'Mês 1'!$H$40)</f>
        <v>0</v>
      </c>
      <c r="I65" s="6">
        <f>SUMIFS(Timesheet!$F$13:$F$11461,Timesheet!$A$13:$A$11461,'Mês 1'!A65,Timesheet!$C$13:$C$11461,'Mês 1'!$I$40)</f>
        <v>0</v>
      </c>
      <c r="J65" s="6">
        <f>SUMIFS(Timesheet!$F$13:$F$11461,Timesheet!$A$13:$A$11461,'Mês 1'!A65,Timesheet!$C$13:$C$11461,'Mês 1'!$J$40)</f>
        <v>0</v>
      </c>
      <c r="K65" s="6">
        <f t="shared" si="4"/>
        <v>0</v>
      </c>
      <c r="L65" s="6">
        <f t="array" ref="L65">MIN(IF(Timesheet!$A$13:$A$11483='Mês 1'!A65,Timesheet!$D$13:$D$11483))</f>
        <v>0</v>
      </c>
      <c r="M65" s="6">
        <f t="array" ref="M65">MAX(IF(Timesheet!$A$13:$A$11483='Mês 1'!A65,Timesheet!$E$13:$E$11483))</f>
        <v>0</v>
      </c>
      <c r="O65" s="1">
        <v>45071</v>
      </c>
      <c r="P65" s="6">
        <f>SUMIFS(Timesheet!$F$13:$F$11461,Timesheet!$A$13:$A$11461,'Mês 1'!O65,Timesheet!$C$13:$C$11461,'Mês 1'!$P$40)</f>
        <v>0</v>
      </c>
      <c r="Q65" s="6">
        <f>SUMIFS(Timesheet!$F$13:$F$11461,Timesheet!$A$13:$A$11461,'Mês 1'!O65,Timesheet!$C$13:$C$11461,'Mês 1'!$Q$40)</f>
        <v>0</v>
      </c>
      <c r="R65" s="6">
        <f>SUMIFS(Timesheet!$F$13:$F$11461,Timesheet!$A$13:$A$11461,'Mês 1'!O65,Timesheet!$C$13:$C$11461,'Mês 1'!$R$40)</f>
        <v>0</v>
      </c>
      <c r="S65" s="6">
        <f>SUMIFS(Timesheet!$F$13:$F$11461,Timesheet!$A$13:$A$11461,'Mês 1'!O65,Timesheet!$C$13:$C$11461,'Mês 1'!$S$40)</f>
        <v>0</v>
      </c>
      <c r="T65" s="6">
        <f>SUMIFS(Timesheet!$F$13:$F$11461,Timesheet!$A$13:$A$11461,'Mês 1'!O65,Timesheet!$C$13:$C$11461,'Mês 1'!$T$40)</f>
        <v>0</v>
      </c>
      <c r="U65" s="6">
        <f>SUMIFS(Timesheet!$F$13:$F$11461,Timesheet!$A$13:$A$11461,'Mês 1'!O65,Timesheet!$C$13:$C$11461,'Mês 1'!$U$40)</f>
        <v>0</v>
      </c>
      <c r="V65" s="6">
        <f>SUMIFS(Timesheet!$F$13:$F$11461,Timesheet!$A$13:$A$11461,'Mês 1'!O65,Timesheet!$C$13:$C$11461,'Mês 1'!$V$40)</f>
        <v>0</v>
      </c>
      <c r="W65" s="6">
        <f>SUMIFS(Timesheet!$F$13:$F$11461,Timesheet!$A$13:$A$11461,'Mês 1'!O65,Timesheet!$C$13:$C$11461,'Mês 1'!$W$40)</f>
        <v>0</v>
      </c>
      <c r="X65" s="6">
        <f>SUMIFS(Timesheet!$F$13:$F$11461,Timesheet!$A$13:$A$11461,'Mês 1'!O65,Timesheet!$C$13:$C$11461,'Mês 1'!$X$40)</f>
        <v>0</v>
      </c>
      <c r="Y65" s="6">
        <f t="shared" si="5"/>
        <v>0</v>
      </c>
      <c r="Z65" s="6">
        <f t="array" ref="Z65">MIN(IF(Timesheet!$A$13:$A$11483='Mês 1'!O65,Timesheet!$D$13:$D$11483))</f>
        <v>0</v>
      </c>
      <c r="AA65" s="6">
        <f t="array" ref="AA65">MAX(IF(Timesheet!$A$13:$A$11483='Mês 1'!O65,Timesheet!$E$13:$E$11483))</f>
        <v>0</v>
      </c>
      <c r="AC65" s="1">
        <v>45132</v>
      </c>
      <c r="AD65" s="6">
        <f>SUMIFS(Timesheet!$F$13:$F$11461,Timesheet!$A$13:$A$11461,'Mês 1'!AC65,Timesheet!$C$13:$C$11461,'Mês 1'!$AD$40)</f>
        <v>0</v>
      </c>
      <c r="AE65" s="6">
        <f>SUMIFS(Timesheet!$F$13:$F$11461,Timesheet!$A$13:$A$11461,'Mês 1'!AC65,Timesheet!$C$13:$C$11461,'Mês 1'!$AE$40)</f>
        <v>0</v>
      </c>
      <c r="AF65" s="6">
        <f>SUMIFS(Timesheet!$F$13:$F$11461,Timesheet!$A$13:$A$11461,'Mês 1'!AC65,Timesheet!$C$13:$C$11461,'Mês 1'!$AF$40)</f>
        <v>0</v>
      </c>
      <c r="AG65" s="6">
        <f>SUMIFS(Timesheet!$F$13:$F$11461,Timesheet!$A$13:$A$11461,'Mês 1'!AC65,Timesheet!$C$13:$C$11461,'Mês 1'!$AG$40)</f>
        <v>0</v>
      </c>
      <c r="AH65" s="6">
        <f>SUMIFS(Timesheet!$F$13:$F$11461,Timesheet!$A$13:$A$11461,'Mês 1'!AC65,Timesheet!$C$13:$C$11461,'Mês 1'!$AH$40)</f>
        <v>0</v>
      </c>
      <c r="AI65" s="6">
        <f>SUMIFS(Timesheet!$F$13:$F$11461,Timesheet!$A$13:$A$11461,'Mês 1'!AC65,Timesheet!$C$13:$C$11461,'Mês 1'!$AI$40)</f>
        <v>0</v>
      </c>
      <c r="AJ65" s="6">
        <f>SUMIFS(Timesheet!$F$13:$F$11461,Timesheet!$A$13:$A$11461,'Mês 1'!AC65,Timesheet!$C$13:$C$11461,'Mês 1'!$AJ$40)</f>
        <v>0</v>
      </c>
      <c r="AK65" s="6">
        <f>SUMIFS(Timesheet!$F$13:$F$11461,Timesheet!$A$13:$A$11461,'Mês 1'!AC65,Timesheet!$C$13:$C$11461,'Mês 1'!$AK$40)</f>
        <v>0</v>
      </c>
      <c r="AL65" s="6">
        <f>SUMIFS(Timesheet!$F$13:$F$11461,Timesheet!$A$13:$A$11461,'Mês 1'!AC65,Timesheet!$C$13:$C$11461,'Mês 1'!$AL$40)</f>
        <v>0</v>
      </c>
      <c r="AM65" s="6">
        <f t="shared" si="6"/>
        <v>0</v>
      </c>
      <c r="AN65" s="6">
        <f t="array" ref="AN65">MIN(IF(Timesheet!$A$13:$A$11483='Mês 1'!AC65,Timesheet!$D$13:$D$11483))</f>
        <v>0</v>
      </c>
      <c r="AO65" s="6">
        <f t="array" ref="AO65">MAX(IF(Timesheet!$A$13:$A$11483='Mês 1'!AC65,Timesheet!$E$13:$E$11483))</f>
        <v>0</v>
      </c>
      <c r="AQ65" s="1">
        <v>45194</v>
      </c>
      <c r="AR65" s="6">
        <f>SUMIFS(Timesheet!$F$13:$F$11461,Timesheet!$A$13:$A$11461,'Mês 1'!AQ65,Timesheet!$C$13:$C$11461,'Mês 1'!$AR$40)</f>
        <v>0</v>
      </c>
      <c r="AS65" s="6">
        <f>SUMIFS(Timesheet!$F$13:$F$11461,Timesheet!$A$13:$A$11461,'Mês 1'!AQ65,Timesheet!$C$13:$C$11461,'Mês 1'!$AS$40)</f>
        <v>0</v>
      </c>
      <c r="AT65" s="6">
        <f>SUMIFS(Timesheet!$F$13:$F$11461,Timesheet!$A$13:$A$11461,'Mês 1'!AQ65,Timesheet!$C$13:$C$11461,'Mês 1'!$AT$40)</f>
        <v>0</v>
      </c>
      <c r="AU65" s="6">
        <f>SUMIFS(Timesheet!$F$13:$F$11461,Timesheet!$A$13:$A$11461,'Mês 1'!AQ65,Timesheet!$C$13:$C$11461,'Mês 1'!$AU$40)</f>
        <v>0</v>
      </c>
      <c r="AV65" s="6">
        <f>SUMIFS(Timesheet!$F$13:$F$11461,Timesheet!$A$13:$A$11461,'Mês 1'!AQ65,Timesheet!$C$13:$C$11461,'Mês 1'!$AV$40)</f>
        <v>0</v>
      </c>
      <c r="AW65" s="6">
        <f>SUMIFS(Timesheet!$F$13:$F$11461,Timesheet!$A$13:$A$11461,'Mês 1'!AQ65,Timesheet!$C$13:$C$11461,'Mês 1'!$AW$40)</f>
        <v>0</v>
      </c>
      <c r="AX65" s="6">
        <f>SUMIFS(Timesheet!$F$13:$F$11461,Timesheet!$A$13:$A$11461,'Mês 1'!AQ65,Timesheet!$C$13:$C$11461,'Mês 1'!$AX$40)</f>
        <v>0</v>
      </c>
      <c r="AY65" s="6">
        <f>SUMIFS(Timesheet!$F$13:$F$11461,Timesheet!$A$13:$A$11461,'Mês 1'!AQ65,Timesheet!$C$13:$C$11461,'Mês 1'!$AY$40)</f>
        <v>0</v>
      </c>
      <c r="AZ65" s="6">
        <f>SUMIFS(Timesheet!$F$13:$F$11461,Timesheet!$A$13:$A$11461,'Mês 1'!AQ65,Timesheet!$C$13:$C$11461,'Mês 1'!$AZ$40)</f>
        <v>0</v>
      </c>
      <c r="BA65" s="6">
        <f t="shared" si="7"/>
        <v>0</v>
      </c>
      <c r="BB65" s="6">
        <f t="array" ref="BB65">MIN(IF(Timesheet!$A$13:$A$11483='Mês 1'!AQ65,Timesheet!$D$13:$D$11483))</f>
        <v>0</v>
      </c>
      <c r="BC65" s="6">
        <f t="array" ref="BC65">MAX(IF(Timesheet!$A$13:$A$11483='Mês 1'!AQ65,Timesheet!$E$13:$E$11483))</f>
        <v>0</v>
      </c>
      <c r="BE65" s="1">
        <v>45255</v>
      </c>
      <c r="BF65" s="6">
        <f>SUMIFS(Timesheet!$F$13:$F$11461,Timesheet!$A$13:$A$11461,'Mês 1'!BE65,Timesheet!$C$13:$C$11461,'Mês 1'!$BF$40)</f>
        <v>0</v>
      </c>
      <c r="BG65" s="6">
        <f>SUMIFS(Timesheet!$F$13:$F$11461,Timesheet!$A$13:$A$11461,'Mês 1'!BE65,Timesheet!$C$13:$C$11461,'Mês 1'!$BG$40)</f>
        <v>0</v>
      </c>
      <c r="BH65" s="6">
        <f>SUMIFS(Timesheet!$F$13:$F$11461,Timesheet!$A$13:$A$11461,'Mês 1'!BE65,Timesheet!$C$13:$C$11461,'Mês 1'!$BH$40)</f>
        <v>0</v>
      </c>
      <c r="BI65" s="6">
        <f>SUMIFS(Timesheet!$F$13:$F$11461,Timesheet!$A$13:$A$11461,'Mês 1'!BE65,Timesheet!$C$13:$C$11461,'Mês 1'!$BI$40)</f>
        <v>0</v>
      </c>
      <c r="BJ65" s="6">
        <f>SUMIFS(Timesheet!$F$13:$F$11461,Timesheet!$A$13:$A$11461,'Mês 1'!BE65,Timesheet!$C$13:$C$11461,'Mês 1'!$BJ$40)</f>
        <v>0</v>
      </c>
      <c r="BK65" s="6">
        <f>SUMIFS(Timesheet!$F$13:$F$11461,Timesheet!$A$13:$A$11461,'Mês 1'!BE65,Timesheet!$C$13:$C$11461,'Mês 1'!$BK$40)</f>
        <v>0</v>
      </c>
      <c r="BL65" s="6">
        <f>SUMIFS(Timesheet!$F$13:$F$11461,Timesheet!$A$13:$A$11461,'Mês 1'!BE65,Timesheet!$C$13:$C$11461,'Mês 1'!$BL$40)</f>
        <v>0</v>
      </c>
      <c r="BM65" s="6">
        <f>SUMIFS(Timesheet!$F$13:$F$11461,Timesheet!$A$13:$A$11461,'Mês 1'!BE65,Timesheet!$C$13:$C$11461,'Mês 1'!$BM$40)</f>
        <v>0</v>
      </c>
      <c r="BN65" s="6">
        <f>SUMIFS(Timesheet!$F$13:$F$11461,Timesheet!$A$13:$A$11461,'Mês 1'!BE65,Timesheet!$C$13:$C$11461,'Mês 1'!$BN$40)</f>
        <v>0</v>
      </c>
      <c r="BO65" s="6">
        <f t="shared" si="8"/>
        <v>0</v>
      </c>
      <c r="BP65" s="6">
        <f t="array" ref="BP65">MIN(IF(Timesheet!$A$13:$A$11483='Mês 1'!BE65,Timesheet!$D$13:$D$11483))</f>
        <v>0</v>
      </c>
      <c r="BQ65" s="6">
        <f t="array" ref="BQ65">MAX(IF(Timesheet!$A$13:$A$11483='Mês 1'!BE65,Timesheet!$E$13:$E$11483))</f>
        <v>0</v>
      </c>
    </row>
    <row r="66" spans="1:69" x14ac:dyDescent="0.25">
      <c r="A66" s="1">
        <v>45011</v>
      </c>
      <c r="B66" s="6">
        <f>SUMIFS(Timesheet!$F$13:$F$11461,Timesheet!$A$13:$A$11461,'Mês 1'!A66,Timesheet!$C$13:$C$11461,'Mês 1'!$B$40)</f>
        <v>0</v>
      </c>
      <c r="C66" s="6">
        <f>SUMIFS(Timesheet!$F$13:$F$11461,Timesheet!$A$13:$A$11461,'Mês 1'!A66,Timesheet!$C$13:$C$11461,'Mês 1'!$C$40)</f>
        <v>0</v>
      </c>
      <c r="D66" s="6">
        <f>SUMIFS(Timesheet!$F$13:$F$11461,Timesheet!$A$13:$A$11461,'Mês 1'!A66,Timesheet!$C$13:$C$11461,'Mês 1'!$D$40)</f>
        <v>0</v>
      </c>
      <c r="E66" s="6">
        <f>SUMIFS(Timesheet!$F$13:$F$11461,Timesheet!$A$13:$A$11461,'Mês 1'!A66,Timesheet!$C$13:$C$11461,'Mês 1'!$E$40)</f>
        <v>0</v>
      </c>
      <c r="F66" s="6">
        <f>SUMIFS(Timesheet!$F$13:$F$11461,Timesheet!$A$13:$A$11461,'Mês 1'!A66,Timesheet!$C$13:$C$11461,'Mês 1'!$F$40)</f>
        <v>0</v>
      </c>
      <c r="G66" s="6">
        <f>SUMIFS(Timesheet!$F$13:$F$11461,Timesheet!$A$13:$A$11461,'Mês 1'!A66,Timesheet!$C$13:$C$11461,'Mês 1'!$G$40)</f>
        <v>0</v>
      </c>
      <c r="H66" s="6">
        <f>SUMIFS(Timesheet!$F$13:$F$11461,Timesheet!$A$13:$A$11461,'Mês 1'!A66,Timesheet!$C$13:$C$11461,'Mês 1'!$H$40)</f>
        <v>0</v>
      </c>
      <c r="I66" s="6">
        <f>SUMIFS(Timesheet!$F$13:$F$11461,Timesheet!$A$13:$A$11461,'Mês 1'!A66,Timesheet!$C$13:$C$11461,'Mês 1'!$I$40)</f>
        <v>0</v>
      </c>
      <c r="J66" s="6">
        <f>SUMIFS(Timesheet!$F$13:$F$11461,Timesheet!$A$13:$A$11461,'Mês 1'!A66,Timesheet!$C$13:$C$11461,'Mês 1'!$J$40)</f>
        <v>0</v>
      </c>
      <c r="K66" s="6">
        <f t="shared" si="4"/>
        <v>0</v>
      </c>
      <c r="L66" s="6">
        <f t="array" ref="L66">MIN(IF(Timesheet!$A$13:$A$11483='Mês 1'!A66,Timesheet!$D$13:$D$11483))</f>
        <v>0</v>
      </c>
      <c r="M66" s="6">
        <f t="array" ref="M66">MAX(IF(Timesheet!$A$13:$A$11483='Mês 1'!A66,Timesheet!$E$13:$E$11483))</f>
        <v>0</v>
      </c>
      <c r="O66" s="1">
        <v>45072</v>
      </c>
      <c r="P66" s="6">
        <f>SUMIFS(Timesheet!$F$13:$F$11461,Timesheet!$A$13:$A$11461,'Mês 1'!O66,Timesheet!$C$13:$C$11461,'Mês 1'!$P$40)</f>
        <v>0</v>
      </c>
      <c r="Q66" s="6">
        <f>SUMIFS(Timesheet!$F$13:$F$11461,Timesheet!$A$13:$A$11461,'Mês 1'!O66,Timesheet!$C$13:$C$11461,'Mês 1'!$Q$40)</f>
        <v>0</v>
      </c>
      <c r="R66" s="6">
        <f>SUMIFS(Timesheet!$F$13:$F$11461,Timesheet!$A$13:$A$11461,'Mês 1'!O66,Timesheet!$C$13:$C$11461,'Mês 1'!$R$40)</f>
        <v>0</v>
      </c>
      <c r="S66" s="6">
        <f>SUMIFS(Timesheet!$F$13:$F$11461,Timesheet!$A$13:$A$11461,'Mês 1'!O66,Timesheet!$C$13:$C$11461,'Mês 1'!$S$40)</f>
        <v>0</v>
      </c>
      <c r="T66" s="6">
        <f>SUMIFS(Timesheet!$F$13:$F$11461,Timesheet!$A$13:$A$11461,'Mês 1'!O66,Timesheet!$C$13:$C$11461,'Mês 1'!$T$40)</f>
        <v>0</v>
      </c>
      <c r="U66" s="6">
        <f>SUMIFS(Timesheet!$F$13:$F$11461,Timesheet!$A$13:$A$11461,'Mês 1'!O66,Timesheet!$C$13:$C$11461,'Mês 1'!$U$40)</f>
        <v>0</v>
      </c>
      <c r="V66" s="6">
        <f>SUMIFS(Timesheet!$F$13:$F$11461,Timesheet!$A$13:$A$11461,'Mês 1'!O66,Timesheet!$C$13:$C$11461,'Mês 1'!$V$40)</f>
        <v>0</v>
      </c>
      <c r="W66" s="6">
        <f>SUMIFS(Timesheet!$F$13:$F$11461,Timesheet!$A$13:$A$11461,'Mês 1'!O66,Timesheet!$C$13:$C$11461,'Mês 1'!$W$40)</f>
        <v>0</v>
      </c>
      <c r="X66" s="6">
        <f>SUMIFS(Timesheet!$F$13:$F$11461,Timesheet!$A$13:$A$11461,'Mês 1'!O66,Timesheet!$C$13:$C$11461,'Mês 1'!$X$40)</f>
        <v>0</v>
      </c>
      <c r="Y66" s="6">
        <f t="shared" si="5"/>
        <v>0</v>
      </c>
      <c r="Z66" s="6">
        <f t="array" ref="Z66">MIN(IF(Timesheet!$A$13:$A$11483='Mês 1'!O66,Timesheet!$D$13:$D$11483))</f>
        <v>0</v>
      </c>
      <c r="AA66" s="6">
        <f t="array" ref="AA66">MAX(IF(Timesheet!$A$13:$A$11483='Mês 1'!O66,Timesheet!$E$13:$E$11483))</f>
        <v>0</v>
      </c>
      <c r="AC66" s="1">
        <v>45133</v>
      </c>
      <c r="AD66" s="6">
        <f>SUMIFS(Timesheet!$F$13:$F$11461,Timesheet!$A$13:$A$11461,'Mês 1'!AC66,Timesheet!$C$13:$C$11461,'Mês 1'!$AD$40)</f>
        <v>0</v>
      </c>
      <c r="AE66" s="6">
        <f>SUMIFS(Timesheet!$F$13:$F$11461,Timesheet!$A$13:$A$11461,'Mês 1'!AC66,Timesheet!$C$13:$C$11461,'Mês 1'!$AE$40)</f>
        <v>0</v>
      </c>
      <c r="AF66" s="6">
        <f>SUMIFS(Timesheet!$F$13:$F$11461,Timesheet!$A$13:$A$11461,'Mês 1'!AC66,Timesheet!$C$13:$C$11461,'Mês 1'!$AF$40)</f>
        <v>0</v>
      </c>
      <c r="AG66" s="6">
        <f>SUMIFS(Timesheet!$F$13:$F$11461,Timesheet!$A$13:$A$11461,'Mês 1'!AC66,Timesheet!$C$13:$C$11461,'Mês 1'!$AG$40)</f>
        <v>0</v>
      </c>
      <c r="AH66" s="6">
        <f>SUMIFS(Timesheet!$F$13:$F$11461,Timesheet!$A$13:$A$11461,'Mês 1'!AC66,Timesheet!$C$13:$C$11461,'Mês 1'!$AH$40)</f>
        <v>0</v>
      </c>
      <c r="AI66" s="6">
        <f>SUMIFS(Timesheet!$F$13:$F$11461,Timesheet!$A$13:$A$11461,'Mês 1'!AC66,Timesheet!$C$13:$C$11461,'Mês 1'!$AI$40)</f>
        <v>0</v>
      </c>
      <c r="AJ66" s="6">
        <f>SUMIFS(Timesheet!$F$13:$F$11461,Timesheet!$A$13:$A$11461,'Mês 1'!AC66,Timesheet!$C$13:$C$11461,'Mês 1'!$AJ$40)</f>
        <v>0</v>
      </c>
      <c r="AK66" s="6">
        <f>SUMIFS(Timesheet!$F$13:$F$11461,Timesheet!$A$13:$A$11461,'Mês 1'!AC66,Timesheet!$C$13:$C$11461,'Mês 1'!$AK$40)</f>
        <v>0</v>
      </c>
      <c r="AL66" s="6">
        <f>SUMIFS(Timesheet!$F$13:$F$11461,Timesheet!$A$13:$A$11461,'Mês 1'!AC66,Timesheet!$C$13:$C$11461,'Mês 1'!$AL$40)</f>
        <v>0</v>
      </c>
      <c r="AM66" s="6">
        <f t="shared" si="6"/>
        <v>0</v>
      </c>
      <c r="AN66" s="6">
        <f t="array" ref="AN66">MIN(IF(Timesheet!$A$13:$A$11483='Mês 1'!AC66,Timesheet!$D$13:$D$11483))</f>
        <v>0</v>
      </c>
      <c r="AO66" s="6">
        <f t="array" ref="AO66">MAX(IF(Timesheet!$A$13:$A$11483='Mês 1'!AC66,Timesheet!$E$13:$E$11483))</f>
        <v>0</v>
      </c>
      <c r="AQ66" s="1">
        <v>45195</v>
      </c>
      <c r="AR66" s="6">
        <f>SUMIFS(Timesheet!$F$13:$F$11461,Timesheet!$A$13:$A$11461,'Mês 1'!AQ66,Timesheet!$C$13:$C$11461,'Mês 1'!$AR$40)</f>
        <v>0</v>
      </c>
      <c r="AS66" s="6">
        <f>SUMIFS(Timesheet!$F$13:$F$11461,Timesheet!$A$13:$A$11461,'Mês 1'!AQ66,Timesheet!$C$13:$C$11461,'Mês 1'!$AS$40)</f>
        <v>0</v>
      </c>
      <c r="AT66" s="6">
        <f>SUMIFS(Timesheet!$F$13:$F$11461,Timesheet!$A$13:$A$11461,'Mês 1'!AQ66,Timesheet!$C$13:$C$11461,'Mês 1'!$AT$40)</f>
        <v>0</v>
      </c>
      <c r="AU66" s="6">
        <f>SUMIFS(Timesheet!$F$13:$F$11461,Timesheet!$A$13:$A$11461,'Mês 1'!AQ66,Timesheet!$C$13:$C$11461,'Mês 1'!$AU$40)</f>
        <v>0</v>
      </c>
      <c r="AV66" s="6">
        <f>SUMIFS(Timesheet!$F$13:$F$11461,Timesheet!$A$13:$A$11461,'Mês 1'!AQ66,Timesheet!$C$13:$C$11461,'Mês 1'!$AV$40)</f>
        <v>0</v>
      </c>
      <c r="AW66" s="6">
        <f>SUMIFS(Timesheet!$F$13:$F$11461,Timesheet!$A$13:$A$11461,'Mês 1'!AQ66,Timesheet!$C$13:$C$11461,'Mês 1'!$AW$40)</f>
        <v>0</v>
      </c>
      <c r="AX66" s="6">
        <f>SUMIFS(Timesheet!$F$13:$F$11461,Timesheet!$A$13:$A$11461,'Mês 1'!AQ66,Timesheet!$C$13:$C$11461,'Mês 1'!$AX$40)</f>
        <v>0</v>
      </c>
      <c r="AY66" s="6">
        <f>SUMIFS(Timesheet!$F$13:$F$11461,Timesheet!$A$13:$A$11461,'Mês 1'!AQ66,Timesheet!$C$13:$C$11461,'Mês 1'!$AY$40)</f>
        <v>0</v>
      </c>
      <c r="AZ66" s="6">
        <f>SUMIFS(Timesheet!$F$13:$F$11461,Timesheet!$A$13:$A$11461,'Mês 1'!AQ66,Timesheet!$C$13:$C$11461,'Mês 1'!$AZ$40)</f>
        <v>0</v>
      </c>
      <c r="BA66" s="6">
        <f t="shared" si="7"/>
        <v>0</v>
      </c>
      <c r="BB66" s="6">
        <f t="array" ref="BB66">MIN(IF(Timesheet!$A$13:$A$11483='Mês 1'!AQ66,Timesheet!$D$13:$D$11483))</f>
        <v>0</v>
      </c>
      <c r="BC66" s="6">
        <f t="array" ref="BC66">MAX(IF(Timesheet!$A$13:$A$11483='Mês 1'!AQ66,Timesheet!$E$13:$E$11483))</f>
        <v>0</v>
      </c>
      <c r="BE66" s="1">
        <v>45256</v>
      </c>
      <c r="BF66" s="6">
        <f>SUMIFS(Timesheet!$F$13:$F$11461,Timesheet!$A$13:$A$11461,'Mês 1'!BE66,Timesheet!$C$13:$C$11461,'Mês 1'!$BF$40)</f>
        <v>0</v>
      </c>
      <c r="BG66" s="6">
        <f>SUMIFS(Timesheet!$F$13:$F$11461,Timesheet!$A$13:$A$11461,'Mês 1'!BE66,Timesheet!$C$13:$C$11461,'Mês 1'!$BG$40)</f>
        <v>0</v>
      </c>
      <c r="BH66" s="6">
        <f>SUMIFS(Timesheet!$F$13:$F$11461,Timesheet!$A$13:$A$11461,'Mês 1'!BE66,Timesheet!$C$13:$C$11461,'Mês 1'!$BH$40)</f>
        <v>0</v>
      </c>
      <c r="BI66" s="6">
        <f>SUMIFS(Timesheet!$F$13:$F$11461,Timesheet!$A$13:$A$11461,'Mês 1'!BE66,Timesheet!$C$13:$C$11461,'Mês 1'!$BI$40)</f>
        <v>0</v>
      </c>
      <c r="BJ66" s="6">
        <f>SUMIFS(Timesheet!$F$13:$F$11461,Timesheet!$A$13:$A$11461,'Mês 1'!BE66,Timesheet!$C$13:$C$11461,'Mês 1'!$BJ$40)</f>
        <v>0</v>
      </c>
      <c r="BK66" s="6">
        <f>SUMIFS(Timesheet!$F$13:$F$11461,Timesheet!$A$13:$A$11461,'Mês 1'!BE66,Timesheet!$C$13:$C$11461,'Mês 1'!$BK$40)</f>
        <v>0</v>
      </c>
      <c r="BL66" s="6">
        <f>SUMIFS(Timesheet!$F$13:$F$11461,Timesheet!$A$13:$A$11461,'Mês 1'!BE66,Timesheet!$C$13:$C$11461,'Mês 1'!$BL$40)</f>
        <v>0</v>
      </c>
      <c r="BM66" s="6">
        <f>SUMIFS(Timesheet!$F$13:$F$11461,Timesheet!$A$13:$A$11461,'Mês 1'!BE66,Timesheet!$C$13:$C$11461,'Mês 1'!$BM$40)</f>
        <v>0</v>
      </c>
      <c r="BN66" s="6">
        <f>SUMIFS(Timesheet!$F$13:$F$11461,Timesheet!$A$13:$A$11461,'Mês 1'!BE66,Timesheet!$C$13:$C$11461,'Mês 1'!$BN$40)</f>
        <v>0</v>
      </c>
      <c r="BO66" s="6">
        <f t="shared" si="8"/>
        <v>0</v>
      </c>
      <c r="BP66" s="6">
        <f t="array" ref="BP66">MIN(IF(Timesheet!$A$13:$A$11483='Mês 1'!BE66,Timesheet!$D$13:$D$11483))</f>
        <v>0</v>
      </c>
      <c r="BQ66" s="6">
        <f t="array" ref="BQ66">MAX(IF(Timesheet!$A$13:$A$11483='Mês 1'!BE66,Timesheet!$E$13:$E$11483))</f>
        <v>0</v>
      </c>
    </row>
    <row r="67" spans="1:69" x14ac:dyDescent="0.25">
      <c r="A67" s="1">
        <v>45012</v>
      </c>
      <c r="B67" s="6">
        <f>SUMIFS(Timesheet!$F$13:$F$11461,Timesheet!$A$13:$A$11461,'Mês 1'!A67,Timesheet!$C$13:$C$11461,'Mês 1'!$B$40)</f>
        <v>0</v>
      </c>
      <c r="C67" s="6">
        <f>SUMIFS(Timesheet!$F$13:$F$11461,Timesheet!$A$13:$A$11461,'Mês 1'!A67,Timesheet!$C$13:$C$11461,'Mês 1'!$C$40)</f>
        <v>0</v>
      </c>
      <c r="D67" s="6">
        <f>SUMIFS(Timesheet!$F$13:$F$11461,Timesheet!$A$13:$A$11461,'Mês 1'!A67,Timesheet!$C$13:$C$11461,'Mês 1'!$D$40)</f>
        <v>0</v>
      </c>
      <c r="E67" s="6">
        <f>SUMIFS(Timesheet!$F$13:$F$11461,Timesheet!$A$13:$A$11461,'Mês 1'!A67,Timesheet!$C$13:$C$11461,'Mês 1'!$E$40)</f>
        <v>0</v>
      </c>
      <c r="F67" s="6">
        <f>SUMIFS(Timesheet!$F$13:$F$11461,Timesheet!$A$13:$A$11461,'Mês 1'!A67,Timesheet!$C$13:$C$11461,'Mês 1'!$F$40)</f>
        <v>0</v>
      </c>
      <c r="G67" s="6">
        <f>SUMIFS(Timesheet!$F$13:$F$11461,Timesheet!$A$13:$A$11461,'Mês 1'!A67,Timesheet!$C$13:$C$11461,'Mês 1'!$G$40)</f>
        <v>0</v>
      </c>
      <c r="H67" s="6">
        <f>SUMIFS(Timesheet!$F$13:$F$11461,Timesheet!$A$13:$A$11461,'Mês 1'!A67,Timesheet!$C$13:$C$11461,'Mês 1'!$H$40)</f>
        <v>0</v>
      </c>
      <c r="I67" s="6">
        <f>SUMIFS(Timesheet!$F$13:$F$11461,Timesheet!$A$13:$A$11461,'Mês 1'!A67,Timesheet!$C$13:$C$11461,'Mês 1'!$I$40)</f>
        <v>0</v>
      </c>
      <c r="J67" s="6">
        <f>SUMIFS(Timesheet!$F$13:$F$11461,Timesheet!$A$13:$A$11461,'Mês 1'!A67,Timesheet!$C$13:$C$11461,'Mês 1'!$J$40)</f>
        <v>0</v>
      </c>
      <c r="K67" s="6">
        <f t="shared" si="4"/>
        <v>0</v>
      </c>
      <c r="L67" s="6">
        <f t="array" ref="L67">MIN(IF(Timesheet!$A$13:$A$11483='Mês 1'!A67,Timesheet!$D$13:$D$11483))</f>
        <v>0</v>
      </c>
      <c r="M67" s="6">
        <f t="array" ref="M67">MAX(IF(Timesheet!$A$13:$A$11483='Mês 1'!A67,Timesheet!$E$13:$E$11483))</f>
        <v>0</v>
      </c>
      <c r="O67" s="1">
        <v>45073</v>
      </c>
      <c r="P67" s="6">
        <f>SUMIFS(Timesheet!$F$13:$F$11461,Timesheet!$A$13:$A$11461,'Mês 1'!O67,Timesheet!$C$13:$C$11461,'Mês 1'!$P$40)</f>
        <v>0</v>
      </c>
      <c r="Q67" s="6">
        <f>SUMIFS(Timesheet!$F$13:$F$11461,Timesheet!$A$13:$A$11461,'Mês 1'!O67,Timesheet!$C$13:$C$11461,'Mês 1'!$Q$40)</f>
        <v>0</v>
      </c>
      <c r="R67" s="6">
        <f>SUMIFS(Timesheet!$F$13:$F$11461,Timesheet!$A$13:$A$11461,'Mês 1'!O67,Timesheet!$C$13:$C$11461,'Mês 1'!$R$40)</f>
        <v>0</v>
      </c>
      <c r="S67" s="6">
        <f>SUMIFS(Timesheet!$F$13:$F$11461,Timesheet!$A$13:$A$11461,'Mês 1'!O67,Timesheet!$C$13:$C$11461,'Mês 1'!$S$40)</f>
        <v>0</v>
      </c>
      <c r="T67" s="6">
        <f>SUMIFS(Timesheet!$F$13:$F$11461,Timesheet!$A$13:$A$11461,'Mês 1'!O67,Timesheet!$C$13:$C$11461,'Mês 1'!$T$40)</f>
        <v>0</v>
      </c>
      <c r="U67" s="6">
        <f>SUMIFS(Timesheet!$F$13:$F$11461,Timesheet!$A$13:$A$11461,'Mês 1'!O67,Timesheet!$C$13:$C$11461,'Mês 1'!$U$40)</f>
        <v>0</v>
      </c>
      <c r="V67" s="6">
        <f>SUMIFS(Timesheet!$F$13:$F$11461,Timesheet!$A$13:$A$11461,'Mês 1'!O67,Timesheet!$C$13:$C$11461,'Mês 1'!$V$40)</f>
        <v>0</v>
      </c>
      <c r="W67" s="6">
        <f>SUMIFS(Timesheet!$F$13:$F$11461,Timesheet!$A$13:$A$11461,'Mês 1'!O67,Timesheet!$C$13:$C$11461,'Mês 1'!$W$40)</f>
        <v>0</v>
      </c>
      <c r="X67" s="6">
        <f>SUMIFS(Timesheet!$F$13:$F$11461,Timesheet!$A$13:$A$11461,'Mês 1'!O67,Timesheet!$C$13:$C$11461,'Mês 1'!$X$40)</f>
        <v>0</v>
      </c>
      <c r="Y67" s="6">
        <f t="shared" si="5"/>
        <v>0</v>
      </c>
      <c r="Z67" s="6">
        <f t="array" ref="Z67">MIN(IF(Timesheet!$A$13:$A$11483='Mês 1'!O67,Timesheet!$D$13:$D$11483))</f>
        <v>0</v>
      </c>
      <c r="AA67" s="6">
        <f t="array" ref="AA67">MAX(IF(Timesheet!$A$13:$A$11483='Mês 1'!O67,Timesheet!$E$13:$E$11483))</f>
        <v>0</v>
      </c>
      <c r="AC67" s="1">
        <v>45134</v>
      </c>
      <c r="AD67" s="6">
        <f>SUMIFS(Timesheet!$F$13:$F$11461,Timesheet!$A$13:$A$11461,'Mês 1'!AC67,Timesheet!$C$13:$C$11461,'Mês 1'!$AD$40)</f>
        <v>0</v>
      </c>
      <c r="AE67" s="6">
        <f>SUMIFS(Timesheet!$F$13:$F$11461,Timesheet!$A$13:$A$11461,'Mês 1'!AC67,Timesheet!$C$13:$C$11461,'Mês 1'!$AE$40)</f>
        <v>0</v>
      </c>
      <c r="AF67" s="6">
        <f>SUMIFS(Timesheet!$F$13:$F$11461,Timesheet!$A$13:$A$11461,'Mês 1'!AC67,Timesheet!$C$13:$C$11461,'Mês 1'!$AF$40)</f>
        <v>0</v>
      </c>
      <c r="AG67" s="6">
        <f>SUMIFS(Timesheet!$F$13:$F$11461,Timesheet!$A$13:$A$11461,'Mês 1'!AC67,Timesheet!$C$13:$C$11461,'Mês 1'!$AG$40)</f>
        <v>0</v>
      </c>
      <c r="AH67" s="6">
        <f>SUMIFS(Timesheet!$F$13:$F$11461,Timesheet!$A$13:$A$11461,'Mês 1'!AC67,Timesheet!$C$13:$C$11461,'Mês 1'!$AH$40)</f>
        <v>0</v>
      </c>
      <c r="AI67" s="6">
        <f>SUMIFS(Timesheet!$F$13:$F$11461,Timesheet!$A$13:$A$11461,'Mês 1'!AC67,Timesheet!$C$13:$C$11461,'Mês 1'!$AI$40)</f>
        <v>0</v>
      </c>
      <c r="AJ67" s="6">
        <f>SUMIFS(Timesheet!$F$13:$F$11461,Timesheet!$A$13:$A$11461,'Mês 1'!AC67,Timesheet!$C$13:$C$11461,'Mês 1'!$AJ$40)</f>
        <v>0</v>
      </c>
      <c r="AK67" s="6">
        <f>SUMIFS(Timesheet!$F$13:$F$11461,Timesheet!$A$13:$A$11461,'Mês 1'!AC67,Timesheet!$C$13:$C$11461,'Mês 1'!$AK$40)</f>
        <v>0</v>
      </c>
      <c r="AL67" s="6">
        <f>SUMIFS(Timesheet!$F$13:$F$11461,Timesheet!$A$13:$A$11461,'Mês 1'!AC67,Timesheet!$C$13:$C$11461,'Mês 1'!$AL$40)</f>
        <v>0</v>
      </c>
      <c r="AM67" s="6">
        <f t="shared" si="6"/>
        <v>0</v>
      </c>
      <c r="AN67" s="6">
        <f t="array" ref="AN67">MIN(IF(Timesheet!$A$13:$A$11483='Mês 1'!AC67,Timesheet!$D$13:$D$11483))</f>
        <v>0</v>
      </c>
      <c r="AO67" s="6">
        <f t="array" ref="AO67">MAX(IF(Timesheet!$A$13:$A$11483='Mês 1'!AC67,Timesheet!$E$13:$E$11483))</f>
        <v>0</v>
      </c>
      <c r="AQ67" s="1">
        <v>45196</v>
      </c>
      <c r="AR67" s="6">
        <f>SUMIFS(Timesheet!$F$13:$F$11461,Timesheet!$A$13:$A$11461,'Mês 1'!AQ67,Timesheet!$C$13:$C$11461,'Mês 1'!$AR$40)</f>
        <v>0</v>
      </c>
      <c r="AS67" s="6">
        <f>SUMIFS(Timesheet!$F$13:$F$11461,Timesheet!$A$13:$A$11461,'Mês 1'!AQ67,Timesheet!$C$13:$C$11461,'Mês 1'!$AS$40)</f>
        <v>0</v>
      </c>
      <c r="AT67" s="6">
        <f>SUMIFS(Timesheet!$F$13:$F$11461,Timesheet!$A$13:$A$11461,'Mês 1'!AQ67,Timesheet!$C$13:$C$11461,'Mês 1'!$AT$40)</f>
        <v>0</v>
      </c>
      <c r="AU67" s="6">
        <f>SUMIFS(Timesheet!$F$13:$F$11461,Timesheet!$A$13:$A$11461,'Mês 1'!AQ67,Timesheet!$C$13:$C$11461,'Mês 1'!$AU$40)</f>
        <v>0</v>
      </c>
      <c r="AV67" s="6">
        <f>SUMIFS(Timesheet!$F$13:$F$11461,Timesheet!$A$13:$A$11461,'Mês 1'!AQ67,Timesheet!$C$13:$C$11461,'Mês 1'!$AV$40)</f>
        <v>0</v>
      </c>
      <c r="AW67" s="6">
        <f>SUMIFS(Timesheet!$F$13:$F$11461,Timesheet!$A$13:$A$11461,'Mês 1'!AQ67,Timesheet!$C$13:$C$11461,'Mês 1'!$AW$40)</f>
        <v>0</v>
      </c>
      <c r="AX67" s="6">
        <f>SUMIFS(Timesheet!$F$13:$F$11461,Timesheet!$A$13:$A$11461,'Mês 1'!AQ67,Timesheet!$C$13:$C$11461,'Mês 1'!$AX$40)</f>
        <v>0</v>
      </c>
      <c r="AY67" s="6">
        <f>SUMIFS(Timesheet!$F$13:$F$11461,Timesheet!$A$13:$A$11461,'Mês 1'!AQ67,Timesheet!$C$13:$C$11461,'Mês 1'!$AY$40)</f>
        <v>0</v>
      </c>
      <c r="AZ67" s="6">
        <f>SUMIFS(Timesheet!$F$13:$F$11461,Timesheet!$A$13:$A$11461,'Mês 1'!AQ67,Timesheet!$C$13:$C$11461,'Mês 1'!$AZ$40)</f>
        <v>0</v>
      </c>
      <c r="BA67" s="6">
        <f t="shared" si="7"/>
        <v>0</v>
      </c>
      <c r="BB67" s="6">
        <f t="array" ref="BB67">MIN(IF(Timesheet!$A$13:$A$11483='Mês 1'!AQ67,Timesheet!$D$13:$D$11483))</f>
        <v>0</v>
      </c>
      <c r="BC67" s="6">
        <f t="array" ref="BC67">MAX(IF(Timesheet!$A$13:$A$11483='Mês 1'!AQ67,Timesheet!$E$13:$E$11483))</f>
        <v>0</v>
      </c>
      <c r="BE67" s="1">
        <v>45257</v>
      </c>
      <c r="BF67" s="6">
        <f>SUMIFS(Timesheet!$F$13:$F$11461,Timesheet!$A$13:$A$11461,'Mês 1'!BE67,Timesheet!$C$13:$C$11461,'Mês 1'!$BF$40)</f>
        <v>0</v>
      </c>
      <c r="BG67" s="6">
        <f>SUMIFS(Timesheet!$F$13:$F$11461,Timesheet!$A$13:$A$11461,'Mês 1'!BE67,Timesheet!$C$13:$C$11461,'Mês 1'!$BG$40)</f>
        <v>0</v>
      </c>
      <c r="BH67" s="6">
        <f>SUMIFS(Timesheet!$F$13:$F$11461,Timesheet!$A$13:$A$11461,'Mês 1'!BE67,Timesheet!$C$13:$C$11461,'Mês 1'!$BH$40)</f>
        <v>0</v>
      </c>
      <c r="BI67" s="6">
        <f>SUMIFS(Timesheet!$F$13:$F$11461,Timesheet!$A$13:$A$11461,'Mês 1'!BE67,Timesheet!$C$13:$C$11461,'Mês 1'!$BI$40)</f>
        <v>0</v>
      </c>
      <c r="BJ67" s="6">
        <f>SUMIFS(Timesheet!$F$13:$F$11461,Timesheet!$A$13:$A$11461,'Mês 1'!BE67,Timesheet!$C$13:$C$11461,'Mês 1'!$BJ$40)</f>
        <v>0</v>
      </c>
      <c r="BK67" s="6">
        <f>SUMIFS(Timesheet!$F$13:$F$11461,Timesheet!$A$13:$A$11461,'Mês 1'!BE67,Timesheet!$C$13:$C$11461,'Mês 1'!$BK$40)</f>
        <v>0</v>
      </c>
      <c r="BL67" s="6">
        <f>SUMIFS(Timesheet!$F$13:$F$11461,Timesheet!$A$13:$A$11461,'Mês 1'!BE67,Timesheet!$C$13:$C$11461,'Mês 1'!$BL$40)</f>
        <v>0</v>
      </c>
      <c r="BM67" s="6">
        <f>SUMIFS(Timesheet!$F$13:$F$11461,Timesheet!$A$13:$A$11461,'Mês 1'!BE67,Timesheet!$C$13:$C$11461,'Mês 1'!$BM$40)</f>
        <v>0</v>
      </c>
      <c r="BN67" s="6">
        <f>SUMIFS(Timesheet!$F$13:$F$11461,Timesheet!$A$13:$A$11461,'Mês 1'!BE67,Timesheet!$C$13:$C$11461,'Mês 1'!$BN$40)</f>
        <v>0</v>
      </c>
      <c r="BO67" s="6">
        <f t="shared" si="8"/>
        <v>0</v>
      </c>
      <c r="BP67" s="6">
        <f t="array" ref="BP67">MIN(IF(Timesheet!$A$13:$A$11483='Mês 1'!BE67,Timesheet!$D$13:$D$11483))</f>
        <v>0</v>
      </c>
      <c r="BQ67" s="6">
        <f t="array" ref="BQ67">MAX(IF(Timesheet!$A$13:$A$11483='Mês 1'!BE67,Timesheet!$E$13:$E$11483))</f>
        <v>0</v>
      </c>
    </row>
    <row r="68" spans="1:69" x14ac:dyDescent="0.25">
      <c r="A68" s="1">
        <v>45013</v>
      </c>
      <c r="B68" s="6">
        <f>SUMIFS(Timesheet!$F$13:$F$11461,Timesheet!$A$13:$A$11461,'Mês 1'!A68,Timesheet!$C$13:$C$11461,'Mês 1'!$B$40)</f>
        <v>0</v>
      </c>
      <c r="C68" s="6">
        <f>SUMIFS(Timesheet!$F$13:$F$11461,Timesheet!$A$13:$A$11461,'Mês 1'!A68,Timesheet!$C$13:$C$11461,'Mês 1'!$C$40)</f>
        <v>0</v>
      </c>
      <c r="D68" s="6">
        <f>SUMIFS(Timesheet!$F$13:$F$11461,Timesheet!$A$13:$A$11461,'Mês 1'!A68,Timesheet!$C$13:$C$11461,'Mês 1'!$D$40)</f>
        <v>0</v>
      </c>
      <c r="E68" s="6">
        <f>SUMIFS(Timesheet!$F$13:$F$11461,Timesheet!$A$13:$A$11461,'Mês 1'!A68,Timesheet!$C$13:$C$11461,'Mês 1'!$E$40)</f>
        <v>0</v>
      </c>
      <c r="F68" s="6">
        <f>SUMIFS(Timesheet!$F$13:$F$11461,Timesheet!$A$13:$A$11461,'Mês 1'!A68,Timesheet!$C$13:$C$11461,'Mês 1'!$F$40)</f>
        <v>0</v>
      </c>
      <c r="G68" s="6">
        <f>SUMIFS(Timesheet!$F$13:$F$11461,Timesheet!$A$13:$A$11461,'Mês 1'!A68,Timesheet!$C$13:$C$11461,'Mês 1'!$G$40)</f>
        <v>0</v>
      </c>
      <c r="H68" s="6">
        <f>SUMIFS(Timesheet!$F$13:$F$11461,Timesheet!$A$13:$A$11461,'Mês 1'!A68,Timesheet!$C$13:$C$11461,'Mês 1'!$H$40)</f>
        <v>0</v>
      </c>
      <c r="I68" s="6">
        <f>SUMIFS(Timesheet!$F$13:$F$11461,Timesheet!$A$13:$A$11461,'Mês 1'!A68,Timesheet!$C$13:$C$11461,'Mês 1'!$I$40)</f>
        <v>0</v>
      </c>
      <c r="J68" s="6">
        <f>SUMIFS(Timesheet!$F$13:$F$11461,Timesheet!$A$13:$A$11461,'Mês 1'!A68,Timesheet!$C$13:$C$11461,'Mês 1'!$J$40)</f>
        <v>0</v>
      </c>
      <c r="K68" s="6">
        <f t="shared" si="4"/>
        <v>0</v>
      </c>
      <c r="L68" s="6">
        <f t="array" ref="L68">MIN(IF(Timesheet!$A$13:$A$11483='Mês 1'!A68,Timesheet!$D$13:$D$11483))</f>
        <v>0</v>
      </c>
      <c r="M68" s="6">
        <f t="array" ref="M68">MAX(IF(Timesheet!$A$13:$A$11483='Mês 1'!A68,Timesheet!$E$13:$E$11483))</f>
        <v>0</v>
      </c>
      <c r="O68" s="1">
        <v>45074</v>
      </c>
      <c r="P68" s="6">
        <f>SUMIFS(Timesheet!$F$13:$F$11461,Timesheet!$A$13:$A$11461,'Mês 1'!O68,Timesheet!$C$13:$C$11461,'Mês 1'!$P$40)</f>
        <v>0</v>
      </c>
      <c r="Q68" s="6">
        <f>SUMIFS(Timesheet!$F$13:$F$11461,Timesheet!$A$13:$A$11461,'Mês 1'!O68,Timesheet!$C$13:$C$11461,'Mês 1'!$Q$40)</f>
        <v>0</v>
      </c>
      <c r="R68" s="6">
        <f>SUMIFS(Timesheet!$F$13:$F$11461,Timesheet!$A$13:$A$11461,'Mês 1'!O68,Timesheet!$C$13:$C$11461,'Mês 1'!$R$40)</f>
        <v>0</v>
      </c>
      <c r="S68" s="6">
        <f>SUMIFS(Timesheet!$F$13:$F$11461,Timesheet!$A$13:$A$11461,'Mês 1'!O68,Timesheet!$C$13:$C$11461,'Mês 1'!$S$40)</f>
        <v>0</v>
      </c>
      <c r="T68" s="6">
        <f>SUMIFS(Timesheet!$F$13:$F$11461,Timesheet!$A$13:$A$11461,'Mês 1'!O68,Timesheet!$C$13:$C$11461,'Mês 1'!$T$40)</f>
        <v>0</v>
      </c>
      <c r="U68" s="6">
        <f>SUMIFS(Timesheet!$F$13:$F$11461,Timesheet!$A$13:$A$11461,'Mês 1'!O68,Timesheet!$C$13:$C$11461,'Mês 1'!$U$40)</f>
        <v>0</v>
      </c>
      <c r="V68" s="6">
        <f>SUMIFS(Timesheet!$F$13:$F$11461,Timesheet!$A$13:$A$11461,'Mês 1'!O68,Timesheet!$C$13:$C$11461,'Mês 1'!$V$40)</f>
        <v>0</v>
      </c>
      <c r="W68" s="6">
        <f>SUMIFS(Timesheet!$F$13:$F$11461,Timesheet!$A$13:$A$11461,'Mês 1'!O68,Timesheet!$C$13:$C$11461,'Mês 1'!$W$40)</f>
        <v>0</v>
      </c>
      <c r="X68" s="6">
        <f>SUMIFS(Timesheet!$F$13:$F$11461,Timesheet!$A$13:$A$11461,'Mês 1'!O68,Timesheet!$C$13:$C$11461,'Mês 1'!$X$40)</f>
        <v>0</v>
      </c>
      <c r="Y68" s="6">
        <f t="shared" si="5"/>
        <v>0</v>
      </c>
      <c r="Z68" s="6">
        <f t="array" ref="Z68">MIN(IF(Timesheet!$A$13:$A$11483='Mês 1'!O68,Timesheet!$D$13:$D$11483))</f>
        <v>0</v>
      </c>
      <c r="AA68" s="6">
        <f t="array" ref="AA68">MAX(IF(Timesheet!$A$13:$A$11483='Mês 1'!O68,Timesheet!$E$13:$E$11483))</f>
        <v>0</v>
      </c>
      <c r="AC68" s="1">
        <v>45135</v>
      </c>
      <c r="AD68" s="6">
        <f>SUMIFS(Timesheet!$F$13:$F$11461,Timesheet!$A$13:$A$11461,'Mês 1'!AC68,Timesheet!$C$13:$C$11461,'Mês 1'!$AD$40)</f>
        <v>0</v>
      </c>
      <c r="AE68" s="6">
        <f>SUMIFS(Timesheet!$F$13:$F$11461,Timesheet!$A$13:$A$11461,'Mês 1'!AC68,Timesheet!$C$13:$C$11461,'Mês 1'!$AE$40)</f>
        <v>0</v>
      </c>
      <c r="AF68" s="6">
        <f>SUMIFS(Timesheet!$F$13:$F$11461,Timesheet!$A$13:$A$11461,'Mês 1'!AC68,Timesheet!$C$13:$C$11461,'Mês 1'!$AF$40)</f>
        <v>0</v>
      </c>
      <c r="AG68" s="6">
        <f>SUMIFS(Timesheet!$F$13:$F$11461,Timesheet!$A$13:$A$11461,'Mês 1'!AC68,Timesheet!$C$13:$C$11461,'Mês 1'!$AG$40)</f>
        <v>0</v>
      </c>
      <c r="AH68" s="6">
        <f>SUMIFS(Timesheet!$F$13:$F$11461,Timesheet!$A$13:$A$11461,'Mês 1'!AC68,Timesheet!$C$13:$C$11461,'Mês 1'!$AH$40)</f>
        <v>0</v>
      </c>
      <c r="AI68" s="6">
        <f>SUMIFS(Timesheet!$F$13:$F$11461,Timesheet!$A$13:$A$11461,'Mês 1'!AC68,Timesheet!$C$13:$C$11461,'Mês 1'!$AI$40)</f>
        <v>0</v>
      </c>
      <c r="AJ68" s="6">
        <f>SUMIFS(Timesheet!$F$13:$F$11461,Timesheet!$A$13:$A$11461,'Mês 1'!AC68,Timesheet!$C$13:$C$11461,'Mês 1'!$AJ$40)</f>
        <v>0</v>
      </c>
      <c r="AK68" s="6">
        <f>SUMIFS(Timesheet!$F$13:$F$11461,Timesheet!$A$13:$A$11461,'Mês 1'!AC68,Timesheet!$C$13:$C$11461,'Mês 1'!$AK$40)</f>
        <v>0</v>
      </c>
      <c r="AL68" s="6">
        <f>SUMIFS(Timesheet!$F$13:$F$11461,Timesheet!$A$13:$A$11461,'Mês 1'!AC68,Timesheet!$C$13:$C$11461,'Mês 1'!$AL$40)</f>
        <v>0</v>
      </c>
      <c r="AM68" s="6">
        <f t="shared" si="6"/>
        <v>0</v>
      </c>
      <c r="AN68" s="6">
        <f t="array" ref="AN68">MIN(IF(Timesheet!$A$13:$A$11483='Mês 1'!AC68,Timesheet!$D$13:$D$11483))</f>
        <v>0</v>
      </c>
      <c r="AO68" s="6">
        <f t="array" ref="AO68">MAX(IF(Timesheet!$A$13:$A$11483='Mês 1'!AC68,Timesheet!$E$13:$E$11483))</f>
        <v>0</v>
      </c>
      <c r="AQ68" s="1">
        <v>45197</v>
      </c>
      <c r="AR68" s="6">
        <f>SUMIFS(Timesheet!$F$13:$F$11461,Timesheet!$A$13:$A$11461,'Mês 1'!AQ68,Timesheet!$C$13:$C$11461,'Mês 1'!$AR$40)</f>
        <v>0</v>
      </c>
      <c r="AS68" s="6">
        <f>SUMIFS(Timesheet!$F$13:$F$11461,Timesheet!$A$13:$A$11461,'Mês 1'!AQ68,Timesheet!$C$13:$C$11461,'Mês 1'!$AS$40)</f>
        <v>0</v>
      </c>
      <c r="AT68" s="6">
        <f>SUMIFS(Timesheet!$F$13:$F$11461,Timesheet!$A$13:$A$11461,'Mês 1'!AQ68,Timesheet!$C$13:$C$11461,'Mês 1'!$AT$40)</f>
        <v>0</v>
      </c>
      <c r="AU68" s="6">
        <f>SUMIFS(Timesheet!$F$13:$F$11461,Timesheet!$A$13:$A$11461,'Mês 1'!AQ68,Timesheet!$C$13:$C$11461,'Mês 1'!$AU$40)</f>
        <v>0</v>
      </c>
      <c r="AV68" s="6">
        <f>SUMIFS(Timesheet!$F$13:$F$11461,Timesheet!$A$13:$A$11461,'Mês 1'!AQ68,Timesheet!$C$13:$C$11461,'Mês 1'!$AV$40)</f>
        <v>0</v>
      </c>
      <c r="AW68" s="6">
        <f>SUMIFS(Timesheet!$F$13:$F$11461,Timesheet!$A$13:$A$11461,'Mês 1'!AQ68,Timesheet!$C$13:$C$11461,'Mês 1'!$AW$40)</f>
        <v>0</v>
      </c>
      <c r="AX68" s="6">
        <f>SUMIFS(Timesheet!$F$13:$F$11461,Timesheet!$A$13:$A$11461,'Mês 1'!AQ68,Timesheet!$C$13:$C$11461,'Mês 1'!$AX$40)</f>
        <v>0</v>
      </c>
      <c r="AY68" s="6">
        <f>SUMIFS(Timesheet!$F$13:$F$11461,Timesheet!$A$13:$A$11461,'Mês 1'!AQ68,Timesheet!$C$13:$C$11461,'Mês 1'!$AY$40)</f>
        <v>0</v>
      </c>
      <c r="AZ68" s="6">
        <f>SUMIFS(Timesheet!$F$13:$F$11461,Timesheet!$A$13:$A$11461,'Mês 1'!AQ68,Timesheet!$C$13:$C$11461,'Mês 1'!$AZ$40)</f>
        <v>0</v>
      </c>
      <c r="BA68" s="6">
        <f t="shared" si="7"/>
        <v>0</v>
      </c>
      <c r="BB68" s="6">
        <f t="array" ref="BB68">MIN(IF(Timesheet!$A$13:$A$11483='Mês 1'!AQ68,Timesheet!$D$13:$D$11483))</f>
        <v>0</v>
      </c>
      <c r="BC68" s="6">
        <f t="array" ref="BC68">MAX(IF(Timesheet!$A$13:$A$11483='Mês 1'!AQ68,Timesheet!$E$13:$E$11483))</f>
        <v>0</v>
      </c>
      <c r="BE68" s="1">
        <v>45258</v>
      </c>
      <c r="BF68" s="6">
        <f>SUMIFS(Timesheet!$F$13:$F$11461,Timesheet!$A$13:$A$11461,'Mês 1'!BE68,Timesheet!$C$13:$C$11461,'Mês 1'!$BF$40)</f>
        <v>0</v>
      </c>
      <c r="BG68" s="6">
        <f>SUMIFS(Timesheet!$F$13:$F$11461,Timesheet!$A$13:$A$11461,'Mês 1'!BE68,Timesheet!$C$13:$C$11461,'Mês 1'!$BG$40)</f>
        <v>0</v>
      </c>
      <c r="BH68" s="6">
        <f>SUMIFS(Timesheet!$F$13:$F$11461,Timesheet!$A$13:$A$11461,'Mês 1'!BE68,Timesheet!$C$13:$C$11461,'Mês 1'!$BH$40)</f>
        <v>0</v>
      </c>
      <c r="BI68" s="6">
        <f>SUMIFS(Timesheet!$F$13:$F$11461,Timesheet!$A$13:$A$11461,'Mês 1'!BE68,Timesheet!$C$13:$C$11461,'Mês 1'!$BI$40)</f>
        <v>0</v>
      </c>
      <c r="BJ68" s="6">
        <f>SUMIFS(Timesheet!$F$13:$F$11461,Timesheet!$A$13:$A$11461,'Mês 1'!BE68,Timesheet!$C$13:$C$11461,'Mês 1'!$BJ$40)</f>
        <v>0</v>
      </c>
      <c r="BK68" s="6">
        <f>SUMIFS(Timesheet!$F$13:$F$11461,Timesheet!$A$13:$A$11461,'Mês 1'!BE68,Timesheet!$C$13:$C$11461,'Mês 1'!$BK$40)</f>
        <v>0</v>
      </c>
      <c r="BL68" s="6">
        <f>SUMIFS(Timesheet!$F$13:$F$11461,Timesheet!$A$13:$A$11461,'Mês 1'!BE68,Timesheet!$C$13:$C$11461,'Mês 1'!$BL$40)</f>
        <v>0</v>
      </c>
      <c r="BM68" s="6">
        <f>SUMIFS(Timesheet!$F$13:$F$11461,Timesheet!$A$13:$A$11461,'Mês 1'!BE68,Timesheet!$C$13:$C$11461,'Mês 1'!$BM$40)</f>
        <v>0</v>
      </c>
      <c r="BN68" s="6">
        <f>SUMIFS(Timesheet!$F$13:$F$11461,Timesheet!$A$13:$A$11461,'Mês 1'!BE68,Timesheet!$C$13:$C$11461,'Mês 1'!$BN$40)</f>
        <v>0</v>
      </c>
      <c r="BO68" s="6">
        <f t="shared" si="8"/>
        <v>0</v>
      </c>
      <c r="BP68" s="6">
        <f t="array" ref="BP68">MIN(IF(Timesheet!$A$13:$A$11483='Mês 1'!BE68,Timesheet!$D$13:$D$11483))</f>
        <v>0</v>
      </c>
      <c r="BQ68" s="6">
        <f t="array" ref="BQ68">MAX(IF(Timesheet!$A$13:$A$11483='Mês 1'!BE68,Timesheet!$E$13:$E$11483))</f>
        <v>0</v>
      </c>
    </row>
    <row r="69" spans="1:69" x14ac:dyDescent="0.25">
      <c r="A69" s="1">
        <v>45014</v>
      </c>
      <c r="B69" s="6">
        <f>SUMIFS(Timesheet!$F$13:$F$11461,Timesheet!$A$13:$A$11461,'Mês 1'!A69,Timesheet!$C$13:$C$11461,'Mês 1'!$B$40)</f>
        <v>0</v>
      </c>
      <c r="C69" s="6">
        <f>SUMIFS(Timesheet!$F$13:$F$11461,Timesheet!$A$13:$A$11461,'Mês 1'!A69,Timesheet!$C$13:$C$11461,'Mês 1'!$C$40)</f>
        <v>0</v>
      </c>
      <c r="D69" s="6">
        <f>SUMIFS(Timesheet!$F$13:$F$11461,Timesheet!$A$13:$A$11461,'Mês 1'!A69,Timesheet!$C$13:$C$11461,'Mês 1'!$D$40)</f>
        <v>0</v>
      </c>
      <c r="E69" s="6">
        <f>SUMIFS(Timesheet!$F$13:$F$11461,Timesheet!$A$13:$A$11461,'Mês 1'!A69,Timesheet!$C$13:$C$11461,'Mês 1'!$E$40)</f>
        <v>0</v>
      </c>
      <c r="F69" s="6">
        <f>SUMIFS(Timesheet!$F$13:$F$11461,Timesheet!$A$13:$A$11461,'Mês 1'!A69,Timesheet!$C$13:$C$11461,'Mês 1'!$F$40)</f>
        <v>0</v>
      </c>
      <c r="G69" s="6">
        <f>SUMIFS(Timesheet!$F$13:$F$11461,Timesheet!$A$13:$A$11461,'Mês 1'!A69,Timesheet!$C$13:$C$11461,'Mês 1'!$G$40)</f>
        <v>0</v>
      </c>
      <c r="H69" s="6">
        <f>SUMIFS(Timesheet!$F$13:$F$11461,Timesheet!$A$13:$A$11461,'Mês 1'!A69,Timesheet!$C$13:$C$11461,'Mês 1'!$H$40)</f>
        <v>0</v>
      </c>
      <c r="I69" s="6">
        <f>SUMIFS(Timesheet!$F$13:$F$11461,Timesheet!$A$13:$A$11461,'Mês 1'!A69,Timesheet!$C$13:$C$11461,'Mês 1'!$I$40)</f>
        <v>0</v>
      </c>
      <c r="J69" s="6">
        <f>SUMIFS(Timesheet!$F$13:$F$11461,Timesheet!$A$13:$A$11461,'Mês 1'!A69,Timesheet!$C$13:$C$11461,'Mês 1'!$J$40)</f>
        <v>0</v>
      </c>
      <c r="K69" s="6">
        <f t="shared" si="4"/>
        <v>0</v>
      </c>
      <c r="L69" s="6">
        <f t="array" ref="L69">MIN(IF(Timesheet!$A$13:$A$11483='Mês 1'!A69,Timesheet!$D$13:$D$11483))</f>
        <v>0</v>
      </c>
      <c r="M69" s="6">
        <f t="array" ref="M69">MAX(IF(Timesheet!$A$13:$A$11483='Mês 1'!A69,Timesheet!$E$13:$E$11483))</f>
        <v>0</v>
      </c>
      <c r="O69" s="1">
        <v>45075</v>
      </c>
      <c r="P69" s="6">
        <f>SUMIFS(Timesheet!$F$13:$F$11461,Timesheet!$A$13:$A$11461,'Mês 1'!O69,Timesheet!$C$13:$C$11461,'Mês 1'!$P$40)</f>
        <v>0</v>
      </c>
      <c r="Q69" s="6">
        <f>SUMIFS(Timesheet!$F$13:$F$11461,Timesheet!$A$13:$A$11461,'Mês 1'!O69,Timesheet!$C$13:$C$11461,'Mês 1'!$Q$40)</f>
        <v>0</v>
      </c>
      <c r="R69" s="6">
        <f>SUMIFS(Timesheet!$F$13:$F$11461,Timesheet!$A$13:$A$11461,'Mês 1'!O69,Timesheet!$C$13:$C$11461,'Mês 1'!$R$40)</f>
        <v>0</v>
      </c>
      <c r="S69" s="6">
        <f>SUMIFS(Timesheet!$F$13:$F$11461,Timesheet!$A$13:$A$11461,'Mês 1'!O69,Timesheet!$C$13:$C$11461,'Mês 1'!$S$40)</f>
        <v>0</v>
      </c>
      <c r="T69" s="6">
        <f>SUMIFS(Timesheet!$F$13:$F$11461,Timesheet!$A$13:$A$11461,'Mês 1'!O69,Timesheet!$C$13:$C$11461,'Mês 1'!$T$40)</f>
        <v>0</v>
      </c>
      <c r="U69" s="6">
        <f>SUMIFS(Timesheet!$F$13:$F$11461,Timesheet!$A$13:$A$11461,'Mês 1'!O69,Timesheet!$C$13:$C$11461,'Mês 1'!$U$40)</f>
        <v>0</v>
      </c>
      <c r="V69" s="6">
        <f>SUMIFS(Timesheet!$F$13:$F$11461,Timesheet!$A$13:$A$11461,'Mês 1'!O69,Timesheet!$C$13:$C$11461,'Mês 1'!$V$40)</f>
        <v>0</v>
      </c>
      <c r="W69" s="6">
        <f>SUMIFS(Timesheet!$F$13:$F$11461,Timesheet!$A$13:$A$11461,'Mês 1'!O69,Timesheet!$C$13:$C$11461,'Mês 1'!$W$40)</f>
        <v>0</v>
      </c>
      <c r="X69" s="6">
        <f>SUMIFS(Timesheet!$F$13:$F$11461,Timesheet!$A$13:$A$11461,'Mês 1'!O69,Timesheet!$C$13:$C$11461,'Mês 1'!$X$40)</f>
        <v>0</v>
      </c>
      <c r="Y69" s="6">
        <f t="shared" si="5"/>
        <v>0</v>
      </c>
      <c r="Z69" s="6">
        <f t="array" ref="Z69">MIN(IF(Timesheet!$A$13:$A$11483='Mês 1'!O69,Timesheet!$D$13:$D$11483))</f>
        <v>0</v>
      </c>
      <c r="AA69" s="6">
        <f t="array" ref="AA69">MAX(IF(Timesheet!$A$13:$A$11483='Mês 1'!O69,Timesheet!$E$13:$E$11483))</f>
        <v>0</v>
      </c>
      <c r="AC69" s="1">
        <v>45136</v>
      </c>
      <c r="AD69" s="6">
        <f>SUMIFS(Timesheet!$F$13:$F$11461,Timesheet!$A$13:$A$11461,'Mês 1'!AC69,Timesheet!$C$13:$C$11461,'Mês 1'!$AD$40)</f>
        <v>0</v>
      </c>
      <c r="AE69" s="6">
        <f>SUMIFS(Timesheet!$F$13:$F$11461,Timesheet!$A$13:$A$11461,'Mês 1'!AC69,Timesheet!$C$13:$C$11461,'Mês 1'!$AE$40)</f>
        <v>0</v>
      </c>
      <c r="AF69" s="6">
        <f>SUMIFS(Timesheet!$F$13:$F$11461,Timesheet!$A$13:$A$11461,'Mês 1'!AC69,Timesheet!$C$13:$C$11461,'Mês 1'!$AF$40)</f>
        <v>0</v>
      </c>
      <c r="AG69" s="6">
        <f>SUMIFS(Timesheet!$F$13:$F$11461,Timesheet!$A$13:$A$11461,'Mês 1'!AC69,Timesheet!$C$13:$C$11461,'Mês 1'!$AG$40)</f>
        <v>0</v>
      </c>
      <c r="AH69" s="6">
        <f>SUMIFS(Timesheet!$F$13:$F$11461,Timesheet!$A$13:$A$11461,'Mês 1'!AC69,Timesheet!$C$13:$C$11461,'Mês 1'!$AH$40)</f>
        <v>0</v>
      </c>
      <c r="AI69" s="6">
        <f>SUMIFS(Timesheet!$F$13:$F$11461,Timesheet!$A$13:$A$11461,'Mês 1'!AC69,Timesheet!$C$13:$C$11461,'Mês 1'!$AI$40)</f>
        <v>0</v>
      </c>
      <c r="AJ69" s="6">
        <f>SUMIFS(Timesheet!$F$13:$F$11461,Timesheet!$A$13:$A$11461,'Mês 1'!AC69,Timesheet!$C$13:$C$11461,'Mês 1'!$AJ$40)</f>
        <v>0</v>
      </c>
      <c r="AK69" s="6">
        <f>SUMIFS(Timesheet!$F$13:$F$11461,Timesheet!$A$13:$A$11461,'Mês 1'!AC69,Timesheet!$C$13:$C$11461,'Mês 1'!$AK$40)</f>
        <v>0</v>
      </c>
      <c r="AL69" s="6">
        <f>SUMIFS(Timesheet!$F$13:$F$11461,Timesheet!$A$13:$A$11461,'Mês 1'!AC69,Timesheet!$C$13:$C$11461,'Mês 1'!$AL$40)</f>
        <v>0</v>
      </c>
      <c r="AM69" s="6">
        <f t="shared" si="6"/>
        <v>0</v>
      </c>
      <c r="AN69" s="6">
        <f t="array" ref="AN69">MIN(IF(Timesheet!$A$13:$A$11483='Mês 1'!AC69,Timesheet!$D$13:$D$11483))</f>
        <v>0</v>
      </c>
      <c r="AO69" s="6">
        <f t="array" ref="AO69">MAX(IF(Timesheet!$A$13:$A$11483='Mês 1'!AC69,Timesheet!$E$13:$E$11483))</f>
        <v>0</v>
      </c>
      <c r="AQ69" s="1">
        <v>45198</v>
      </c>
      <c r="AR69" s="6">
        <f>SUMIFS(Timesheet!$F$13:$F$11461,Timesheet!$A$13:$A$11461,'Mês 1'!AQ69,Timesheet!$C$13:$C$11461,'Mês 1'!$AR$40)</f>
        <v>0</v>
      </c>
      <c r="AS69" s="6">
        <f>SUMIFS(Timesheet!$F$13:$F$11461,Timesheet!$A$13:$A$11461,'Mês 1'!AQ69,Timesheet!$C$13:$C$11461,'Mês 1'!$AS$40)</f>
        <v>0</v>
      </c>
      <c r="AT69" s="6">
        <f>SUMIFS(Timesheet!$F$13:$F$11461,Timesheet!$A$13:$A$11461,'Mês 1'!AQ69,Timesheet!$C$13:$C$11461,'Mês 1'!$AT$40)</f>
        <v>0</v>
      </c>
      <c r="AU69" s="6">
        <f>SUMIFS(Timesheet!$F$13:$F$11461,Timesheet!$A$13:$A$11461,'Mês 1'!AQ69,Timesheet!$C$13:$C$11461,'Mês 1'!$AU$40)</f>
        <v>0</v>
      </c>
      <c r="AV69" s="6">
        <f>SUMIFS(Timesheet!$F$13:$F$11461,Timesheet!$A$13:$A$11461,'Mês 1'!AQ69,Timesheet!$C$13:$C$11461,'Mês 1'!$AV$40)</f>
        <v>0</v>
      </c>
      <c r="AW69" s="6">
        <f>SUMIFS(Timesheet!$F$13:$F$11461,Timesheet!$A$13:$A$11461,'Mês 1'!AQ69,Timesheet!$C$13:$C$11461,'Mês 1'!$AW$40)</f>
        <v>0</v>
      </c>
      <c r="AX69" s="6">
        <f>SUMIFS(Timesheet!$F$13:$F$11461,Timesheet!$A$13:$A$11461,'Mês 1'!AQ69,Timesheet!$C$13:$C$11461,'Mês 1'!$AX$40)</f>
        <v>0</v>
      </c>
      <c r="AY69" s="6">
        <f>SUMIFS(Timesheet!$F$13:$F$11461,Timesheet!$A$13:$A$11461,'Mês 1'!AQ69,Timesheet!$C$13:$C$11461,'Mês 1'!$AY$40)</f>
        <v>0</v>
      </c>
      <c r="AZ69" s="6">
        <f>SUMIFS(Timesheet!$F$13:$F$11461,Timesheet!$A$13:$A$11461,'Mês 1'!AQ69,Timesheet!$C$13:$C$11461,'Mês 1'!$AZ$40)</f>
        <v>0</v>
      </c>
      <c r="BA69" s="6">
        <f t="shared" si="7"/>
        <v>0</v>
      </c>
      <c r="BB69" s="6">
        <f t="array" ref="BB69">MIN(IF(Timesheet!$A$13:$A$11483='Mês 1'!AQ69,Timesheet!$D$13:$D$11483))</f>
        <v>0</v>
      </c>
      <c r="BC69" s="6">
        <f t="array" ref="BC69">MAX(IF(Timesheet!$A$13:$A$11483='Mês 1'!AQ69,Timesheet!$E$13:$E$11483))</f>
        <v>0</v>
      </c>
      <c r="BE69" s="1">
        <v>45259</v>
      </c>
      <c r="BF69" s="6">
        <f>SUMIFS(Timesheet!$F$13:$F$11461,Timesheet!$A$13:$A$11461,'Mês 1'!BE69,Timesheet!$C$13:$C$11461,'Mês 1'!$BF$40)</f>
        <v>0</v>
      </c>
      <c r="BG69" s="6">
        <f>SUMIFS(Timesheet!$F$13:$F$11461,Timesheet!$A$13:$A$11461,'Mês 1'!BE69,Timesheet!$C$13:$C$11461,'Mês 1'!$BG$40)</f>
        <v>0</v>
      </c>
      <c r="BH69" s="6">
        <f>SUMIFS(Timesheet!$F$13:$F$11461,Timesheet!$A$13:$A$11461,'Mês 1'!BE69,Timesheet!$C$13:$C$11461,'Mês 1'!$BH$40)</f>
        <v>0</v>
      </c>
      <c r="BI69" s="6">
        <f>SUMIFS(Timesheet!$F$13:$F$11461,Timesheet!$A$13:$A$11461,'Mês 1'!BE69,Timesheet!$C$13:$C$11461,'Mês 1'!$BI$40)</f>
        <v>0</v>
      </c>
      <c r="BJ69" s="6">
        <f>SUMIFS(Timesheet!$F$13:$F$11461,Timesheet!$A$13:$A$11461,'Mês 1'!BE69,Timesheet!$C$13:$C$11461,'Mês 1'!$BJ$40)</f>
        <v>0</v>
      </c>
      <c r="BK69" s="6">
        <f>SUMIFS(Timesheet!$F$13:$F$11461,Timesheet!$A$13:$A$11461,'Mês 1'!BE69,Timesheet!$C$13:$C$11461,'Mês 1'!$BK$40)</f>
        <v>0</v>
      </c>
      <c r="BL69" s="6">
        <f>SUMIFS(Timesheet!$F$13:$F$11461,Timesheet!$A$13:$A$11461,'Mês 1'!BE69,Timesheet!$C$13:$C$11461,'Mês 1'!$BL$40)</f>
        <v>0</v>
      </c>
      <c r="BM69" s="6">
        <f>SUMIFS(Timesheet!$F$13:$F$11461,Timesheet!$A$13:$A$11461,'Mês 1'!BE69,Timesheet!$C$13:$C$11461,'Mês 1'!$BM$40)</f>
        <v>0</v>
      </c>
      <c r="BN69" s="6">
        <f>SUMIFS(Timesheet!$F$13:$F$11461,Timesheet!$A$13:$A$11461,'Mês 1'!BE69,Timesheet!$C$13:$C$11461,'Mês 1'!$BN$40)</f>
        <v>0</v>
      </c>
      <c r="BO69" s="6">
        <f t="shared" si="8"/>
        <v>0</v>
      </c>
      <c r="BP69" s="6">
        <f t="array" ref="BP69">MIN(IF(Timesheet!$A$13:$A$11483='Mês 1'!BE69,Timesheet!$D$13:$D$11483))</f>
        <v>0</v>
      </c>
      <c r="BQ69" s="6">
        <f t="array" ref="BQ69">MAX(IF(Timesheet!$A$13:$A$11483='Mês 1'!BE69,Timesheet!$E$13:$E$11483))</f>
        <v>0</v>
      </c>
    </row>
    <row r="70" spans="1:69" x14ac:dyDescent="0.25">
      <c r="A70" s="1">
        <v>45015</v>
      </c>
      <c r="B70" s="6">
        <f>SUMIFS(Timesheet!$F$13:$F$11461,Timesheet!$A$13:$A$11461,'Mês 1'!A70,Timesheet!$C$13:$C$11461,'Mês 1'!$B$40)</f>
        <v>0</v>
      </c>
      <c r="C70" s="6">
        <f>SUMIFS(Timesheet!$F$13:$F$11461,Timesheet!$A$13:$A$11461,'Mês 1'!A70,Timesheet!$C$13:$C$11461,'Mês 1'!$C$40)</f>
        <v>0</v>
      </c>
      <c r="D70" s="6">
        <f>SUMIFS(Timesheet!$F$13:$F$11461,Timesheet!$A$13:$A$11461,'Mês 1'!A70,Timesheet!$C$13:$C$11461,'Mês 1'!$D$40)</f>
        <v>0</v>
      </c>
      <c r="E70" s="6">
        <f>SUMIFS(Timesheet!$F$13:$F$11461,Timesheet!$A$13:$A$11461,'Mês 1'!A70,Timesheet!$C$13:$C$11461,'Mês 1'!$E$40)</f>
        <v>0</v>
      </c>
      <c r="F70" s="6">
        <f>SUMIFS(Timesheet!$F$13:$F$11461,Timesheet!$A$13:$A$11461,'Mês 1'!A70,Timesheet!$C$13:$C$11461,'Mês 1'!$F$40)</f>
        <v>0</v>
      </c>
      <c r="G70" s="6">
        <f>SUMIFS(Timesheet!$F$13:$F$11461,Timesheet!$A$13:$A$11461,'Mês 1'!A70,Timesheet!$C$13:$C$11461,'Mês 1'!$G$40)</f>
        <v>0</v>
      </c>
      <c r="H70" s="6">
        <f>SUMIFS(Timesheet!$F$13:$F$11461,Timesheet!$A$13:$A$11461,'Mês 1'!A70,Timesheet!$C$13:$C$11461,'Mês 1'!$H$40)</f>
        <v>0</v>
      </c>
      <c r="I70" s="6">
        <f>SUMIFS(Timesheet!$F$13:$F$11461,Timesheet!$A$13:$A$11461,'Mês 1'!A70,Timesheet!$C$13:$C$11461,'Mês 1'!$I$40)</f>
        <v>0</v>
      </c>
      <c r="J70" s="6">
        <f>SUMIFS(Timesheet!$F$13:$F$11461,Timesheet!$A$13:$A$11461,'Mês 1'!A70,Timesheet!$C$13:$C$11461,'Mês 1'!$J$40)</f>
        <v>0</v>
      </c>
      <c r="K70" s="6">
        <f t="shared" si="4"/>
        <v>0</v>
      </c>
      <c r="L70" s="6">
        <f t="array" ref="L70">MIN(IF(Timesheet!$A$13:$A$11483='Mês 1'!A70,Timesheet!$D$13:$D$11483))</f>
        <v>0</v>
      </c>
      <c r="M70" s="6">
        <f t="array" ref="M70">MAX(IF(Timesheet!$A$13:$A$11483='Mês 1'!A70,Timesheet!$E$13:$E$11483))</f>
        <v>0</v>
      </c>
      <c r="O70" s="1">
        <v>45076</v>
      </c>
      <c r="P70" s="6">
        <f>SUMIFS(Timesheet!$F$13:$F$11461,Timesheet!$A$13:$A$11461,'Mês 1'!O70,Timesheet!$C$13:$C$11461,'Mês 1'!$P$40)</f>
        <v>0</v>
      </c>
      <c r="Q70" s="6">
        <f>SUMIFS(Timesheet!$F$13:$F$11461,Timesheet!$A$13:$A$11461,'Mês 1'!O70,Timesheet!$C$13:$C$11461,'Mês 1'!$Q$40)</f>
        <v>0</v>
      </c>
      <c r="R70" s="6">
        <f>SUMIFS(Timesheet!$F$13:$F$11461,Timesheet!$A$13:$A$11461,'Mês 1'!O70,Timesheet!$C$13:$C$11461,'Mês 1'!$R$40)</f>
        <v>0</v>
      </c>
      <c r="S70" s="6">
        <f>SUMIFS(Timesheet!$F$13:$F$11461,Timesheet!$A$13:$A$11461,'Mês 1'!O70,Timesheet!$C$13:$C$11461,'Mês 1'!$S$40)</f>
        <v>0</v>
      </c>
      <c r="T70" s="6">
        <f>SUMIFS(Timesheet!$F$13:$F$11461,Timesheet!$A$13:$A$11461,'Mês 1'!O70,Timesheet!$C$13:$C$11461,'Mês 1'!$T$40)</f>
        <v>0</v>
      </c>
      <c r="U70" s="6">
        <f>SUMIFS(Timesheet!$F$13:$F$11461,Timesheet!$A$13:$A$11461,'Mês 1'!O70,Timesheet!$C$13:$C$11461,'Mês 1'!$U$40)</f>
        <v>0</v>
      </c>
      <c r="V70" s="6">
        <f>SUMIFS(Timesheet!$F$13:$F$11461,Timesheet!$A$13:$A$11461,'Mês 1'!O70,Timesheet!$C$13:$C$11461,'Mês 1'!$V$40)</f>
        <v>0</v>
      </c>
      <c r="W70" s="6">
        <f>SUMIFS(Timesheet!$F$13:$F$11461,Timesheet!$A$13:$A$11461,'Mês 1'!O70,Timesheet!$C$13:$C$11461,'Mês 1'!$W$40)</f>
        <v>0</v>
      </c>
      <c r="X70" s="6">
        <f>SUMIFS(Timesheet!$F$13:$F$11461,Timesheet!$A$13:$A$11461,'Mês 1'!O70,Timesheet!$C$13:$C$11461,'Mês 1'!$X$40)</f>
        <v>0</v>
      </c>
      <c r="Y70" s="6">
        <f t="shared" si="5"/>
        <v>0</v>
      </c>
      <c r="Z70" s="6">
        <f t="array" ref="Z70">MIN(IF(Timesheet!$A$13:$A$11483='Mês 1'!O70,Timesheet!$D$13:$D$11483))</f>
        <v>0</v>
      </c>
      <c r="AA70" s="6">
        <f t="array" ref="AA70">MAX(IF(Timesheet!$A$13:$A$11483='Mês 1'!O70,Timesheet!$E$13:$E$11483))</f>
        <v>0</v>
      </c>
      <c r="AC70" s="1">
        <v>45137</v>
      </c>
      <c r="AD70" s="6">
        <f>SUMIFS(Timesheet!$F$13:$F$11461,Timesheet!$A$13:$A$11461,'Mês 1'!AC70,Timesheet!$C$13:$C$11461,'Mês 1'!$AD$40)</f>
        <v>0</v>
      </c>
      <c r="AE70" s="6">
        <f>SUMIFS(Timesheet!$F$13:$F$11461,Timesheet!$A$13:$A$11461,'Mês 1'!AC70,Timesheet!$C$13:$C$11461,'Mês 1'!$AE$40)</f>
        <v>0</v>
      </c>
      <c r="AF70" s="6">
        <f>SUMIFS(Timesheet!$F$13:$F$11461,Timesheet!$A$13:$A$11461,'Mês 1'!AC70,Timesheet!$C$13:$C$11461,'Mês 1'!$AF$40)</f>
        <v>0</v>
      </c>
      <c r="AG70" s="6">
        <f>SUMIFS(Timesheet!$F$13:$F$11461,Timesheet!$A$13:$A$11461,'Mês 1'!AC70,Timesheet!$C$13:$C$11461,'Mês 1'!$AG$40)</f>
        <v>0</v>
      </c>
      <c r="AH70" s="6">
        <f>SUMIFS(Timesheet!$F$13:$F$11461,Timesheet!$A$13:$A$11461,'Mês 1'!AC70,Timesheet!$C$13:$C$11461,'Mês 1'!$AH$40)</f>
        <v>0</v>
      </c>
      <c r="AI70" s="6">
        <f>SUMIFS(Timesheet!$F$13:$F$11461,Timesheet!$A$13:$A$11461,'Mês 1'!AC70,Timesheet!$C$13:$C$11461,'Mês 1'!$AI$40)</f>
        <v>0</v>
      </c>
      <c r="AJ70" s="6">
        <f>SUMIFS(Timesheet!$F$13:$F$11461,Timesheet!$A$13:$A$11461,'Mês 1'!AC70,Timesheet!$C$13:$C$11461,'Mês 1'!$AJ$40)</f>
        <v>0</v>
      </c>
      <c r="AK70" s="6">
        <f>SUMIFS(Timesheet!$F$13:$F$11461,Timesheet!$A$13:$A$11461,'Mês 1'!AC70,Timesheet!$C$13:$C$11461,'Mês 1'!$AK$40)</f>
        <v>0</v>
      </c>
      <c r="AL70" s="6">
        <f>SUMIFS(Timesheet!$F$13:$F$11461,Timesheet!$A$13:$A$11461,'Mês 1'!AC70,Timesheet!$C$13:$C$11461,'Mês 1'!$AL$40)</f>
        <v>0</v>
      </c>
      <c r="AM70" s="6">
        <f t="shared" si="6"/>
        <v>0</v>
      </c>
      <c r="AN70" s="6">
        <f t="array" ref="AN70">MIN(IF(Timesheet!$A$13:$A$11483='Mês 1'!AC70,Timesheet!$D$13:$D$11483))</f>
        <v>0</v>
      </c>
      <c r="AO70" s="6">
        <f t="array" ref="AO70">MAX(IF(Timesheet!$A$13:$A$11483='Mês 1'!AC70,Timesheet!$E$13:$E$11483))</f>
        <v>0</v>
      </c>
      <c r="AQ70" s="1">
        <v>45199</v>
      </c>
      <c r="AR70" s="6">
        <f>SUMIFS(Timesheet!$F$13:$F$11461,Timesheet!$A$13:$A$11461,'Mês 1'!AQ70,Timesheet!$C$13:$C$11461,'Mês 1'!$AR$40)</f>
        <v>0</v>
      </c>
      <c r="AS70" s="6">
        <f>SUMIFS(Timesheet!$F$13:$F$11461,Timesheet!$A$13:$A$11461,'Mês 1'!AQ70,Timesheet!$C$13:$C$11461,'Mês 1'!$AS$40)</f>
        <v>0</v>
      </c>
      <c r="AT70" s="6">
        <f>SUMIFS(Timesheet!$F$13:$F$11461,Timesheet!$A$13:$A$11461,'Mês 1'!AQ70,Timesheet!$C$13:$C$11461,'Mês 1'!$AT$40)</f>
        <v>0</v>
      </c>
      <c r="AU70" s="6">
        <f>SUMIFS(Timesheet!$F$13:$F$11461,Timesheet!$A$13:$A$11461,'Mês 1'!AQ70,Timesheet!$C$13:$C$11461,'Mês 1'!$AU$40)</f>
        <v>0</v>
      </c>
      <c r="AV70" s="6">
        <f>SUMIFS(Timesheet!$F$13:$F$11461,Timesheet!$A$13:$A$11461,'Mês 1'!AQ70,Timesheet!$C$13:$C$11461,'Mês 1'!$AV$40)</f>
        <v>0</v>
      </c>
      <c r="AW70" s="6">
        <f>SUMIFS(Timesheet!$F$13:$F$11461,Timesheet!$A$13:$A$11461,'Mês 1'!AQ70,Timesheet!$C$13:$C$11461,'Mês 1'!$AW$40)</f>
        <v>0</v>
      </c>
      <c r="AX70" s="6">
        <f>SUMIFS(Timesheet!$F$13:$F$11461,Timesheet!$A$13:$A$11461,'Mês 1'!AQ70,Timesheet!$C$13:$C$11461,'Mês 1'!$AX$40)</f>
        <v>0</v>
      </c>
      <c r="AY70" s="6">
        <f>SUMIFS(Timesheet!$F$13:$F$11461,Timesheet!$A$13:$A$11461,'Mês 1'!AQ70,Timesheet!$C$13:$C$11461,'Mês 1'!$AY$40)</f>
        <v>0</v>
      </c>
      <c r="AZ70" s="6">
        <f>SUMIFS(Timesheet!$F$13:$F$11461,Timesheet!$A$13:$A$11461,'Mês 1'!AQ70,Timesheet!$C$13:$C$11461,'Mês 1'!$AZ$40)</f>
        <v>0</v>
      </c>
      <c r="BA70" s="6">
        <f t="shared" si="7"/>
        <v>0</v>
      </c>
      <c r="BB70" s="6">
        <f t="array" ref="BB70">MIN(IF(Timesheet!$A$13:$A$11483='Mês 1'!AQ70,Timesheet!$D$13:$D$11483))</f>
        <v>0</v>
      </c>
      <c r="BC70" s="6">
        <f t="array" ref="BC70">MAX(IF(Timesheet!$A$13:$A$11483='Mês 1'!AQ70,Timesheet!$E$13:$E$11483))</f>
        <v>0</v>
      </c>
      <c r="BE70" s="1">
        <v>45260</v>
      </c>
      <c r="BF70" s="6">
        <f>SUMIFS(Timesheet!$F$13:$F$11461,Timesheet!$A$13:$A$11461,'Mês 1'!BE70,Timesheet!$C$13:$C$11461,'Mês 1'!$BF$40)</f>
        <v>0</v>
      </c>
      <c r="BG70" s="6">
        <f>SUMIFS(Timesheet!$F$13:$F$11461,Timesheet!$A$13:$A$11461,'Mês 1'!BE70,Timesheet!$C$13:$C$11461,'Mês 1'!$BG$40)</f>
        <v>0</v>
      </c>
      <c r="BH70" s="6">
        <f>SUMIFS(Timesheet!$F$13:$F$11461,Timesheet!$A$13:$A$11461,'Mês 1'!BE70,Timesheet!$C$13:$C$11461,'Mês 1'!$BH$40)</f>
        <v>0</v>
      </c>
      <c r="BI70" s="6">
        <f>SUMIFS(Timesheet!$F$13:$F$11461,Timesheet!$A$13:$A$11461,'Mês 1'!BE70,Timesheet!$C$13:$C$11461,'Mês 1'!$BI$40)</f>
        <v>0</v>
      </c>
      <c r="BJ70" s="6">
        <f>SUMIFS(Timesheet!$F$13:$F$11461,Timesheet!$A$13:$A$11461,'Mês 1'!BE70,Timesheet!$C$13:$C$11461,'Mês 1'!$BJ$40)</f>
        <v>0</v>
      </c>
      <c r="BK70" s="6">
        <f>SUMIFS(Timesheet!$F$13:$F$11461,Timesheet!$A$13:$A$11461,'Mês 1'!BE70,Timesheet!$C$13:$C$11461,'Mês 1'!$BK$40)</f>
        <v>0</v>
      </c>
      <c r="BL70" s="6">
        <f>SUMIFS(Timesheet!$F$13:$F$11461,Timesheet!$A$13:$A$11461,'Mês 1'!BE70,Timesheet!$C$13:$C$11461,'Mês 1'!$BL$40)</f>
        <v>0</v>
      </c>
      <c r="BM70" s="6">
        <f>SUMIFS(Timesheet!$F$13:$F$11461,Timesheet!$A$13:$A$11461,'Mês 1'!BE70,Timesheet!$C$13:$C$11461,'Mês 1'!$BM$40)</f>
        <v>0</v>
      </c>
      <c r="BN70" s="6">
        <f>SUMIFS(Timesheet!$F$13:$F$11461,Timesheet!$A$13:$A$11461,'Mês 1'!BE70,Timesheet!$C$13:$C$11461,'Mês 1'!$BN$40)</f>
        <v>0</v>
      </c>
      <c r="BO70" s="6">
        <f t="shared" si="8"/>
        <v>0</v>
      </c>
      <c r="BP70" s="6">
        <f t="array" ref="BP70">MIN(IF(Timesheet!$A$13:$A$11483='Mês 1'!BE70,Timesheet!$D$13:$D$11483))</f>
        <v>0</v>
      </c>
      <c r="BQ70" s="6">
        <f t="array" ref="BQ70">MAX(IF(Timesheet!$A$13:$A$11483='Mês 1'!BE70,Timesheet!$E$13:$E$11483))</f>
        <v>0</v>
      </c>
    </row>
    <row r="71" spans="1:69" x14ac:dyDescent="0.25">
      <c r="A71" s="1">
        <v>45016</v>
      </c>
      <c r="B71" s="6">
        <f>SUMIFS(Timesheet!$F$13:$F$11461,Timesheet!$A$13:$A$11461,'Mês 1'!A71,Timesheet!$C$13:$C$11461,'Mês 1'!$B$40)</f>
        <v>0</v>
      </c>
      <c r="C71" s="6">
        <f>SUMIFS(Timesheet!$F$13:$F$11461,Timesheet!$A$13:$A$11461,'Mês 1'!A71,Timesheet!$C$13:$C$11461,'Mês 1'!$C$40)</f>
        <v>0</v>
      </c>
      <c r="D71" s="6">
        <f>SUMIFS(Timesheet!$F$13:$F$11461,Timesheet!$A$13:$A$11461,'Mês 1'!A71,Timesheet!$C$13:$C$11461,'Mês 1'!$D$40)</f>
        <v>0</v>
      </c>
      <c r="E71" s="6">
        <f>SUMIFS(Timesheet!$F$13:$F$11461,Timesheet!$A$13:$A$11461,'Mês 1'!A71,Timesheet!$C$13:$C$11461,'Mês 1'!$E$40)</f>
        <v>0</v>
      </c>
      <c r="F71" s="6">
        <f>SUMIFS(Timesheet!$F$13:$F$11461,Timesheet!$A$13:$A$11461,'Mês 1'!A71,Timesheet!$C$13:$C$11461,'Mês 1'!$F$40)</f>
        <v>0</v>
      </c>
      <c r="G71" s="6">
        <f>SUMIFS(Timesheet!$F$13:$F$11461,Timesheet!$A$13:$A$11461,'Mês 1'!A71,Timesheet!$C$13:$C$11461,'Mês 1'!$G$40)</f>
        <v>0</v>
      </c>
      <c r="H71" s="6">
        <f>SUMIFS(Timesheet!$F$13:$F$11461,Timesheet!$A$13:$A$11461,'Mês 1'!A71,Timesheet!$C$13:$C$11461,'Mês 1'!$H$40)</f>
        <v>0</v>
      </c>
      <c r="I71" s="6">
        <f>SUMIFS(Timesheet!$F$13:$F$11461,Timesheet!$A$13:$A$11461,'Mês 1'!A71,Timesheet!$C$13:$C$11461,'Mês 1'!$I$40)</f>
        <v>0</v>
      </c>
      <c r="J71" s="6">
        <f>SUMIFS(Timesheet!$F$13:$F$11461,Timesheet!$A$13:$A$11461,'Mês 1'!A71,Timesheet!$C$13:$C$11461,'Mês 1'!$J$40)</f>
        <v>0</v>
      </c>
      <c r="K71" s="6">
        <f t="shared" si="4"/>
        <v>0</v>
      </c>
      <c r="L71" s="6">
        <f t="array" ref="L71">MIN(IF(Timesheet!$A$13:$A$11483='Mês 1'!A71,Timesheet!$D$13:$D$11483))</f>
        <v>0</v>
      </c>
      <c r="M71" s="6">
        <f t="array" ref="M71">MAX(IF(Timesheet!$A$13:$A$11483='Mês 1'!A71,Timesheet!$E$13:$E$11483))</f>
        <v>0</v>
      </c>
      <c r="O71" s="1">
        <v>45077</v>
      </c>
      <c r="P71" s="6">
        <f>SUMIFS(Timesheet!$F$13:$F$11461,Timesheet!$A$13:$A$11461,'Mês 1'!O71,Timesheet!$C$13:$C$11461,'Mês 1'!$P$40)</f>
        <v>0</v>
      </c>
      <c r="Q71" s="6">
        <f>SUMIFS(Timesheet!$F$13:$F$11461,Timesheet!$A$13:$A$11461,'Mês 1'!O71,Timesheet!$C$13:$C$11461,'Mês 1'!$Q$40)</f>
        <v>0</v>
      </c>
      <c r="R71" s="6">
        <f>SUMIFS(Timesheet!$F$13:$F$11461,Timesheet!$A$13:$A$11461,'Mês 1'!O71,Timesheet!$C$13:$C$11461,'Mês 1'!$R$40)</f>
        <v>0</v>
      </c>
      <c r="S71" s="6">
        <f>SUMIFS(Timesheet!$F$13:$F$11461,Timesheet!$A$13:$A$11461,'Mês 1'!O71,Timesheet!$C$13:$C$11461,'Mês 1'!$S$40)</f>
        <v>0</v>
      </c>
      <c r="T71" s="6">
        <f>SUMIFS(Timesheet!$F$13:$F$11461,Timesheet!$A$13:$A$11461,'Mês 1'!O71,Timesheet!$C$13:$C$11461,'Mês 1'!$T$40)</f>
        <v>0</v>
      </c>
      <c r="U71" s="6">
        <f>SUMIFS(Timesheet!$F$13:$F$11461,Timesheet!$A$13:$A$11461,'Mês 1'!O71,Timesheet!$C$13:$C$11461,'Mês 1'!$U$40)</f>
        <v>0</v>
      </c>
      <c r="V71" s="6">
        <f>SUMIFS(Timesheet!$F$13:$F$11461,Timesheet!$A$13:$A$11461,'Mês 1'!O71,Timesheet!$C$13:$C$11461,'Mês 1'!$V$40)</f>
        <v>0</v>
      </c>
      <c r="W71" s="6">
        <f>SUMIFS(Timesheet!$F$13:$F$11461,Timesheet!$A$13:$A$11461,'Mês 1'!O71,Timesheet!$C$13:$C$11461,'Mês 1'!$W$40)</f>
        <v>0</v>
      </c>
      <c r="X71" s="6">
        <f>SUMIFS(Timesheet!$F$13:$F$11461,Timesheet!$A$13:$A$11461,'Mês 1'!O71,Timesheet!$C$13:$C$11461,'Mês 1'!$X$40)</f>
        <v>0</v>
      </c>
      <c r="Y71" s="6">
        <f t="shared" si="5"/>
        <v>0</v>
      </c>
      <c r="Z71" s="6">
        <f t="array" ref="Z71">MIN(IF(Timesheet!$A$13:$A$11483='Mês 1'!O71,Timesheet!$D$13:$D$11483))</f>
        <v>0</v>
      </c>
      <c r="AA71" s="6">
        <f t="array" ref="AA71">MAX(IF(Timesheet!$A$13:$A$11483='Mês 1'!O71,Timesheet!$E$13:$E$11483))</f>
        <v>0</v>
      </c>
      <c r="AC71" s="1">
        <v>45138</v>
      </c>
      <c r="AD71" s="6">
        <f>SUMIFS(Timesheet!$F$13:$F$11461,Timesheet!$A$13:$A$11461,'Mês 1'!AC71,Timesheet!$C$13:$C$11461,'Mês 1'!$AD$40)</f>
        <v>0</v>
      </c>
      <c r="AE71" s="6">
        <f>SUMIFS(Timesheet!$F$13:$F$11461,Timesheet!$A$13:$A$11461,'Mês 1'!AC71,Timesheet!$C$13:$C$11461,'Mês 1'!$AE$40)</f>
        <v>0</v>
      </c>
      <c r="AF71" s="6">
        <f>SUMIFS(Timesheet!$F$13:$F$11461,Timesheet!$A$13:$A$11461,'Mês 1'!AC71,Timesheet!$C$13:$C$11461,'Mês 1'!$AF$40)</f>
        <v>0</v>
      </c>
      <c r="AG71" s="6">
        <f>SUMIFS(Timesheet!$F$13:$F$11461,Timesheet!$A$13:$A$11461,'Mês 1'!AC71,Timesheet!$C$13:$C$11461,'Mês 1'!$AG$40)</f>
        <v>0</v>
      </c>
      <c r="AH71" s="6">
        <f>SUMIFS(Timesheet!$F$13:$F$11461,Timesheet!$A$13:$A$11461,'Mês 1'!AC71,Timesheet!$C$13:$C$11461,'Mês 1'!$AH$40)</f>
        <v>0</v>
      </c>
      <c r="AI71" s="6">
        <f>SUMIFS(Timesheet!$F$13:$F$11461,Timesheet!$A$13:$A$11461,'Mês 1'!AC71,Timesheet!$C$13:$C$11461,'Mês 1'!$AI$40)</f>
        <v>0</v>
      </c>
      <c r="AJ71" s="6">
        <f>SUMIFS(Timesheet!$F$13:$F$11461,Timesheet!$A$13:$A$11461,'Mês 1'!AC71,Timesheet!$C$13:$C$11461,'Mês 1'!$AJ$40)</f>
        <v>0</v>
      </c>
      <c r="AK71" s="6">
        <f>SUMIFS(Timesheet!$F$13:$F$11461,Timesheet!$A$13:$A$11461,'Mês 1'!AC71,Timesheet!$C$13:$C$11461,'Mês 1'!$AK$40)</f>
        <v>0</v>
      </c>
      <c r="AL71" s="6">
        <f>SUMIFS(Timesheet!$F$13:$F$11461,Timesheet!$A$13:$A$11461,'Mês 1'!AC71,Timesheet!$C$13:$C$11461,'Mês 1'!$AL$40)</f>
        <v>0</v>
      </c>
      <c r="AM71" s="6">
        <f t="shared" si="6"/>
        <v>0</v>
      </c>
      <c r="AN71" s="6">
        <f t="array" ref="AN71">MIN(IF(Timesheet!$A$13:$A$11483='Mês 1'!AC71,Timesheet!$D$13:$D$11483))</f>
        <v>0</v>
      </c>
      <c r="AO71" s="6">
        <f t="array" ref="AO71">MAX(IF(Timesheet!$A$13:$A$11483='Mês 1'!AC71,Timesheet!$E$13:$E$11483))</f>
        <v>0</v>
      </c>
      <c r="AQ71" s="4" t="s">
        <v>12</v>
      </c>
      <c r="AR71" s="7">
        <f t="shared" ref="AR71:BA71" si="9">+SUM(AR41:AR70)</f>
        <v>0</v>
      </c>
      <c r="AS71" s="7">
        <f t="shared" si="9"/>
        <v>0</v>
      </c>
      <c r="AT71" s="7">
        <f t="shared" si="9"/>
        <v>0</v>
      </c>
      <c r="AU71" s="7">
        <f t="shared" si="9"/>
        <v>0</v>
      </c>
      <c r="AV71" s="7">
        <f t="shared" si="9"/>
        <v>0</v>
      </c>
      <c r="AW71" s="7">
        <f t="shared" si="9"/>
        <v>0</v>
      </c>
      <c r="AX71" s="7">
        <f t="shared" si="9"/>
        <v>0</v>
      </c>
      <c r="AY71" s="7">
        <f t="shared" si="9"/>
        <v>0</v>
      </c>
      <c r="AZ71" s="7">
        <f t="shared" si="9"/>
        <v>0</v>
      </c>
      <c r="BA71" s="7">
        <f t="shared" si="9"/>
        <v>0</v>
      </c>
      <c r="BB71" s="7" t="e">
        <f>AVERAGEIF(BB41:BB70, "&gt;0")</f>
        <v>#DIV/0!</v>
      </c>
      <c r="BC71" s="7" t="e">
        <f>AVERAGEIF(BC41:BC70, "&gt;0")</f>
        <v>#DIV/0!</v>
      </c>
      <c r="BE71" s="4" t="s">
        <v>12</v>
      </c>
      <c r="BF71" s="7">
        <f t="shared" ref="BF71:BO71" si="10">+SUM(BF41:BF70)</f>
        <v>0</v>
      </c>
      <c r="BG71" s="7">
        <f t="shared" si="10"/>
        <v>0</v>
      </c>
      <c r="BH71" s="7">
        <f t="shared" si="10"/>
        <v>0</v>
      </c>
      <c r="BI71" s="7">
        <f t="shared" si="10"/>
        <v>0</v>
      </c>
      <c r="BJ71" s="7">
        <f t="shared" si="10"/>
        <v>0</v>
      </c>
      <c r="BK71" s="7">
        <f t="shared" si="10"/>
        <v>0</v>
      </c>
      <c r="BL71" s="7">
        <f t="shared" si="10"/>
        <v>0</v>
      </c>
      <c r="BM71" s="7">
        <f t="shared" si="10"/>
        <v>0</v>
      </c>
      <c r="BN71" s="7">
        <f t="shared" si="10"/>
        <v>0</v>
      </c>
      <c r="BO71" s="7">
        <f t="shared" si="10"/>
        <v>0</v>
      </c>
      <c r="BP71" s="7" t="e">
        <f>AVERAGEIF(BP41:BP70, "&gt;0")</f>
        <v>#DIV/0!</v>
      </c>
      <c r="BQ71" s="7" t="e">
        <f>AVERAGEIF(BQ41:BQ70, "&gt;0")</f>
        <v>#DIV/0!</v>
      </c>
    </row>
    <row r="72" spans="1:69" x14ac:dyDescent="0.25">
      <c r="A72" s="4" t="s">
        <v>12</v>
      </c>
      <c r="B72" s="7">
        <f>+SUM(B41:B71)</f>
        <v>0</v>
      </c>
      <c r="C72" s="7">
        <f t="shared" ref="C72:K72" si="11">+SUM(C41:C71)</f>
        <v>0</v>
      </c>
      <c r="D72" s="7">
        <f t="shared" si="11"/>
        <v>0</v>
      </c>
      <c r="E72" s="7">
        <f t="shared" si="11"/>
        <v>0</v>
      </c>
      <c r="F72" s="7">
        <f t="shared" si="11"/>
        <v>0</v>
      </c>
      <c r="G72" s="7">
        <f t="shared" si="11"/>
        <v>0</v>
      </c>
      <c r="H72" s="7">
        <f t="shared" si="11"/>
        <v>0</v>
      </c>
      <c r="I72" s="7">
        <f t="shared" si="11"/>
        <v>0</v>
      </c>
      <c r="J72" s="7">
        <f t="shared" si="11"/>
        <v>0</v>
      </c>
      <c r="K72" s="7">
        <f t="shared" si="11"/>
        <v>0</v>
      </c>
      <c r="L72" s="7" t="e">
        <f>AVERAGEIF(L41:L71,"&gt;0")</f>
        <v>#DIV/0!</v>
      </c>
      <c r="M72" s="7" t="e">
        <f>AVERAGEIF(M41:M71, "&gt;0")</f>
        <v>#DIV/0!</v>
      </c>
      <c r="O72" s="4" t="s">
        <v>12</v>
      </c>
      <c r="P72" s="7">
        <f t="shared" ref="P72:X72" si="12">+SUM(P41:P71)</f>
        <v>0</v>
      </c>
      <c r="Q72" s="7">
        <f t="shared" si="12"/>
        <v>0</v>
      </c>
      <c r="R72" s="7">
        <f t="shared" si="12"/>
        <v>0</v>
      </c>
      <c r="S72" s="7">
        <f t="shared" si="12"/>
        <v>0</v>
      </c>
      <c r="T72" s="7">
        <f t="shared" si="12"/>
        <v>0</v>
      </c>
      <c r="U72" s="7">
        <f t="shared" si="12"/>
        <v>0</v>
      </c>
      <c r="V72" s="7">
        <f t="shared" si="12"/>
        <v>0</v>
      </c>
      <c r="W72" s="7">
        <f t="shared" si="12"/>
        <v>0</v>
      </c>
      <c r="X72" s="7">
        <f t="shared" si="12"/>
        <v>0</v>
      </c>
      <c r="Y72" s="7">
        <f>+SUM(Y41:Y71)</f>
        <v>0</v>
      </c>
      <c r="Z72" s="7" t="e">
        <f>AVERAGEIF(Z41:Z71, "&gt;0")</f>
        <v>#DIV/0!</v>
      </c>
      <c r="AA72" s="7" t="e">
        <f>AVERAGEIF(AA41:AA71, "&gt;0")</f>
        <v>#DIV/0!</v>
      </c>
      <c r="AC72" s="4" t="s">
        <v>12</v>
      </c>
      <c r="AD72" s="7">
        <f t="shared" ref="AD72:AI72" si="13">+SUM(AD41:AD71)</f>
        <v>0</v>
      </c>
      <c r="AE72" s="7">
        <f t="shared" si="13"/>
        <v>0</v>
      </c>
      <c r="AF72" s="7">
        <f t="shared" si="13"/>
        <v>0</v>
      </c>
      <c r="AG72" s="7">
        <f t="shared" si="13"/>
        <v>0</v>
      </c>
      <c r="AH72" s="7">
        <f t="shared" si="13"/>
        <v>0</v>
      </c>
      <c r="AI72" s="7">
        <f t="shared" si="13"/>
        <v>0</v>
      </c>
      <c r="AJ72" s="7">
        <f t="shared" ref="AJ72:AL72" si="14">+SUM(AJ41:AJ71)</f>
        <v>0</v>
      </c>
      <c r="AK72" s="7">
        <f t="shared" si="14"/>
        <v>0</v>
      </c>
      <c r="AL72" s="7">
        <f t="shared" si="14"/>
        <v>0</v>
      </c>
      <c r="AM72" s="7">
        <f>+SUM(AM41:AM71)</f>
        <v>0</v>
      </c>
      <c r="AN72" s="7" t="e">
        <f>AVERAGEIF(AN41:AN71, "&gt;0")</f>
        <v>#DIV/0!</v>
      </c>
      <c r="AO72" s="7" t="e">
        <f>AVERAGEIF(AO41:AO71, "&gt;0")</f>
        <v>#DIV/0!</v>
      </c>
    </row>
    <row r="74" spans="1:69" x14ac:dyDescent="0.25">
      <c r="A74" t="s">
        <v>48</v>
      </c>
      <c r="B74" t="s">
        <v>34</v>
      </c>
      <c r="O74" t="s">
        <v>48</v>
      </c>
      <c r="P74" t="s">
        <v>32</v>
      </c>
      <c r="AC74" t="s">
        <v>48</v>
      </c>
      <c r="AD74" t="s">
        <v>30</v>
      </c>
      <c r="AQ74" t="s">
        <v>48</v>
      </c>
      <c r="AR74" t="s">
        <v>28</v>
      </c>
      <c r="BE74" t="s">
        <v>48</v>
      </c>
      <c r="BF74" t="s">
        <v>26</v>
      </c>
    </row>
    <row r="75" spans="1:69" x14ac:dyDescent="0.25">
      <c r="A75" s="8" t="s">
        <v>19</v>
      </c>
      <c r="B75" s="4" t="s">
        <v>6</v>
      </c>
      <c r="C75" s="4" t="s">
        <v>8</v>
      </c>
      <c r="D75" s="4" t="s">
        <v>10</v>
      </c>
      <c r="E75" s="4" t="s">
        <v>11</v>
      </c>
      <c r="F75" s="4" t="s">
        <v>9</v>
      </c>
      <c r="G75" s="4" t="s">
        <v>7</v>
      </c>
      <c r="H75" s="4" t="s">
        <v>76</v>
      </c>
      <c r="I75" s="4" t="s">
        <v>77</v>
      </c>
      <c r="J75" s="4" t="s">
        <v>78</v>
      </c>
      <c r="K75" s="4" t="s">
        <v>12</v>
      </c>
      <c r="L75" s="8" t="s">
        <v>51</v>
      </c>
      <c r="M75" s="8" t="s">
        <v>52</v>
      </c>
      <c r="O75" s="8" t="s">
        <v>19</v>
      </c>
      <c r="P75" s="4" t="s">
        <v>6</v>
      </c>
      <c r="Q75" s="4" t="s">
        <v>8</v>
      </c>
      <c r="R75" s="4" t="s">
        <v>10</v>
      </c>
      <c r="S75" s="4" t="s">
        <v>11</v>
      </c>
      <c r="T75" s="4" t="s">
        <v>9</v>
      </c>
      <c r="U75" s="4" t="s">
        <v>7</v>
      </c>
      <c r="V75" s="4" t="s">
        <v>76</v>
      </c>
      <c r="W75" s="4" t="s">
        <v>77</v>
      </c>
      <c r="X75" s="4" t="s">
        <v>78</v>
      </c>
      <c r="Y75" s="4" t="s">
        <v>12</v>
      </c>
      <c r="Z75" s="8" t="s">
        <v>51</v>
      </c>
      <c r="AA75" s="8" t="s">
        <v>52</v>
      </c>
      <c r="AC75" s="8" t="s">
        <v>19</v>
      </c>
      <c r="AD75" s="4" t="s">
        <v>6</v>
      </c>
      <c r="AE75" s="4" t="s">
        <v>8</v>
      </c>
      <c r="AF75" s="4" t="s">
        <v>10</v>
      </c>
      <c r="AG75" s="4" t="s">
        <v>11</v>
      </c>
      <c r="AH75" s="4" t="s">
        <v>9</v>
      </c>
      <c r="AI75" s="4" t="s">
        <v>7</v>
      </c>
      <c r="AJ75" s="4" t="s">
        <v>76</v>
      </c>
      <c r="AK75" s="4" t="s">
        <v>77</v>
      </c>
      <c r="AL75" s="4" t="s">
        <v>78</v>
      </c>
      <c r="AM75" s="4" t="s">
        <v>12</v>
      </c>
      <c r="AN75" s="8" t="s">
        <v>51</v>
      </c>
      <c r="AO75" s="8" t="s">
        <v>52</v>
      </c>
      <c r="AQ75" s="8" t="s">
        <v>19</v>
      </c>
      <c r="AR75" s="4" t="s">
        <v>6</v>
      </c>
      <c r="AS75" s="4" t="s">
        <v>8</v>
      </c>
      <c r="AT75" s="4" t="s">
        <v>10</v>
      </c>
      <c r="AU75" s="4" t="s">
        <v>11</v>
      </c>
      <c r="AV75" s="4" t="s">
        <v>9</v>
      </c>
      <c r="AW75" s="4" t="s">
        <v>7</v>
      </c>
      <c r="AX75" s="4" t="s">
        <v>76</v>
      </c>
      <c r="AY75" s="4" t="s">
        <v>77</v>
      </c>
      <c r="AZ75" s="4" t="s">
        <v>78</v>
      </c>
      <c r="BA75" s="4" t="s">
        <v>12</v>
      </c>
      <c r="BB75" s="8" t="s">
        <v>51</v>
      </c>
      <c r="BC75" s="8" t="s">
        <v>52</v>
      </c>
      <c r="BE75" s="8" t="s">
        <v>19</v>
      </c>
      <c r="BF75" s="4" t="s">
        <v>6</v>
      </c>
      <c r="BG75" s="4" t="s">
        <v>8</v>
      </c>
      <c r="BH75" s="4" t="s">
        <v>10</v>
      </c>
      <c r="BI75" s="4" t="s">
        <v>11</v>
      </c>
      <c r="BJ75" s="4" t="s">
        <v>9</v>
      </c>
      <c r="BK75" s="4" t="s">
        <v>7</v>
      </c>
      <c r="BL75" s="4" t="s">
        <v>76</v>
      </c>
      <c r="BM75" s="4" t="s">
        <v>77</v>
      </c>
      <c r="BN75" s="4" t="s">
        <v>78</v>
      </c>
      <c r="BO75" s="4" t="s">
        <v>12</v>
      </c>
      <c r="BP75" s="8" t="s">
        <v>51</v>
      </c>
      <c r="BQ75" s="8" t="s">
        <v>52</v>
      </c>
    </row>
    <row r="76" spans="1:69" x14ac:dyDescent="0.25">
      <c r="A76" s="1">
        <v>45017</v>
      </c>
      <c r="B76" s="6">
        <f>SUMIFS(Timesheet!$F$13:$F$11461,Timesheet!$A$13:$A$11461,'Mês 1'!A76,Timesheet!$C$13:$C$11461,'Mês 1'!$B$75)</f>
        <v>0</v>
      </c>
      <c r="C76" s="6">
        <f>SUMIFS(Timesheet!$F$13:$F$11461,Timesheet!$A$13:$A$11461,'Mês 1'!A76,Timesheet!$C$13:$C$11461,'Mês 1'!$C$75)</f>
        <v>0</v>
      </c>
      <c r="D76" s="6">
        <f>SUMIFS(Timesheet!$F$13:$F$11461,Timesheet!$A$13:$A$11461,'Mês 1'!A76,Timesheet!$C$13:$C$11461,'Mês 1'!$D$75)</f>
        <v>0</v>
      </c>
      <c r="E76" s="6">
        <f>SUMIFS(Timesheet!$F$13:$F$11461,Timesheet!$A$13:$A$11461,'Mês 1'!A76,Timesheet!$C$13:$C$11461,'Mês 1'!$E$75)</f>
        <v>0</v>
      </c>
      <c r="F76" s="6">
        <f>SUMIFS(Timesheet!$F$13:$F$11461,Timesheet!$A$13:$A$11461,'Mês 1'!A76,Timesheet!$C$13:$C$11461,'Mês 1'!$F$75)</f>
        <v>0</v>
      </c>
      <c r="G76" s="6">
        <f>SUMIFS(Timesheet!$F$13:$F$11461,Timesheet!$A$13:$A$11461,'Mês 1'!A76,Timesheet!$C$13:$C$11461,'Mês 1'!$G$75)</f>
        <v>0</v>
      </c>
      <c r="H76" s="6">
        <f>SUMIFS(Timesheet!$F$13:$F$11461,Timesheet!$A$13:$A$11461,'Mês 1'!A76,Timesheet!$C$13:$C$11461,'Mês 1'!$H$75)</f>
        <v>0</v>
      </c>
      <c r="I76" s="6">
        <f>SUMIFS(Timesheet!$F$13:$F$11461,Timesheet!$A$13:$A$11461,'Mês 1'!A76,Timesheet!$C$13:$C$11461,'Mês 1'!$I$75)</f>
        <v>0</v>
      </c>
      <c r="J76" s="6">
        <f>SUMIFS(Timesheet!$F$13:$F$11461,Timesheet!$A$13:$A$11461,'Mês 1'!A76,Timesheet!$C$13:$C$11461,'Mês 1'!$J$75)</f>
        <v>0</v>
      </c>
      <c r="K76" s="6">
        <f t="shared" ref="K76:K105" si="15">SUM(B76:I76)</f>
        <v>0</v>
      </c>
      <c r="L76" s="6">
        <f t="array" ref="L76">MIN(IF(Timesheet!$A$13:$A$11483='Mês 1'!A76,Timesheet!$D$13:$D$11483))</f>
        <v>0</v>
      </c>
      <c r="M76" s="6">
        <f t="array" ref="M76">MAX(IF(Timesheet!$A$13:$A$11483='Mês 1'!A76,Timesheet!$E$13:$E$11483))</f>
        <v>0</v>
      </c>
      <c r="O76" s="1">
        <v>45078</v>
      </c>
      <c r="P76" s="6">
        <f>SUMIFS(Timesheet!$F$13:$F$11461,Timesheet!$A$13:$A$11461,'Mês 1'!O76,Timesheet!$C$13:$C$11461,'Mês 1'!$P$75)</f>
        <v>0</v>
      </c>
      <c r="Q76" s="6">
        <f>SUMIFS(Timesheet!$F$13:$F$11461,Timesheet!$A$13:$A$11461,'Mês 1'!O76,Timesheet!$C$13:$C$11461,'Mês 1'!$Q$75)</f>
        <v>0</v>
      </c>
      <c r="R76" s="6">
        <f>SUMIFS(Timesheet!$F$13:$F$11461,Timesheet!$A$13:$A$11461,'Mês 1'!O76,Timesheet!$C$13:$C$11461,'Mês 1'!$R$75)</f>
        <v>0</v>
      </c>
      <c r="S76" s="6">
        <f>SUMIFS(Timesheet!$F$13:$F$11461,Timesheet!$A$13:$A$11461,'Mês 1'!O76,Timesheet!$C$13:$C$11461,'Mês 1'!$S$75)</f>
        <v>0</v>
      </c>
      <c r="T76" s="6">
        <f>SUMIFS(Timesheet!$F$13:$F$11461,Timesheet!$A$13:$A$11461,'Mês 1'!O76,Timesheet!$C$13:$C$11461,'Mês 1'!$T$75)</f>
        <v>0</v>
      </c>
      <c r="U76" s="6">
        <f>SUMIFS(Timesheet!$F$13:$F$11461,Timesheet!$A$13:$A$11461,'Mês 1'!O76,Timesheet!$C$13:$C$11461,'Mês 1'!$U$75)</f>
        <v>0</v>
      </c>
      <c r="V76" s="6">
        <f>SUMIFS(Timesheet!$F$13:$F$11461,Timesheet!$A$13:$A$11461,'Mês 1'!O76,Timesheet!$C$13:$C$11461,'Mês 1'!$V$75)</f>
        <v>0</v>
      </c>
      <c r="W76" s="6">
        <f>SUMIFS(Timesheet!$F$13:$F$11461,Timesheet!$A$13:$A$11461,'Mês 1'!O76,Timesheet!$C$13:$C$11461,'Mês 1'!$W$75)</f>
        <v>0</v>
      </c>
      <c r="X76" s="6">
        <f>SUMIFS(Timesheet!$F$13:$F$11461,Timesheet!$A$13:$A$11461,'Mês 1'!O76,Timesheet!$C$13:$C$11461,'Mês 1'!$X$75)</f>
        <v>0</v>
      </c>
      <c r="Y76" s="6">
        <f t="shared" ref="Y76:Y105" si="16">SUM(P76:W76)</f>
        <v>0</v>
      </c>
      <c r="Z76" s="6">
        <f t="array" ref="Z76">MIN(IF(Timesheet!$A$13:$A$11483='Mês 1'!O76,Timesheet!$D$13:$D$11483))</f>
        <v>0</v>
      </c>
      <c r="AA76" s="6">
        <f t="array" ref="AA76">MAX(IF(Timesheet!$A$13:$A$11483='Mês 1'!O76,Timesheet!$E$13:$E$11483))</f>
        <v>0</v>
      </c>
      <c r="AC76" s="1">
        <v>45139</v>
      </c>
      <c r="AD76" s="6">
        <f>SUMIFS(Timesheet!$F$13:$F$11461,Timesheet!$A$13:$A$11461,'Mês 1'!AC76,Timesheet!$C$13:$C$11461,'Mês 1'!$AD$75)</f>
        <v>0</v>
      </c>
      <c r="AE76" s="6">
        <f>SUMIFS(Timesheet!$F$13:$F$11461,Timesheet!$A$13:$A$11461,'Mês 1'!AC76,Timesheet!$C$13:$C$11461,'Mês 1'!$AE$75)</f>
        <v>0</v>
      </c>
      <c r="AF76" s="6">
        <f>SUMIFS(Timesheet!$F$13:$F$11461,Timesheet!$A$13:$A$11461,'Mês 1'!AC76,Timesheet!$C$13:$C$11461,'Mês 1'!$AF$75)</f>
        <v>0</v>
      </c>
      <c r="AG76" s="6">
        <f>SUMIFS(Timesheet!$F$13:$F$11461,Timesheet!$A$13:$A$11461,'Mês 1'!AC76,Timesheet!$C$13:$C$11461,'Mês 1'!$AG$75)</f>
        <v>0</v>
      </c>
      <c r="AH76" s="6">
        <f>SUMIFS(Timesheet!$F$13:$F$11461,Timesheet!$A$13:$A$11461,'Mês 1'!AC76,Timesheet!$C$13:$C$11461,'Mês 1'!$AH$75)</f>
        <v>0</v>
      </c>
      <c r="AI76" s="6">
        <f>SUMIFS(Timesheet!$F$13:$F$11461,Timesheet!$A$13:$A$11461,'Mês 1'!AC76,Timesheet!$C$13:$C$11461,'Mês 1'!$AI$75)</f>
        <v>0</v>
      </c>
      <c r="AJ76" s="6">
        <f>SUMIFS(Timesheet!$F$13:$F$11461,Timesheet!$A$13:$A$11461,'Mês 1'!AC76,Timesheet!$C$13:$C$11461,'Mês 1'!AJ$75)</f>
        <v>0</v>
      </c>
      <c r="AK76" s="6">
        <f>SUMIFS(Timesheet!$F$13:$F$11461,Timesheet!$A$13:$A$11461,'Mês 1'!AC76,Timesheet!$C$13:$C$11461,'Mês 1'!$AK$75)</f>
        <v>0</v>
      </c>
      <c r="AL76" s="6">
        <f>SUMIFS(Timesheet!$F$13:$F$11461,Timesheet!$A$13:$A$11461,'Mês 1'!AC76,Timesheet!$C$13:$C$11461,'Mês 1'!$AL$75)</f>
        <v>0</v>
      </c>
      <c r="AM76" s="6">
        <f t="shared" ref="AM76:AM106" si="17">SUM(AD76:AK76)</f>
        <v>0</v>
      </c>
      <c r="AN76" s="6">
        <f t="array" ref="AN76">MIN(IF(Timesheet!$A$13:$A$11483='Mês 1'!AC76,Timesheet!$D$13:$D$11483))</f>
        <v>0</v>
      </c>
      <c r="AO76" s="6">
        <f t="array" ref="AO76">MAX(IF(Timesheet!$A$13:$A$11483='Mês 1'!AC76,Timesheet!$E$13:$E$11483))</f>
        <v>0</v>
      </c>
      <c r="AQ76" s="1">
        <v>45200</v>
      </c>
      <c r="AR76" s="6">
        <f>SUMIFS(Timesheet!$F$13:$F$11461,Timesheet!$A$13:$A$11461,'Mês 1'!AQ76,Timesheet!$C$13:$C$11461,'Mês 1'!$AR$75)</f>
        <v>0</v>
      </c>
      <c r="AS76" s="6">
        <f>SUMIFS(Timesheet!$F$13:$F$11461,Timesheet!$A$13:$A$11461,'Mês 1'!AQ76,Timesheet!$C$13:$C$11461,'Mês 1'!$AS$75)</f>
        <v>0</v>
      </c>
      <c r="AT76" s="6">
        <f>SUMIFS(Timesheet!$F$13:$F$11461,Timesheet!$A$13:$A$11461,'Mês 1'!AQ76,Timesheet!$C$13:$C$11461,'Mês 1'!$AT$75)</f>
        <v>0</v>
      </c>
      <c r="AU76" s="6">
        <f>SUMIFS(Timesheet!$F$13:$F$11461,Timesheet!$A$13:$A$11461,'Mês 1'!AQ76,Timesheet!$C$13:$C$11461,'Mês 1'!$AU$75)</f>
        <v>0</v>
      </c>
      <c r="AV76" s="6">
        <f>SUMIFS(Timesheet!$F$13:$F$11461,Timesheet!$A$13:$A$11461,'Mês 1'!AQ76,Timesheet!$C$13:$C$11461,'Mês 1'!$AV$75)</f>
        <v>0</v>
      </c>
      <c r="AW76" s="6">
        <f>SUMIFS(Timesheet!$F$13:$F$11461,Timesheet!$A$13:$A$11461,'Mês 1'!AQ76,Timesheet!$C$13:$C$11461,'Mês 1'!$AW$75)</f>
        <v>0</v>
      </c>
      <c r="AX76" s="6">
        <f>SUMIFS(Timesheet!$F$13:$F$11461,Timesheet!$A$13:$A$11461,'Mês 1'!AQ76,Timesheet!$C$13:$C$11461,'Mês 1'!$AX$75)</f>
        <v>0</v>
      </c>
      <c r="AY76" s="6">
        <f>SUMIFS(Timesheet!$F$13:$F$11461,Timesheet!$A$13:$A$11461,'Mês 1'!AQ76,Timesheet!$C$13:$C$11461,'Mês 1'!$AY$75)</f>
        <v>0</v>
      </c>
      <c r="AZ76" s="6">
        <f>SUMIFS(Timesheet!$F$13:$F$11461,Timesheet!$A$13:$A$11461,'Mês 1'!AQ76,Timesheet!$C$13:$C$11461,'Mês 1'!$AZ$75)</f>
        <v>0</v>
      </c>
      <c r="BA76" s="6">
        <f t="shared" ref="BA76:BA106" si="18">SUM(AR76:AY76)</f>
        <v>0</v>
      </c>
      <c r="BB76" s="6">
        <f t="array" ref="BB76">MIN(IF(Timesheet!$A$13:$A$11483='Mês 1'!AQ76,Timesheet!$D$13:$D$11483))</f>
        <v>0</v>
      </c>
      <c r="BC76" s="6">
        <f t="array" ref="BC76">MAX(IF(Timesheet!$A$13:$A$11483='Mês 1'!AQ76,Timesheet!$E$13:$E$11483))</f>
        <v>0</v>
      </c>
      <c r="BE76" s="1">
        <v>45261</v>
      </c>
      <c r="BF76" s="6">
        <f>SUMIFS(Timesheet!$F$13:$F$11461,Timesheet!$A$13:$A$11461,'Mês 1'!BE76,Timesheet!$C$13:$C$11461,'Mês 1'!$BF$75)</f>
        <v>0</v>
      </c>
      <c r="BG76" s="6">
        <f>SUMIFS(Timesheet!$F$13:$F$11461,Timesheet!$A$13:$A$11461,'Mês 1'!BE76,Timesheet!$C$13:$C$11461,'Mês 1'!$BG$75)</f>
        <v>0</v>
      </c>
      <c r="BH76" s="6">
        <f>SUMIFS(Timesheet!$F$13:$F$11461,Timesheet!$A$13:$A$11461,'Mês 1'!BE76,Timesheet!$C$13:$C$11461,'Mês 1'!$BH$75)</f>
        <v>0</v>
      </c>
      <c r="BI76" s="6">
        <f>SUMIFS(Timesheet!$F$13:$F$11461,Timesheet!$A$13:$A$11461,'Mês 1'!BE76,Timesheet!$C$13:$C$11461,'Mês 1'!$BI$75)</f>
        <v>0</v>
      </c>
      <c r="BJ76" s="6">
        <f>SUMIFS(Timesheet!$F$13:$F$11461,Timesheet!$A$13:$A$11461,'Mês 1'!BE76,Timesheet!$C$13:$C$11461,'Mês 1'!$BJ$75)</f>
        <v>0</v>
      </c>
      <c r="BK76" s="6">
        <f>SUMIFS(Timesheet!$F$13:$F$11461,Timesheet!$A$13:$A$11461,'Mês 1'!BE76,Timesheet!$C$13:$C$11461,'Mês 1'!$BK$75)</f>
        <v>0</v>
      </c>
      <c r="BL76" s="6">
        <f>SUMIFS(Timesheet!$F$13:$F$11461,Timesheet!$A$13:$A$11461,'Mês 1'!BE76,Timesheet!$C$13:$C$11461,'Mês 1'!$BL$75)</f>
        <v>0</v>
      </c>
      <c r="BM76" s="6">
        <f>SUMIFS(Timesheet!$F$13:$F$11461,Timesheet!$A$13:$A$11461,'Mês 1'!BE76,Timesheet!$C$13:$C$11461,'Mês 1'!$BM$75)</f>
        <v>0</v>
      </c>
      <c r="BN76" s="6">
        <f>SUMIFS(Timesheet!$F$13:$F$11461,Timesheet!$A$13:$A$11461,'Mês 1'!BE76,Timesheet!$C$13:$C$11461,'Mês 1'!$BN$75)</f>
        <v>0</v>
      </c>
      <c r="BO76" s="6">
        <f t="shared" ref="BO76:BO106" si="19">SUM(BF76:BM76)</f>
        <v>0</v>
      </c>
      <c r="BP76" s="6">
        <f t="array" ref="BP76">MIN(IF(Timesheet!$A$13:$A$11483='Mês 1'!BE76,Timesheet!$D$13:$D$11483))</f>
        <v>0</v>
      </c>
      <c r="BQ76" s="6">
        <f t="array" ref="BQ76">MAX(IF(Timesheet!$A$13:$A$11483='Mês 1'!BE76,Timesheet!$E$13:$E$11483))</f>
        <v>0</v>
      </c>
    </row>
    <row r="77" spans="1:69" x14ac:dyDescent="0.25">
      <c r="A77" s="1">
        <v>45018</v>
      </c>
      <c r="B77" s="6">
        <f>SUMIFS(Timesheet!$F$13:$F$11461,Timesheet!$A$13:$A$11461,'Mês 1'!A77,Timesheet!$C$13:$C$11461,'Mês 1'!$B$75)</f>
        <v>0</v>
      </c>
      <c r="C77" s="6">
        <f>SUMIFS(Timesheet!$F$13:$F$11461,Timesheet!$A$13:$A$11461,'Mês 1'!A77,Timesheet!$C$13:$C$11461,'Mês 1'!$C$75)</f>
        <v>0</v>
      </c>
      <c r="D77" s="6">
        <f>SUMIFS(Timesheet!$F$13:$F$11461,Timesheet!$A$13:$A$11461,'Mês 1'!A77,Timesheet!$C$13:$C$11461,'Mês 1'!$D$75)</f>
        <v>0</v>
      </c>
      <c r="E77" s="6">
        <f>SUMIFS(Timesheet!$F$13:$F$11461,Timesheet!$A$13:$A$11461,'Mês 1'!A77,Timesheet!$C$13:$C$11461,'Mês 1'!$E$75)</f>
        <v>0</v>
      </c>
      <c r="F77" s="6">
        <f>SUMIFS(Timesheet!$F$13:$F$11461,Timesheet!$A$13:$A$11461,'Mês 1'!A77,Timesheet!$C$13:$C$11461,'Mês 1'!$F$75)</f>
        <v>0</v>
      </c>
      <c r="G77" s="6">
        <f>SUMIFS(Timesheet!$F$13:$F$11461,Timesheet!$A$13:$A$11461,'Mês 1'!A77,Timesheet!$C$13:$C$11461,'Mês 1'!$G$75)</f>
        <v>0</v>
      </c>
      <c r="H77" s="6">
        <f>SUMIFS(Timesheet!$F$13:$F$11461,Timesheet!$A$13:$A$11461,'Mês 1'!A77,Timesheet!$C$13:$C$11461,'Mês 1'!$H$75)</f>
        <v>0</v>
      </c>
      <c r="I77" s="6">
        <f>SUMIFS(Timesheet!$F$13:$F$11461,Timesheet!$A$13:$A$11461,'Mês 1'!A77,Timesheet!$C$13:$C$11461,'Mês 1'!$I$75)</f>
        <v>0</v>
      </c>
      <c r="J77" s="6">
        <f>SUMIFS(Timesheet!$F$13:$F$11461,Timesheet!$A$13:$A$11461,'Mês 1'!A77,Timesheet!$C$13:$C$11461,'Mês 1'!$J$75)</f>
        <v>0</v>
      </c>
      <c r="K77" s="6">
        <f t="shared" si="15"/>
        <v>0</v>
      </c>
      <c r="L77" s="6">
        <f t="array" ref="L77">MIN(IF(Timesheet!$A$13:$A$11483='Mês 1'!A77,Timesheet!$D$13:$D$11483))</f>
        <v>0</v>
      </c>
      <c r="M77" s="6">
        <f t="array" ref="M77">MAX(IF(Timesheet!$A$13:$A$11483='Mês 1'!A77,Timesheet!$E$13:$E$11483))</f>
        <v>0</v>
      </c>
      <c r="O77" s="1">
        <v>45079</v>
      </c>
      <c r="P77" s="6">
        <f>SUMIFS(Timesheet!$F$13:$F$11461,Timesheet!$A$13:$A$11461,'Mês 1'!O77,Timesheet!$C$13:$C$11461,'Mês 1'!$P$75)</f>
        <v>0</v>
      </c>
      <c r="Q77" s="6">
        <f>SUMIFS(Timesheet!$F$13:$F$11461,Timesheet!$A$13:$A$11461,'Mês 1'!O77,Timesheet!$C$13:$C$11461,'Mês 1'!$Q$75)</f>
        <v>0</v>
      </c>
      <c r="R77" s="6">
        <f>SUMIFS(Timesheet!$F$13:$F$11461,Timesheet!$A$13:$A$11461,'Mês 1'!O77,Timesheet!$C$13:$C$11461,'Mês 1'!$R$75)</f>
        <v>0</v>
      </c>
      <c r="S77" s="6">
        <f>SUMIFS(Timesheet!$F$13:$F$11461,Timesheet!$A$13:$A$11461,'Mês 1'!O77,Timesheet!$C$13:$C$11461,'Mês 1'!$S$75)</f>
        <v>0</v>
      </c>
      <c r="T77" s="6">
        <f>SUMIFS(Timesheet!$F$13:$F$11461,Timesheet!$A$13:$A$11461,'Mês 1'!O77,Timesheet!$C$13:$C$11461,'Mês 1'!$T$75)</f>
        <v>0</v>
      </c>
      <c r="U77" s="6">
        <f>SUMIFS(Timesheet!$F$13:$F$11461,Timesheet!$A$13:$A$11461,'Mês 1'!O77,Timesheet!$C$13:$C$11461,'Mês 1'!$U$75)</f>
        <v>0</v>
      </c>
      <c r="V77" s="6">
        <f>SUMIFS(Timesheet!$F$13:$F$11461,Timesheet!$A$13:$A$11461,'Mês 1'!O77,Timesheet!$C$13:$C$11461,'Mês 1'!$V$75)</f>
        <v>0</v>
      </c>
      <c r="W77" s="6">
        <f>SUMIFS(Timesheet!$F$13:$F$11461,Timesheet!$A$13:$A$11461,'Mês 1'!O77,Timesheet!$C$13:$C$11461,'Mês 1'!$W$75)</f>
        <v>0</v>
      </c>
      <c r="X77" s="6">
        <f>SUMIFS(Timesheet!$F$13:$F$11461,Timesheet!$A$13:$A$11461,'Mês 1'!O77,Timesheet!$C$13:$C$11461,'Mês 1'!$X$75)</f>
        <v>0</v>
      </c>
      <c r="Y77" s="6">
        <f t="shared" si="16"/>
        <v>0</v>
      </c>
      <c r="Z77" s="6">
        <f t="array" ref="Z77">MIN(IF(Timesheet!$A$13:$A$11483='Mês 1'!O77,Timesheet!$D$13:$D$11483))</f>
        <v>0</v>
      </c>
      <c r="AA77" s="6">
        <f t="array" ref="AA77">MAX(IF(Timesheet!$A$13:$A$11483='Mês 1'!O77,Timesheet!$E$13:$E$11483))</f>
        <v>0</v>
      </c>
      <c r="AC77" s="1">
        <v>45140</v>
      </c>
      <c r="AD77" s="6">
        <f>SUMIFS(Timesheet!$F$13:$F$11461,Timesheet!$A$13:$A$11461,'Mês 1'!AC77,Timesheet!$C$13:$C$11461,'Mês 1'!$AD$75)</f>
        <v>0</v>
      </c>
      <c r="AE77" s="6">
        <f>SUMIFS(Timesheet!$F$13:$F$11461,Timesheet!$A$13:$A$11461,'Mês 1'!AC77,Timesheet!$C$13:$C$11461,'Mês 1'!$AE$75)</f>
        <v>0</v>
      </c>
      <c r="AF77" s="6">
        <f>SUMIFS(Timesheet!$F$13:$F$11461,Timesheet!$A$13:$A$11461,'Mês 1'!AC77,Timesheet!$C$13:$C$11461,'Mês 1'!$AF$75)</f>
        <v>0</v>
      </c>
      <c r="AG77" s="6">
        <f>SUMIFS(Timesheet!$F$13:$F$11461,Timesheet!$A$13:$A$11461,'Mês 1'!AC77,Timesheet!$C$13:$C$11461,'Mês 1'!$AG$75)</f>
        <v>0</v>
      </c>
      <c r="AH77" s="6">
        <f>SUMIFS(Timesheet!$F$13:$F$11461,Timesheet!$A$13:$A$11461,'Mês 1'!AC77,Timesheet!$C$13:$C$11461,'Mês 1'!$AH$75)</f>
        <v>0</v>
      </c>
      <c r="AI77" s="6">
        <f>SUMIFS(Timesheet!$F$13:$F$11461,Timesheet!$A$13:$A$11461,'Mês 1'!AC77,Timesheet!$C$13:$C$11461,'Mês 1'!$AI$75)</f>
        <v>0</v>
      </c>
      <c r="AJ77" s="6">
        <f>SUMIFS(Timesheet!$F$13:$F$11461,Timesheet!$A$13:$A$11461,'Mês 1'!AC77,Timesheet!$C$13:$C$11461,'Mês 1'!AJ$75)</f>
        <v>0</v>
      </c>
      <c r="AK77" s="6">
        <f>SUMIFS(Timesheet!$F$13:$F$11461,Timesheet!$A$13:$A$11461,'Mês 1'!AC77,Timesheet!$C$13:$C$11461,'Mês 1'!$AK$75)</f>
        <v>0</v>
      </c>
      <c r="AL77" s="6">
        <f>SUMIFS(Timesheet!$F$13:$F$11461,Timesheet!$A$13:$A$11461,'Mês 1'!AC77,Timesheet!$C$13:$C$11461,'Mês 1'!$AL$75)</f>
        <v>0</v>
      </c>
      <c r="AM77" s="6">
        <f t="shared" si="17"/>
        <v>0</v>
      </c>
      <c r="AN77" s="6">
        <f t="array" ref="AN77">MIN(IF(Timesheet!$A$13:$A$11483='Mês 1'!AC77,Timesheet!$D$13:$D$11483))</f>
        <v>0</v>
      </c>
      <c r="AO77" s="6">
        <f t="array" ref="AO77">MAX(IF(Timesheet!$A$13:$A$11483='Mês 1'!AC77,Timesheet!$E$13:$E$11483))</f>
        <v>0</v>
      </c>
      <c r="AQ77" s="1">
        <v>45201</v>
      </c>
      <c r="AR77" s="6">
        <f>SUMIFS(Timesheet!$F$13:$F$11461,Timesheet!$A$13:$A$11461,'Mês 1'!AQ77,Timesheet!$C$13:$C$11461,'Mês 1'!$AR$75)</f>
        <v>0</v>
      </c>
      <c r="AS77" s="6">
        <f>SUMIFS(Timesheet!$F$13:$F$11461,Timesheet!$A$13:$A$11461,'Mês 1'!AQ77,Timesheet!$C$13:$C$11461,'Mês 1'!$AS$75)</f>
        <v>0</v>
      </c>
      <c r="AT77" s="6">
        <f>SUMIFS(Timesheet!$F$13:$F$11461,Timesheet!$A$13:$A$11461,'Mês 1'!AQ77,Timesheet!$C$13:$C$11461,'Mês 1'!$AT$75)</f>
        <v>0</v>
      </c>
      <c r="AU77" s="6">
        <f>SUMIFS(Timesheet!$F$13:$F$11461,Timesheet!$A$13:$A$11461,'Mês 1'!AQ77,Timesheet!$C$13:$C$11461,'Mês 1'!$AU$75)</f>
        <v>0</v>
      </c>
      <c r="AV77" s="6">
        <f>SUMIFS(Timesheet!$F$13:$F$11461,Timesheet!$A$13:$A$11461,'Mês 1'!AQ77,Timesheet!$C$13:$C$11461,'Mês 1'!$AV$75)</f>
        <v>0</v>
      </c>
      <c r="AW77" s="6">
        <f>SUMIFS(Timesheet!$F$13:$F$11461,Timesheet!$A$13:$A$11461,'Mês 1'!AQ77,Timesheet!$C$13:$C$11461,'Mês 1'!$AW$75)</f>
        <v>0</v>
      </c>
      <c r="AX77" s="6">
        <f>SUMIFS(Timesheet!$F$13:$F$11461,Timesheet!$A$13:$A$11461,'Mês 1'!AQ77,Timesheet!$C$13:$C$11461,'Mês 1'!$AX$75)</f>
        <v>0</v>
      </c>
      <c r="AY77" s="6">
        <f>SUMIFS(Timesheet!$F$13:$F$11461,Timesheet!$A$13:$A$11461,'Mês 1'!AQ77,Timesheet!$C$13:$C$11461,'Mês 1'!$AY$75)</f>
        <v>0</v>
      </c>
      <c r="AZ77" s="6">
        <f>SUMIFS(Timesheet!$F$13:$F$11461,Timesheet!$A$13:$A$11461,'Mês 1'!AQ77,Timesheet!$C$13:$C$11461,'Mês 1'!$AZ$75)</f>
        <v>0</v>
      </c>
      <c r="BA77" s="6">
        <f t="shared" si="18"/>
        <v>0</v>
      </c>
      <c r="BB77" s="6">
        <f t="array" ref="BB77">MIN(IF(Timesheet!$A$13:$A$11483='Mês 1'!AQ77,Timesheet!$D$13:$D$11483))</f>
        <v>0</v>
      </c>
      <c r="BC77" s="6">
        <f t="array" ref="BC77">MAX(IF(Timesheet!$A$13:$A$11483='Mês 1'!AQ77,Timesheet!$E$13:$E$11483))</f>
        <v>0</v>
      </c>
      <c r="BE77" s="1">
        <v>45262</v>
      </c>
      <c r="BF77" s="6">
        <f>SUMIFS(Timesheet!$F$13:$F$11461,Timesheet!$A$13:$A$11461,'Mês 1'!BE77,Timesheet!$C$13:$C$11461,'Mês 1'!$BF$75)</f>
        <v>0</v>
      </c>
      <c r="BG77" s="6">
        <f>SUMIFS(Timesheet!$F$13:$F$11461,Timesheet!$A$13:$A$11461,'Mês 1'!BE77,Timesheet!$C$13:$C$11461,'Mês 1'!$BG$75)</f>
        <v>0</v>
      </c>
      <c r="BH77" s="6">
        <f>SUMIFS(Timesheet!$F$13:$F$11461,Timesheet!$A$13:$A$11461,'Mês 1'!BE77,Timesheet!$C$13:$C$11461,'Mês 1'!$BH$75)</f>
        <v>0</v>
      </c>
      <c r="BI77" s="6">
        <f>SUMIFS(Timesheet!$F$13:$F$11461,Timesheet!$A$13:$A$11461,'Mês 1'!BE77,Timesheet!$C$13:$C$11461,'Mês 1'!$BI$75)</f>
        <v>0</v>
      </c>
      <c r="BJ77" s="6">
        <f>SUMIFS(Timesheet!$F$13:$F$11461,Timesheet!$A$13:$A$11461,'Mês 1'!BE77,Timesheet!$C$13:$C$11461,'Mês 1'!$BJ$75)</f>
        <v>0</v>
      </c>
      <c r="BK77" s="6">
        <f>SUMIFS(Timesheet!$F$13:$F$11461,Timesheet!$A$13:$A$11461,'Mês 1'!BE77,Timesheet!$C$13:$C$11461,'Mês 1'!$BK$75)</f>
        <v>0</v>
      </c>
      <c r="BL77" s="6">
        <f>SUMIFS(Timesheet!$F$13:$F$11461,Timesheet!$A$13:$A$11461,'Mês 1'!BE77,Timesheet!$C$13:$C$11461,'Mês 1'!$BL$75)</f>
        <v>0</v>
      </c>
      <c r="BM77" s="6">
        <f>SUMIFS(Timesheet!$F$13:$F$11461,Timesheet!$A$13:$A$11461,'Mês 1'!BE77,Timesheet!$C$13:$C$11461,'Mês 1'!$BM$75)</f>
        <v>0</v>
      </c>
      <c r="BN77" s="6">
        <f>SUMIFS(Timesheet!$F$13:$F$11461,Timesheet!$A$13:$A$11461,'Mês 1'!BE77,Timesheet!$C$13:$C$11461,'Mês 1'!$BN$75)</f>
        <v>0</v>
      </c>
      <c r="BO77" s="6">
        <f t="shared" si="19"/>
        <v>0</v>
      </c>
      <c r="BP77" s="6">
        <f t="array" ref="BP77">MIN(IF(Timesheet!$A$13:$A$11483='Mês 1'!BE77,Timesheet!$D$13:$D$11483))</f>
        <v>0</v>
      </c>
      <c r="BQ77" s="6">
        <f t="array" ref="BQ77">MAX(IF(Timesheet!$A$13:$A$11483='Mês 1'!BE77,Timesheet!$E$13:$E$11483))</f>
        <v>0</v>
      </c>
    </row>
    <row r="78" spans="1:69" x14ac:dyDescent="0.25">
      <c r="A78" s="1">
        <v>45019</v>
      </c>
      <c r="B78" s="6">
        <f>SUMIFS(Timesheet!$F$13:$F$11461,Timesheet!$A$13:$A$11461,'Mês 1'!A78,Timesheet!$C$13:$C$11461,'Mês 1'!$B$75)</f>
        <v>3.4027777777777768E-2</v>
      </c>
      <c r="C78" s="6">
        <f>SUMIFS(Timesheet!$F$13:$F$11461,Timesheet!$A$13:$A$11461,'Mês 1'!A78,Timesheet!$C$13:$C$11461,'Mês 1'!$C$75)</f>
        <v>0</v>
      </c>
      <c r="D78" s="6">
        <f>SUMIFS(Timesheet!$F$13:$F$11461,Timesheet!$A$13:$A$11461,'Mês 1'!A78,Timesheet!$C$13:$C$11461,'Mês 1'!$D$75)</f>
        <v>0</v>
      </c>
      <c r="E78" s="6">
        <f>SUMIFS(Timesheet!$F$13:$F$11461,Timesheet!$A$13:$A$11461,'Mês 1'!A78,Timesheet!$C$13:$C$11461,'Mês 1'!$E$75)</f>
        <v>0</v>
      </c>
      <c r="F78" s="6">
        <f>SUMIFS(Timesheet!$F$13:$F$11461,Timesheet!$A$13:$A$11461,'Mês 1'!A78,Timesheet!$C$13:$C$11461,'Mês 1'!$F$75)</f>
        <v>0</v>
      </c>
      <c r="G78" s="6">
        <f>SUMIFS(Timesheet!$F$13:$F$11461,Timesheet!$A$13:$A$11461,'Mês 1'!A78,Timesheet!$C$13:$C$11461,'Mês 1'!$G$75)</f>
        <v>0</v>
      </c>
      <c r="H78" s="6">
        <f>SUMIFS(Timesheet!$F$13:$F$11461,Timesheet!$A$13:$A$11461,'Mês 1'!A78,Timesheet!$C$13:$C$11461,'Mês 1'!$H$75)</f>
        <v>0</v>
      </c>
      <c r="I78" s="6">
        <f>SUMIFS(Timesheet!$F$13:$F$11461,Timesheet!$A$13:$A$11461,'Mês 1'!A78,Timesheet!$C$13:$C$11461,'Mês 1'!$I$75)</f>
        <v>0.3263888888888889</v>
      </c>
      <c r="J78" s="6">
        <f>SUMIFS(Timesheet!$F$13:$F$11461,Timesheet!$A$13:$A$11461,'Mês 1'!A78,Timesheet!$C$13:$C$11461,'Mês 1'!$J$75)</f>
        <v>0</v>
      </c>
      <c r="K78" s="6">
        <f t="shared" si="15"/>
        <v>0.36041666666666666</v>
      </c>
      <c r="L78" s="6">
        <f t="array" ref="L78">MIN(IF(Timesheet!$A$13:$A$11483='Mês 1'!A78,Timesheet!$D$13:$D$11483))</f>
        <v>0.42708333333333331</v>
      </c>
      <c r="M78" s="6">
        <f t="array" ref="M78">MAX(IF(Timesheet!$A$13:$A$11483='Mês 1'!A78,Timesheet!$E$13:$E$11483))</f>
        <v>0.70138888888888884</v>
      </c>
      <c r="O78" s="1">
        <v>45080</v>
      </c>
      <c r="P78" s="6">
        <f>SUMIFS(Timesheet!$F$13:$F$11461,Timesheet!$A$13:$A$11461,'Mês 1'!O78,Timesheet!$C$13:$C$11461,'Mês 1'!$P$75)</f>
        <v>0</v>
      </c>
      <c r="Q78" s="6">
        <f>SUMIFS(Timesheet!$F$13:$F$11461,Timesheet!$A$13:$A$11461,'Mês 1'!O78,Timesheet!$C$13:$C$11461,'Mês 1'!$Q$75)</f>
        <v>0</v>
      </c>
      <c r="R78" s="6">
        <f>SUMIFS(Timesheet!$F$13:$F$11461,Timesheet!$A$13:$A$11461,'Mês 1'!O78,Timesheet!$C$13:$C$11461,'Mês 1'!$R$75)</f>
        <v>0</v>
      </c>
      <c r="S78" s="6">
        <f>SUMIFS(Timesheet!$F$13:$F$11461,Timesheet!$A$13:$A$11461,'Mês 1'!O78,Timesheet!$C$13:$C$11461,'Mês 1'!$S$75)</f>
        <v>0</v>
      </c>
      <c r="T78" s="6">
        <f>SUMIFS(Timesheet!$F$13:$F$11461,Timesheet!$A$13:$A$11461,'Mês 1'!O78,Timesheet!$C$13:$C$11461,'Mês 1'!$T$75)</f>
        <v>0</v>
      </c>
      <c r="U78" s="6">
        <f>SUMIFS(Timesheet!$F$13:$F$11461,Timesheet!$A$13:$A$11461,'Mês 1'!O78,Timesheet!$C$13:$C$11461,'Mês 1'!$U$75)</f>
        <v>0</v>
      </c>
      <c r="V78" s="6">
        <f>SUMIFS(Timesheet!$F$13:$F$11461,Timesheet!$A$13:$A$11461,'Mês 1'!O78,Timesheet!$C$13:$C$11461,'Mês 1'!$V$75)</f>
        <v>0</v>
      </c>
      <c r="W78" s="6">
        <f>SUMIFS(Timesheet!$F$13:$F$11461,Timesheet!$A$13:$A$11461,'Mês 1'!O78,Timesheet!$C$13:$C$11461,'Mês 1'!$W$75)</f>
        <v>0</v>
      </c>
      <c r="X78" s="6">
        <f>SUMIFS(Timesheet!$F$13:$F$11461,Timesheet!$A$13:$A$11461,'Mês 1'!O78,Timesheet!$C$13:$C$11461,'Mês 1'!$X$75)</f>
        <v>0</v>
      </c>
      <c r="Y78" s="6">
        <f t="shared" si="16"/>
        <v>0</v>
      </c>
      <c r="Z78" s="6">
        <f t="array" ref="Z78">MIN(IF(Timesheet!$A$13:$A$11483='Mês 1'!O78,Timesheet!$D$13:$D$11483))</f>
        <v>0</v>
      </c>
      <c r="AA78" s="6">
        <f t="array" ref="AA78">MAX(IF(Timesheet!$A$13:$A$11483='Mês 1'!O78,Timesheet!$E$13:$E$11483))</f>
        <v>0</v>
      </c>
      <c r="AC78" s="1">
        <v>45141</v>
      </c>
      <c r="AD78" s="6">
        <f>SUMIFS(Timesheet!$F$13:$F$11461,Timesheet!$A$13:$A$11461,'Mês 1'!AC78,Timesheet!$C$13:$C$11461,'Mês 1'!$AD$75)</f>
        <v>0</v>
      </c>
      <c r="AE78" s="6">
        <f>SUMIFS(Timesheet!$F$13:$F$11461,Timesheet!$A$13:$A$11461,'Mês 1'!AC78,Timesheet!$C$13:$C$11461,'Mês 1'!$AE$75)</f>
        <v>0</v>
      </c>
      <c r="AF78" s="6">
        <f>SUMIFS(Timesheet!$F$13:$F$11461,Timesheet!$A$13:$A$11461,'Mês 1'!AC78,Timesheet!$C$13:$C$11461,'Mês 1'!$AF$75)</f>
        <v>0</v>
      </c>
      <c r="AG78" s="6">
        <f>SUMIFS(Timesheet!$F$13:$F$11461,Timesheet!$A$13:$A$11461,'Mês 1'!AC78,Timesheet!$C$13:$C$11461,'Mês 1'!$AG$75)</f>
        <v>0</v>
      </c>
      <c r="AH78" s="6">
        <f>SUMIFS(Timesheet!$F$13:$F$11461,Timesheet!$A$13:$A$11461,'Mês 1'!AC78,Timesheet!$C$13:$C$11461,'Mês 1'!$AH$75)</f>
        <v>0</v>
      </c>
      <c r="AI78" s="6">
        <f>SUMIFS(Timesheet!$F$13:$F$11461,Timesheet!$A$13:$A$11461,'Mês 1'!AC78,Timesheet!$C$13:$C$11461,'Mês 1'!$AI$75)</f>
        <v>0</v>
      </c>
      <c r="AJ78" s="6">
        <f>SUMIFS(Timesheet!$F$13:$F$11461,Timesheet!$A$13:$A$11461,'Mês 1'!AC78,Timesheet!$C$13:$C$11461,'Mês 1'!AJ$75)</f>
        <v>0</v>
      </c>
      <c r="AK78" s="6">
        <f>SUMIFS(Timesheet!$F$13:$F$11461,Timesheet!$A$13:$A$11461,'Mês 1'!AC78,Timesheet!$C$13:$C$11461,'Mês 1'!$AK$75)</f>
        <v>0</v>
      </c>
      <c r="AL78" s="6">
        <f>SUMIFS(Timesheet!$F$13:$F$11461,Timesheet!$A$13:$A$11461,'Mês 1'!AC78,Timesheet!$C$13:$C$11461,'Mês 1'!$AL$75)</f>
        <v>0</v>
      </c>
      <c r="AM78" s="6">
        <f t="shared" si="17"/>
        <v>0</v>
      </c>
      <c r="AN78" s="6">
        <f t="array" ref="AN78">MIN(IF(Timesheet!$A$13:$A$11483='Mês 1'!AC78,Timesheet!$D$13:$D$11483))</f>
        <v>0</v>
      </c>
      <c r="AO78" s="6">
        <f t="array" ref="AO78">MAX(IF(Timesheet!$A$13:$A$11483='Mês 1'!AC78,Timesheet!$E$13:$E$11483))</f>
        <v>0</v>
      </c>
      <c r="AQ78" s="1">
        <v>45202</v>
      </c>
      <c r="AR78" s="6">
        <f>SUMIFS(Timesheet!$F$13:$F$11461,Timesheet!$A$13:$A$11461,'Mês 1'!AQ78,Timesheet!$C$13:$C$11461,'Mês 1'!$AR$75)</f>
        <v>0</v>
      </c>
      <c r="AS78" s="6">
        <f>SUMIFS(Timesheet!$F$13:$F$11461,Timesheet!$A$13:$A$11461,'Mês 1'!AQ78,Timesheet!$C$13:$C$11461,'Mês 1'!$AS$75)</f>
        <v>0</v>
      </c>
      <c r="AT78" s="6">
        <f>SUMIFS(Timesheet!$F$13:$F$11461,Timesheet!$A$13:$A$11461,'Mês 1'!AQ78,Timesheet!$C$13:$C$11461,'Mês 1'!$AT$75)</f>
        <v>0</v>
      </c>
      <c r="AU78" s="6">
        <f>SUMIFS(Timesheet!$F$13:$F$11461,Timesheet!$A$13:$A$11461,'Mês 1'!AQ78,Timesheet!$C$13:$C$11461,'Mês 1'!$AU$75)</f>
        <v>0</v>
      </c>
      <c r="AV78" s="6">
        <f>SUMIFS(Timesheet!$F$13:$F$11461,Timesheet!$A$13:$A$11461,'Mês 1'!AQ78,Timesheet!$C$13:$C$11461,'Mês 1'!$AV$75)</f>
        <v>0</v>
      </c>
      <c r="AW78" s="6">
        <f>SUMIFS(Timesheet!$F$13:$F$11461,Timesheet!$A$13:$A$11461,'Mês 1'!AQ78,Timesheet!$C$13:$C$11461,'Mês 1'!$AW$75)</f>
        <v>0</v>
      </c>
      <c r="AX78" s="6">
        <f>SUMIFS(Timesheet!$F$13:$F$11461,Timesheet!$A$13:$A$11461,'Mês 1'!AQ78,Timesheet!$C$13:$C$11461,'Mês 1'!$AX$75)</f>
        <v>0</v>
      </c>
      <c r="AY78" s="6">
        <f>SUMIFS(Timesheet!$F$13:$F$11461,Timesheet!$A$13:$A$11461,'Mês 1'!AQ78,Timesheet!$C$13:$C$11461,'Mês 1'!$AY$75)</f>
        <v>0</v>
      </c>
      <c r="AZ78" s="6">
        <f>SUMIFS(Timesheet!$F$13:$F$11461,Timesheet!$A$13:$A$11461,'Mês 1'!AQ78,Timesheet!$C$13:$C$11461,'Mês 1'!$AZ$75)</f>
        <v>0</v>
      </c>
      <c r="BA78" s="6">
        <f t="shared" si="18"/>
        <v>0</v>
      </c>
      <c r="BB78" s="6">
        <f t="array" ref="BB78">MIN(IF(Timesheet!$A$13:$A$11483='Mês 1'!AQ78,Timesheet!$D$13:$D$11483))</f>
        <v>0</v>
      </c>
      <c r="BC78" s="6">
        <f t="array" ref="BC78">MAX(IF(Timesheet!$A$13:$A$11483='Mês 1'!AQ78,Timesheet!$E$13:$E$11483))</f>
        <v>0</v>
      </c>
      <c r="BE78" s="1">
        <v>45263</v>
      </c>
      <c r="BF78" s="6">
        <f>SUMIFS(Timesheet!$F$13:$F$11461,Timesheet!$A$13:$A$11461,'Mês 1'!BE78,Timesheet!$C$13:$C$11461,'Mês 1'!$BF$75)</f>
        <v>0</v>
      </c>
      <c r="BG78" s="6">
        <f>SUMIFS(Timesheet!$F$13:$F$11461,Timesheet!$A$13:$A$11461,'Mês 1'!BE78,Timesheet!$C$13:$C$11461,'Mês 1'!$BG$75)</f>
        <v>0</v>
      </c>
      <c r="BH78" s="6">
        <f>SUMIFS(Timesheet!$F$13:$F$11461,Timesheet!$A$13:$A$11461,'Mês 1'!BE78,Timesheet!$C$13:$C$11461,'Mês 1'!$BH$75)</f>
        <v>0</v>
      </c>
      <c r="BI78" s="6">
        <f>SUMIFS(Timesheet!$F$13:$F$11461,Timesheet!$A$13:$A$11461,'Mês 1'!BE78,Timesheet!$C$13:$C$11461,'Mês 1'!$BI$75)</f>
        <v>0</v>
      </c>
      <c r="BJ78" s="6">
        <f>SUMIFS(Timesheet!$F$13:$F$11461,Timesheet!$A$13:$A$11461,'Mês 1'!BE78,Timesheet!$C$13:$C$11461,'Mês 1'!$BJ$75)</f>
        <v>0</v>
      </c>
      <c r="BK78" s="6">
        <f>SUMIFS(Timesheet!$F$13:$F$11461,Timesheet!$A$13:$A$11461,'Mês 1'!BE78,Timesheet!$C$13:$C$11461,'Mês 1'!$BK$75)</f>
        <v>0</v>
      </c>
      <c r="BL78" s="6">
        <f>SUMIFS(Timesheet!$F$13:$F$11461,Timesheet!$A$13:$A$11461,'Mês 1'!BE78,Timesheet!$C$13:$C$11461,'Mês 1'!$BL$75)</f>
        <v>0</v>
      </c>
      <c r="BM78" s="6">
        <f>SUMIFS(Timesheet!$F$13:$F$11461,Timesheet!$A$13:$A$11461,'Mês 1'!BE78,Timesheet!$C$13:$C$11461,'Mês 1'!$BM$75)</f>
        <v>0</v>
      </c>
      <c r="BN78" s="6">
        <f>SUMIFS(Timesheet!$F$13:$F$11461,Timesheet!$A$13:$A$11461,'Mês 1'!BE78,Timesheet!$C$13:$C$11461,'Mês 1'!$BN$75)</f>
        <v>0</v>
      </c>
      <c r="BO78" s="6">
        <f t="shared" si="19"/>
        <v>0</v>
      </c>
      <c r="BP78" s="6">
        <f t="array" ref="BP78">MIN(IF(Timesheet!$A$13:$A$11483='Mês 1'!BE78,Timesheet!$D$13:$D$11483))</f>
        <v>0</v>
      </c>
      <c r="BQ78" s="6">
        <f t="array" ref="BQ78">MAX(IF(Timesheet!$A$13:$A$11483='Mês 1'!BE78,Timesheet!$E$13:$E$11483))</f>
        <v>0</v>
      </c>
    </row>
    <row r="79" spans="1:69" x14ac:dyDescent="0.25">
      <c r="A79" s="1">
        <v>45020</v>
      </c>
      <c r="B79" s="6">
        <f>SUMIFS(Timesheet!$F$13:$F$11461,Timesheet!$A$13:$A$11461,'Mês 1'!A79,Timesheet!$C$13:$C$11461,'Mês 1'!$B$75)</f>
        <v>0</v>
      </c>
      <c r="C79" s="6">
        <f>SUMIFS(Timesheet!$F$13:$F$11461,Timesheet!$A$13:$A$11461,'Mês 1'!A79,Timesheet!$C$13:$C$11461,'Mês 1'!$C$75)</f>
        <v>0</v>
      </c>
      <c r="D79" s="6">
        <f>SUMIFS(Timesheet!$F$13:$F$11461,Timesheet!$A$13:$A$11461,'Mês 1'!A79,Timesheet!$C$13:$C$11461,'Mês 1'!$D$75)</f>
        <v>0</v>
      </c>
      <c r="E79" s="6">
        <f>SUMIFS(Timesheet!$F$13:$F$11461,Timesheet!$A$13:$A$11461,'Mês 1'!A79,Timesheet!$C$13:$C$11461,'Mês 1'!$E$75)</f>
        <v>0</v>
      </c>
      <c r="F79" s="6">
        <f>SUMIFS(Timesheet!$F$13:$F$11461,Timesheet!$A$13:$A$11461,'Mês 1'!A79,Timesheet!$C$13:$C$11461,'Mês 1'!$F$75)</f>
        <v>0</v>
      </c>
      <c r="G79" s="6">
        <f>SUMIFS(Timesheet!$F$13:$F$11461,Timesheet!$A$13:$A$11461,'Mês 1'!A79,Timesheet!$C$13:$C$11461,'Mês 1'!$G$75)</f>
        <v>0</v>
      </c>
      <c r="H79" s="6">
        <f>SUMIFS(Timesheet!$F$13:$F$11461,Timesheet!$A$13:$A$11461,'Mês 1'!A79,Timesheet!$C$13:$C$11461,'Mês 1'!$H$75)</f>
        <v>0.20138888888888884</v>
      </c>
      <c r="I79" s="6">
        <f>SUMIFS(Timesheet!$F$13:$F$11461,Timesheet!$A$13:$A$11461,'Mês 1'!A79,Timesheet!$C$13:$C$11461,'Mês 1'!$I$75)</f>
        <v>0</v>
      </c>
      <c r="J79" s="6">
        <f>SUMIFS(Timesheet!$F$13:$F$11461,Timesheet!$A$13:$A$11461,'Mês 1'!A79,Timesheet!$C$13:$C$11461,'Mês 1'!$J$75)</f>
        <v>0</v>
      </c>
      <c r="K79" s="6">
        <f t="shared" si="15"/>
        <v>0.20138888888888884</v>
      </c>
      <c r="L79" s="6">
        <f t="array" ref="L79">MIN(IF(Timesheet!$A$13:$A$11483='Mês 1'!A79,Timesheet!$D$13:$D$11483))</f>
        <v>0.38541666666666669</v>
      </c>
      <c r="M79" s="6">
        <f t="array" ref="M79">MAX(IF(Timesheet!$A$13:$A$11483='Mês 1'!A79,Timesheet!$E$13:$E$11483))</f>
        <v>0.58333333333333337</v>
      </c>
      <c r="O79" s="1">
        <v>45081</v>
      </c>
      <c r="P79" s="6">
        <f>SUMIFS(Timesheet!$F$13:$F$11461,Timesheet!$A$13:$A$11461,'Mês 1'!O79,Timesheet!$C$13:$C$11461,'Mês 1'!$P$75)</f>
        <v>0</v>
      </c>
      <c r="Q79" s="6">
        <f>SUMIFS(Timesheet!$F$13:$F$11461,Timesheet!$A$13:$A$11461,'Mês 1'!O79,Timesheet!$C$13:$C$11461,'Mês 1'!$Q$75)</f>
        <v>0</v>
      </c>
      <c r="R79" s="6">
        <f>SUMIFS(Timesheet!$F$13:$F$11461,Timesheet!$A$13:$A$11461,'Mês 1'!O79,Timesheet!$C$13:$C$11461,'Mês 1'!$R$75)</f>
        <v>0</v>
      </c>
      <c r="S79" s="6">
        <f>SUMIFS(Timesheet!$F$13:$F$11461,Timesheet!$A$13:$A$11461,'Mês 1'!O79,Timesheet!$C$13:$C$11461,'Mês 1'!$S$75)</f>
        <v>0</v>
      </c>
      <c r="T79" s="6">
        <f>SUMIFS(Timesheet!$F$13:$F$11461,Timesheet!$A$13:$A$11461,'Mês 1'!O79,Timesheet!$C$13:$C$11461,'Mês 1'!$T$75)</f>
        <v>0</v>
      </c>
      <c r="U79" s="6">
        <f>SUMIFS(Timesheet!$F$13:$F$11461,Timesheet!$A$13:$A$11461,'Mês 1'!O79,Timesheet!$C$13:$C$11461,'Mês 1'!$U$75)</f>
        <v>0</v>
      </c>
      <c r="V79" s="6">
        <f>SUMIFS(Timesheet!$F$13:$F$11461,Timesheet!$A$13:$A$11461,'Mês 1'!O79,Timesheet!$C$13:$C$11461,'Mês 1'!$V$75)</f>
        <v>0</v>
      </c>
      <c r="W79" s="6">
        <f>SUMIFS(Timesheet!$F$13:$F$11461,Timesheet!$A$13:$A$11461,'Mês 1'!O79,Timesheet!$C$13:$C$11461,'Mês 1'!$W$75)</f>
        <v>0</v>
      </c>
      <c r="X79" s="6">
        <f>SUMIFS(Timesheet!$F$13:$F$11461,Timesheet!$A$13:$A$11461,'Mês 1'!O79,Timesheet!$C$13:$C$11461,'Mês 1'!$X$75)</f>
        <v>0</v>
      </c>
      <c r="Y79" s="6">
        <f t="shared" si="16"/>
        <v>0</v>
      </c>
      <c r="Z79" s="6">
        <f t="array" ref="Z79">MIN(IF(Timesheet!$A$13:$A$11483='Mês 1'!O79,Timesheet!$D$13:$D$11483))</f>
        <v>0</v>
      </c>
      <c r="AA79" s="6">
        <f t="array" ref="AA79">MAX(IF(Timesheet!$A$13:$A$11483='Mês 1'!O79,Timesheet!$E$13:$E$11483))</f>
        <v>0</v>
      </c>
      <c r="AC79" s="1">
        <v>45142</v>
      </c>
      <c r="AD79" s="6">
        <f>SUMIFS(Timesheet!$F$13:$F$11461,Timesheet!$A$13:$A$11461,'Mês 1'!AC79,Timesheet!$C$13:$C$11461,'Mês 1'!$AD$75)</f>
        <v>0</v>
      </c>
      <c r="AE79" s="6">
        <f>SUMIFS(Timesheet!$F$13:$F$11461,Timesheet!$A$13:$A$11461,'Mês 1'!AC79,Timesheet!$C$13:$C$11461,'Mês 1'!$AE$75)</f>
        <v>0</v>
      </c>
      <c r="AF79" s="6">
        <f>SUMIFS(Timesheet!$F$13:$F$11461,Timesheet!$A$13:$A$11461,'Mês 1'!AC79,Timesheet!$C$13:$C$11461,'Mês 1'!$AF$75)</f>
        <v>0</v>
      </c>
      <c r="AG79" s="6">
        <f>SUMIFS(Timesheet!$F$13:$F$11461,Timesheet!$A$13:$A$11461,'Mês 1'!AC79,Timesheet!$C$13:$C$11461,'Mês 1'!$AG$75)</f>
        <v>0</v>
      </c>
      <c r="AH79" s="6">
        <f>SUMIFS(Timesheet!$F$13:$F$11461,Timesheet!$A$13:$A$11461,'Mês 1'!AC79,Timesheet!$C$13:$C$11461,'Mês 1'!$AH$75)</f>
        <v>0</v>
      </c>
      <c r="AI79" s="6">
        <f>SUMIFS(Timesheet!$F$13:$F$11461,Timesheet!$A$13:$A$11461,'Mês 1'!AC79,Timesheet!$C$13:$C$11461,'Mês 1'!$AI$75)</f>
        <v>0</v>
      </c>
      <c r="AJ79" s="6">
        <f>SUMIFS(Timesheet!$F$13:$F$11461,Timesheet!$A$13:$A$11461,'Mês 1'!AC79,Timesheet!$C$13:$C$11461,'Mês 1'!AJ$75)</f>
        <v>0</v>
      </c>
      <c r="AK79" s="6">
        <f>SUMIFS(Timesheet!$F$13:$F$11461,Timesheet!$A$13:$A$11461,'Mês 1'!AC79,Timesheet!$C$13:$C$11461,'Mês 1'!$AK$75)</f>
        <v>0</v>
      </c>
      <c r="AL79" s="6">
        <f>SUMIFS(Timesheet!$F$13:$F$11461,Timesheet!$A$13:$A$11461,'Mês 1'!AC79,Timesheet!$C$13:$C$11461,'Mês 1'!$AL$75)</f>
        <v>0</v>
      </c>
      <c r="AM79" s="6">
        <f t="shared" si="17"/>
        <v>0</v>
      </c>
      <c r="AN79" s="6">
        <f t="array" ref="AN79">MIN(IF(Timesheet!$A$13:$A$11483='Mês 1'!AC79,Timesheet!$D$13:$D$11483))</f>
        <v>0</v>
      </c>
      <c r="AO79" s="6">
        <f t="array" ref="AO79">MAX(IF(Timesheet!$A$13:$A$11483='Mês 1'!AC79,Timesheet!$E$13:$E$11483))</f>
        <v>0</v>
      </c>
      <c r="AQ79" s="1">
        <v>45203</v>
      </c>
      <c r="AR79" s="6">
        <f>SUMIFS(Timesheet!$F$13:$F$11461,Timesheet!$A$13:$A$11461,'Mês 1'!AQ79,Timesheet!$C$13:$C$11461,'Mês 1'!$AR$75)</f>
        <v>0</v>
      </c>
      <c r="AS79" s="6">
        <f>SUMIFS(Timesheet!$F$13:$F$11461,Timesheet!$A$13:$A$11461,'Mês 1'!AQ79,Timesheet!$C$13:$C$11461,'Mês 1'!$AS$75)</f>
        <v>0</v>
      </c>
      <c r="AT79" s="6">
        <f>SUMIFS(Timesheet!$F$13:$F$11461,Timesheet!$A$13:$A$11461,'Mês 1'!AQ79,Timesheet!$C$13:$C$11461,'Mês 1'!$AT$75)</f>
        <v>0</v>
      </c>
      <c r="AU79" s="6">
        <f>SUMIFS(Timesheet!$F$13:$F$11461,Timesheet!$A$13:$A$11461,'Mês 1'!AQ79,Timesheet!$C$13:$C$11461,'Mês 1'!$AU$75)</f>
        <v>0</v>
      </c>
      <c r="AV79" s="6">
        <f>SUMIFS(Timesheet!$F$13:$F$11461,Timesheet!$A$13:$A$11461,'Mês 1'!AQ79,Timesheet!$C$13:$C$11461,'Mês 1'!$AV$75)</f>
        <v>0</v>
      </c>
      <c r="AW79" s="6">
        <f>SUMIFS(Timesheet!$F$13:$F$11461,Timesheet!$A$13:$A$11461,'Mês 1'!AQ79,Timesheet!$C$13:$C$11461,'Mês 1'!$AW$75)</f>
        <v>0</v>
      </c>
      <c r="AX79" s="6">
        <f>SUMIFS(Timesheet!$F$13:$F$11461,Timesheet!$A$13:$A$11461,'Mês 1'!AQ79,Timesheet!$C$13:$C$11461,'Mês 1'!$AX$75)</f>
        <v>0</v>
      </c>
      <c r="AY79" s="6">
        <f>SUMIFS(Timesheet!$F$13:$F$11461,Timesheet!$A$13:$A$11461,'Mês 1'!AQ79,Timesheet!$C$13:$C$11461,'Mês 1'!$AY$75)</f>
        <v>0</v>
      </c>
      <c r="AZ79" s="6">
        <f>SUMIFS(Timesheet!$F$13:$F$11461,Timesheet!$A$13:$A$11461,'Mês 1'!AQ79,Timesheet!$C$13:$C$11461,'Mês 1'!$AZ$75)</f>
        <v>0</v>
      </c>
      <c r="BA79" s="6">
        <f t="shared" si="18"/>
        <v>0</v>
      </c>
      <c r="BB79" s="6">
        <f t="array" ref="BB79">MIN(IF(Timesheet!$A$13:$A$11483='Mês 1'!AQ79,Timesheet!$D$13:$D$11483))</f>
        <v>0</v>
      </c>
      <c r="BC79" s="6">
        <f t="array" ref="BC79">MAX(IF(Timesheet!$A$13:$A$11483='Mês 1'!AQ79,Timesheet!$E$13:$E$11483))</f>
        <v>0</v>
      </c>
      <c r="BE79" s="1">
        <v>45264</v>
      </c>
      <c r="BF79" s="6">
        <f>SUMIFS(Timesheet!$F$13:$F$11461,Timesheet!$A$13:$A$11461,'Mês 1'!BE79,Timesheet!$C$13:$C$11461,'Mês 1'!$BF$75)</f>
        <v>0</v>
      </c>
      <c r="BG79" s="6">
        <f>SUMIFS(Timesheet!$F$13:$F$11461,Timesheet!$A$13:$A$11461,'Mês 1'!BE79,Timesheet!$C$13:$C$11461,'Mês 1'!$BG$75)</f>
        <v>0</v>
      </c>
      <c r="BH79" s="6">
        <f>SUMIFS(Timesheet!$F$13:$F$11461,Timesheet!$A$13:$A$11461,'Mês 1'!BE79,Timesheet!$C$13:$C$11461,'Mês 1'!$BH$75)</f>
        <v>0</v>
      </c>
      <c r="BI79" s="6">
        <f>SUMIFS(Timesheet!$F$13:$F$11461,Timesheet!$A$13:$A$11461,'Mês 1'!BE79,Timesheet!$C$13:$C$11461,'Mês 1'!$BI$75)</f>
        <v>0</v>
      </c>
      <c r="BJ79" s="6">
        <f>SUMIFS(Timesheet!$F$13:$F$11461,Timesheet!$A$13:$A$11461,'Mês 1'!BE79,Timesheet!$C$13:$C$11461,'Mês 1'!$BJ$75)</f>
        <v>0</v>
      </c>
      <c r="BK79" s="6">
        <f>SUMIFS(Timesheet!$F$13:$F$11461,Timesheet!$A$13:$A$11461,'Mês 1'!BE79,Timesheet!$C$13:$C$11461,'Mês 1'!$BK$75)</f>
        <v>0</v>
      </c>
      <c r="BL79" s="6">
        <f>SUMIFS(Timesheet!$F$13:$F$11461,Timesheet!$A$13:$A$11461,'Mês 1'!BE79,Timesheet!$C$13:$C$11461,'Mês 1'!$BL$75)</f>
        <v>0</v>
      </c>
      <c r="BM79" s="6">
        <f>SUMIFS(Timesheet!$F$13:$F$11461,Timesheet!$A$13:$A$11461,'Mês 1'!BE79,Timesheet!$C$13:$C$11461,'Mês 1'!$BM$75)</f>
        <v>0</v>
      </c>
      <c r="BN79" s="6">
        <f>SUMIFS(Timesheet!$F$13:$F$11461,Timesheet!$A$13:$A$11461,'Mês 1'!BE79,Timesheet!$C$13:$C$11461,'Mês 1'!$BN$75)</f>
        <v>0</v>
      </c>
      <c r="BO79" s="6">
        <f t="shared" si="19"/>
        <v>0</v>
      </c>
      <c r="BP79" s="6">
        <f t="array" ref="BP79">MIN(IF(Timesheet!$A$13:$A$11483='Mês 1'!BE79,Timesheet!$D$13:$D$11483))</f>
        <v>0</v>
      </c>
      <c r="BQ79" s="6">
        <f t="array" ref="BQ79">MAX(IF(Timesheet!$A$13:$A$11483='Mês 1'!BE79,Timesheet!$E$13:$E$11483))</f>
        <v>0</v>
      </c>
    </row>
    <row r="80" spans="1:69" x14ac:dyDescent="0.25">
      <c r="A80" s="1">
        <v>45021</v>
      </c>
      <c r="B80" s="6">
        <f>SUMIFS(Timesheet!$F$13:$F$11461,Timesheet!$A$13:$A$11461,'Mês 1'!A80,Timesheet!$C$13:$C$11461,'Mês 1'!$B$75)</f>
        <v>0</v>
      </c>
      <c r="C80" s="6">
        <f>SUMIFS(Timesheet!$F$13:$F$11461,Timesheet!$A$13:$A$11461,'Mês 1'!A80,Timesheet!$C$13:$C$11461,'Mês 1'!$C$75)</f>
        <v>4.0972222222222188E-2</v>
      </c>
      <c r="D80" s="6">
        <f>SUMIFS(Timesheet!$F$13:$F$11461,Timesheet!$A$13:$A$11461,'Mês 1'!A80,Timesheet!$C$13:$C$11461,'Mês 1'!$D$75)</f>
        <v>0</v>
      </c>
      <c r="E80" s="6">
        <f>SUMIFS(Timesheet!$F$13:$F$11461,Timesheet!$A$13:$A$11461,'Mês 1'!A80,Timesheet!$C$13:$C$11461,'Mês 1'!$E$75)</f>
        <v>0</v>
      </c>
      <c r="F80" s="6">
        <f>SUMIFS(Timesheet!$F$13:$F$11461,Timesheet!$A$13:$A$11461,'Mês 1'!A80,Timesheet!$C$13:$C$11461,'Mês 1'!$F$75)</f>
        <v>0</v>
      </c>
      <c r="G80" s="6">
        <f>SUMIFS(Timesheet!$F$13:$F$11461,Timesheet!$A$13:$A$11461,'Mês 1'!A80,Timesheet!$C$13:$C$11461,'Mês 1'!$G$75)</f>
        <v>0</v>
      </c>
      <c r="H80" s="6">
        <f>SUMIFS(Timesheet!$F$13:$F$11461,Timesheet!$A$13:$A$11461,'Mês 1'!A80,Timesheet!$C$13:$C$11461,'Mês 1'!$H$75)</f>
        <v>1.388888888888884E-3</v>
      </c>
      <c r="I80" s="6">
        <f>SUMIFS(Timesheet!$F$13:$F$11461,Timesheet!$A$13:$A$11461,'Mês 1'!A80,Timesheet!$C$13:$C$11461,'Mês 1'!$I$75)</f>
        <v>0</v>
      </c>
      <c r="J80" s="6">
        <f>SUMIFS(Timesheet!$F$13:$F$11461,Timesheet!$A$13:$A$11461,'Mês 1'!A80,Timesheet!$C$13:$C$11461,'Mês 1'!$J$75)</f>
        <v>0</v>
      </c>
      <c r="K80" s="6">
        <f t="shared" si="15"/>
        <v>4.2361111111111072E-2</v>
      </c>
      <c r="L80" s="6">
        <f t="array" ref="L80">MIN(IF(Timesheet!$A$13:$A$11483='Mês 1'!A80,Timesheet!$D$13:$D$11483))</f>
        <v>0.46388888888888885</v>
      </c>
      <c r="M80" s="6">
        <f t="array" ref="M80">MAX(IF(Timesheet!$A$13:$A$11483='Mês 1'!A80,Timesheet!$E$13:$E$11483))</f>
        <v>0.67986111111111114</v>
      </c>
      <c r="O80" s="1">
        <v>45082</v>
      </c>
      <c r="P80" s="6">
        <f>SUMIFS(Timesheet!$F$13:$F$11461,Timesheet!$A$13:$A$11461,'Mês 1'!O80,Timesheet!$C$13:$C$11461,'Mês 1'!$P$75)</f>
        <v>0</v>
      </c>
      <c r="Q80" s="6">
        <f>SUMIFS(Timesheet!$F$13:$F$11461,Timesheet!$A$13:$A$11461,'Mês 1'!O80,Timesheet!$C$13:$C$11461,'Mês 1'!$Q$75)</f>
        <v>0</v>
      </c>
      <c r="R80" s="6">
        <f>SUMIFS(Timesheet!$F$13:$F$11461,Timesheet!$A$13:$A$11461,'Mês 1'!O80,Timesheet!$C$13:$C$11461,'Mês 1'!$R$75)</f>
        <v>0</v>
      </c>
      <c r="S80" s="6">
        <f>SUMIFS(Timesheet!$F$13:$F$11461,Timesheet!$A$13:$A$11461,'Mês 1'!O80,Timesheet!$C$13:$C$11461,'Mês 1'!$S$75)</f>
        <v>0</v>
      </c>
      <c r="T80" s="6">
        <f>SUMIFS(Timesheet!$F$13:$F$11461,Timesheet!$A$13:$A$11461,'Mês 1'!O80,Timesheet!$C$13:$C$11461,'Mês 1'!$T$75)</f>
        <v>0</v>
      </c>
      <c r="U80" s="6">
        <f>SUMIFS(Timesheet!$F$13:$F$11461,Timesheet!$A$13:$A$11461,'Mês 1'!O80,Timesheet!$C$13:$C$11461,'Mês 1'!$U$75)</f>
        <v>0</v>
      </c>
      <c r="V80" s="6">
        <f>SUMIFS(Timesheet!$F$13:$F$11461,Timesheet!$A$13:$A$11461,'Mês 1'!O80,Timesheet!$C$13:$C$11461,'Mês 1'!$V$75)</f>
        <v>0</v>
      </c>
      <c r="W80" s="6">
        <f>SUMIFS(Timesheet!$F$13:$F$11461,Timesheet!$A$13:$A$11461,'Mês 1'!O80,Timesheet!$C$13:$C$11461,'Mês 1'!$W$75)</f>
        <v>0</v>
      </c>
      <c r="X80" s="6">
        <f>SUMIFS(Timesheet!$F$13:$F$11461,Timesheet!$A$13:$A$11461,'Mês 1'!O80,Timesheet!$C$13:$C$11461,'Mês 1'!$X$75)</f>
        <v>0</v>
      </c>
      <c r="Y80" s="6">
        <f t="shared" si="16"/>
        <v>0</v>
      </c>
      <c r="Z80" s="6">
        <f t="array" ref="Z80">MIN(IF(Timesheet!$A$13:$A$11483='Mês 1'!O80,Timesheet!$D$13:$D$11483))</f>
        <v>0</v>
      </c>
      <c r="AA80" s="6">
        <f t="array" ref="AA80">MAX(IF(Timesheet!$A$13:$A$11483='Mês 1'!O80,Timesheet!$E$13:$E$11483))</f>
        <v>0</v>
      </c>
      <c r="AC80" s="1">
        <v>45143</v>
      </c>
      <c r="AD80" s="6">
        <f>SUMIFS(Timesheet!$F$13:$F$11461,Timesheet!$A$13:$A$11461,'Mês 1'!AC80,Timesheet!$C$13:$C$11461,'Mês 1'!$AD$75)</f>
        <v>0</v>
      </c>
      <c r="AE80" s="6">
        <f>SUMIFS(Timesheet!$F$13:$F$11461,Timesheet!$A$13:$A$11461,'Mês 1'!AC80,Timesheet!$C$13:$C$11461,'Mês 1'!$AE$75)</f>
        <v>0</v>
      </c>
      <c r="AF80" s="6">
        <f>SUMIFS(Timesheet!$F$13:$F$11461,Timesheet!$A$13:$A$11461,'Mês 1'!AC80,Timesheet!$C$13:$C$11461,'Mês 1'!$AF$75)</f>
        <v>0</v>
      </c>
      <c r="AG80" s="6">
        <f>SUMIFS(Timesheet!$F$13:$F$11461,Timesheet!$A$13:$A$11461,'Mês 1'!AC80,Timesheet!$C$13:$C$11461,'Mês 1'!$AG$75)</f>
        <v>0</v>
      </c>
      <c r="AH80" s="6">
        <f>SUMIFS(Timesheet!$F$13:$F$11461,Timesheet!$A$13:$A$11461,'Mês 1'!AC80,Timesheet!$C$13:$C$11461,'Mês 1'!$AH$75)</f>
        <v>0</v>
      </c>
      <c r="AI80" s="6">
        <f>SUMIFS(Timesheet!$F$13:$F$11461,Timesheet!$A$13:$A$11461,'Mês 1'!AC80,Timesheet!$C$13:$C$11461,'Mês 1'!$AI$75)</f>
        <v>0</v>
      </c>
      <c r="AJ80" s="6">
        <f>SUMIFS(Timesheet!$F$13:$F$11461,Timesheet!$A$13:$A$11461,'Mês 1'!AC80,Timesheet!$C$13:$C$11461,'Mês 1'!AJ$75)</f>
        <v>0</v>
      </c>
      <c r="AK80" s="6">
        <f>SUMIFS(Timesheet!$F$13:$F$11461,Timesheet!$A$13:$A$11461,'Mês 1'!AC80,Timesheet!$C$13:$C$11461,'Mês 1'!$AK$75)</f>
        <v>0</v>
      </c>
      <c r="AL80" s="6">
        <f>SUMIFS(Timesheet!$F$13:$F$11461,Timesheet!$A$13:$A$11461,'Mês 1'!AC80,Timesheet!$C$13:$C$11461,'Mês 1'!$AL$75)</f>
        <v>0</v>
      </c>
      <c r="AM80" s="6">
        <f t="shared" si="17"/>
        <v>0</v>
      </c>
      <c r="AN80" s="6">
        <f t="array" ref="AN80">MIN(IF(Timesheet!$A$13:$A$11483='Mês 1'!AC80,Timesheet!$D$13:$D$11483))</f>
        <v>0</v>
      </c>
      <c r="AO80" s="6">
        <f t="array" ref="AO80">MAX(IF(Timesheet!$A$13:$A$11483='Mês 1'!AC80,Timesheet!$E$13:$E$11483))</f>
        <v>0</v>
      </c>
      <c r="AQ80" s="1">
        <v>45204</v>
      </c>
      <c r="AR80" s="6">
        <f>SUMIFS(Timesheet!$F$13:$F$11461,Timesheet!$A$13:$A$11461,'Mês 1'!AQ80,Timesheet!$C$13:$C$11461,'Mês 1'!$AR$75)</f>
        <v>0</v>
      </c>
      <c r="AS80" s="6">
        <f>SUMIFS(Timesheet!$F$13:$F$11461,Timesheet!$A$13:$A$11461,'Mês 1'!AQ80,Timesheet!$C$13:$C$11461,'Mês 1'!$AS$75)</f>
        <v>0</v>
      </c>
      <c r="AT80" s="6">
        <f>SUMIFS(Timesheet!$F$13:$F$11461,Timesheet!$A$13:$A$11461,'Mês 1'!AQ80,Timesheet!$C$13:$C$11461,'Mês 1'!$AT$75)</f>
        <v>0</v>
      </c>
      <c r="AU80" s="6">
        <f>SUMIFS(Timesheet!$F$13:$F$11461,Timesheet!$A$13:$A$11461,'Mês 1'!AQ80,Timesheet!$C$13:$C$11461,'Mês 1'!$AU$75)</f>
        <v>0</v>
      </c>
      <c r="AV80" s="6">
        <f>SUMIFS(Timesheet!$F$13:$F$11461,Timesheet!$A$13:$A$11461,'Mês 1'!AQ80,Timesheet!$C$13:$C$11461,'Mês 1'!$AV$75)</f>
        <v>0</v>
      </c>
      <c r="AW80" s="6">
        <f>SUMIFS(Timesheet!$F$13:$F$11461,Timesheet!$A$13:$A$11461,'Mês 1'!AQ80,Timesheet!$C$13:$C$11461,'Mês 1'!$AW$75)</f>
        <v>0</v>
      </c>
      <c r="AX80" s="6">
        <f>SUMIFS(Timesheet!$F$13:$F$11461,Timesheet!$A$13:$A$11461,'Mês 1'!AQ80,Timesheet!$C$13:$C$11461,'Mês 1'!$AX$75)</f>
        <v>0</v>
      </c>
      <c r="AY80" s="6">
        <f>SUMIFS(Timesheet!$F$13:$F$11461,Timesheet!$A$13:$A$11461,'Mês 1'!AQ80,Timesheet!$C$13:$C$11461,'Mês 1'!$AY$75)</f>
        <v>0</v>
      </c>
      <c r="AZ80" s="6">
        <f>SUMIFS(Timesheet!$F$13:$F$11461,Timesheet!$A$13:$A$11461,'Mês 1'!AQ80,Timesheet!$C$13:$C$11461,'Mês 1'!$AZ$75)</f>
        <v>0</v>
      </c>
      <c r="BA80" s="6">
        <f t="shared" si="18"/>
        <v>0</v>
      </c>
      <c r="BB80" s="6">
        <f t="array" ref="BB80">MIN(IF(Timesheet!$A$13:$A$11483='Mês 1'!AQ80,Timesheet!$D$13:$D$11483))</f>
        <v>0</v>
      </c>
      <c r="BC80" s="6">
        <f t="array" ref="BC80">MAX(IF(Timesheet!$A$13:$A$11483='Mês 1'!AQ80,Timesheet!$E$13:$E$11483))</f>
        <v>0</v>
      </c>
      <c r="BE80" s="1">
        <v>45265</v>
      </c>
      <c r="BF80" s="6">
        <f>SUMIFS(Timesheet!$F$13:$F$11461,Timesheet!$A$13:$A$11461,'Mês 1'!BE80,Timesheet!$C$13:$C$11461,'Mês 1'!$BF$75)</f>
        <v>0</v>
      </c>
      <c r="BG80" s="6">
        <f>SUMIFS(Timesheet!$F$13:$F$11461,Timesheet!$A$13:$A$11461,'Mês 1'!BE80,Timesheet!$C$13:$C$11461,'Mês 1'!$BG$75)</f>
        <v>0</v>
      </c>
      <c r="BH80" s="6">
        <f>SUMIFS(Timesheet!$F$13:$F$11461,Timesheet!$A$13:$A$11461,'Mês 1'!BE80,Timesheet!$C$13:$C$11461,'Mês 1'!$BH$75)</f>
        <v>0</v>
      </c>
      <c r="BI80" s="6">
        <f>SUMIFS(Timesheet!$F$13:$F$11461,Timesheet!$A$13:$A$11461,'Mês 1'!BE80,Timesheet!$C$13:$C$11461,'Mês 1'!$BI$75)</f>
        <v>0</v>
      </c>
      <c r="BJ80" s="6">
        <f>SUMIFS(Timesheet!$F$13:$F$11461,Timesheet!$A$13:$A$11461,'Mês 1'!BE80,Timesheet!$C$13:$C$11461,'Mês 1'!$BJ$75)</f>
        <v>0</v>
      </c>
      <c r="BK80" s="6">
        <f>SUMIFS(Timesheet!$F$13:$F$11461,Timesheet!$A$13:$A$11461,'Mês 1'!BE80,Timesheet!$C$13:$C$11461,'Mês 1'!$BK$75)</f>
        <v>0</v>
      </c>
      <c r="BL80" s="6">
        <f>SUMIFS(Timesheet!$F$13:$F$11461,Timesheet!$A$13:$A$11461,'Mês 1'!BE80,Timesheet!$C$13:$C$11461,'Mês 1'!$BL$75)</f>
        <v>0</v>
      </c>
      <c r="BM80" s="6">
        <f>SUMIFS(Timesheet!$F$13:$F$11461,Timesheet!$A$13:$A$11461,'Mês 1'!BE80,Timesheet!$C$13:$C$11461,'Mês 1'!$BM$75)</f>
        <v>0</v>
      </c>
      <c r="BN80" s="6">
        <f>SUMIFS(Timesheet!$F$13:$F$11461,Timesheet!$A$13:$A$11461,'Mês 1'!BE80,Timesheet!$C$13:$C$11461,'Mês 1'!$BN$75)</f>
        <v>0</v>
      </c>
      <c r="BO80" s="6">
        <f t="shared" si="19"/>
        <v>0</v>
      </c>
      <c r="BP80" s="6">
        <f t="array" ref="BP80">MIN(IF(Timesheet!$A$13:$A$11483='Mês 1'!BE80,Timesheet!$D$13:$D$11483))</f>
        <v>0</v>
      </c>
      <c r="BQ80" s="6">
        <f t="array" ref="BQ80">MAX(IF(Timesheet!$A$13:$A$11483='Mês 1'!BE80,Timesheet!$E$13:$E$11483))</f>
        <v>0</v>
      </c>
    </row>
    <row r="81" spans="1:69" x14ac:dyDescent="0.25">
      <c r="A81" s="1">
        <v>45022</v>
      </c>
      <c r="B81" s="6">
        <f>SUMIFS(Timesheet!$F$13:$F$11461,Timesheet!$A$13:$A$11461,'Mês 1'!A81,Timesheet!$C$13:$C$11461,'Mês 1'!$B$75)</f>
        <v>0</v>
      </c>
      <c r="C81" s="6">
        <f>SUMIFS(Timesheet!$F$13:$F$11461,Timesheet!$A$13:$A$11461,'Mês 1'!A81,Timesheet!$C$13:$C$11461,'Mês 1'!$C$75)</f>
        <v>0.27777777777777785</v>
      </c>
      <c r="D81" s="6">
        <f>SUMIFS(Timesheet!$F$13:$F$11461,Timesheet!$A$13:$A$11461,'Mês 1'!A81,Timesheet!$C$13:$C$11461,'Mês 1'!$D$75)</f>
        <v>0</v>
      </c>
      <c r="E81" s="6">
        <f>SUMIFS(Timesheet!$F$13:$F$11461,Timesheet!$A$13:$A$11461,'Mês 1'!A81,Timesheet!$C$13:$C$11461,'Mês 1'!$E$75)</f>
        <v>0</v>
      </c>
      <c r="F81" s="6">
        <f>SUMIFS(Timesheet!$F$13:$F$11461,Timesheet!$A$13:$A$11461,'Mês 1'!A81,Timesheet!$C$13:$C$11461,'Mês 1'!$F$75)</f>
        <v>0</v>
      </c>
      <c r="G81" s="6">
        <f>SUMIFS(Timesheet!$F$13:$F$11461,Timesheet!$A$13:$A$11461,'Mês 1'!A81,Timesheet!$C$13:$C$11461,'Mês 1'!$G$75)</f>
        <v>0</v>
      </c>
      <c r="H81" s="6">
        <f>SUMIFS(Timesheet!$F$13:$F$11461,Timesheet!$A$13:$A$11461,'Mês 1'!A81,Timesheet!$C$13:$C$11461,'Mês 1'!$H$75)</f>
        <v>1.5277777777777779E-2</v>
      </c>
      <c r="I81" s="6">
        <f>SUMIFS(Timesheet!$F$13:$F$11461,Timesheet!$A$13:$A$11461,'Mês 1'!A81,Timesheet!$C$13:$C$11461,'Mês 1'!$I$75)</f>
        <v>0</v>
      </c>
      <c r="J81" s="6">
        <f>SUMIFS(Timesheet!$F$13:$F$11461,Timesheet!$A$13:$A$11461,'Mês 1'!A81,Timesheet!$C$13:$C$11461,'Mês 1'!$J$75)</f>
        <v>0</v>
      </c>
      <c r="K81" s="6">
        <f t="shared" si="15"/>
        <v>0.29305555555555562</v>
      </c>
      <c r="L81" s="6">
        <f t="array" ref="L81">MIN(IF(Timesheet!$A$13:$A$11483='Mês 1'!A81,Timesheet!$D$13:$D$11483))</f>
        <v>0.3611111111111111</v>
      </c>
      <c r="M81" s="6">
        <f t="array" ref="M81">MAX(IF(Timesheet!$A$13:$A$11483='Mês 1'!A81,Timesheet!$E$13:$E$11483))</f>
        <v>0.63888888888888895</v>
      </c>
      <c r="O81" s="1">
        <v>45083</v>
      </c>
      <c r="P81" s="6">
        <f>SUMIFS(Timesheet!$F$13:$F$11461,Timesheet!$A$13:$A$11461,'Mês 1'!O81,Timesheet!$C$13:$C$11461,'Mês 1'!$P$75)</f>
        <v>0</v>
      </c>
      <c r="Q81" s="6">
        <f>SUMIFS(Timesheet!$F$13:$F$11461,Timesheet!$A$13:$A$11461,'Mês 1'!O81,Timesheet!$C$13:$C$11461,'Mês 1'!$Q$75)</f>
        <v>0</v>
      </c>
      <c r="R81" s="6">
        <f>SUMIFS(Timesheet!$F$13:$F$11461,Timesheet!$A$13:$A$11461,'Mês 1'!O81,Timesheet!$C$13:$C$11461,'Mês 1'!$R$75)</f>
        <v>0</v>
      </c>
      <c r="S81" s="6">
        <f>SUMIFS(Timesheet!$F$13:$F$11461,Timesheet!$A$13:$A$11461,'Mês 1'!O81,Timesheet!$C$13:$C$11461,'Mês 1'!$S$75)</f>
        <v>0</v>
      </c>
      <c r="T81" s="6">
        <f>SUMIFS(Timesheet!$F$13:$F$11461,Timesheet!$A$13:$A$11461,'Mês 1'!O81,Timesheet!$C$13:$C$11461,'Mês 1'!$T$75)</f>
        <v>0</v>
      </c>
      <c r="U81" s="6">
        <f>SUMIFS(Timesheet!$F$13:$F$11461,Timesheet!$A$13:$A$11461,'Mês 1'!O81,Timesheet!$C$13:$C$11461,'Mês 1'!$U$75)</f>
        <v>0</v>
      </c>
      <c r="V81" s="6">
        <f>SUMIFS(Timesheet!$F$13:$F$11461,Timesheet!$A$13:$A$11461,'Mês 1'!O81,Timesheet!$C$13:$C$11461,'Mês 1'!$V$75)</f>
        <v>0</v>
      </c>
      <c r="W81" s="6">
        <f>SUMIFS(Timesheet!$F$13:$F$11461,Timesheet!$A$13:$A$11461,'Mês 1'!O81,Timesheet!$C$13:$C$11461,'Mês 1'!$W$75)</f>
        <v>0</v>
      </c>
      <c r="X81" s="6">
        <f>SUMIFS(Timesheet!$F$13:$F$11461,Timesheet!$A$13:$A$11461,'Mês 1'!O81,Timesheet!$C$13:$C$11461,'Mês 1'!$X$75)</f>
        <v>0</v>
      </c>
      <c r="Y81" s="6">
        <f t="shared" si="16"/>
        <v>0</v>
      </c>
      <c r="Z81" s="6">
        <f t="array" ref="Z81">MIN(IF(Timesheet!$A$13:$A$11483='Mês 1'!O81,Timesheet!$D$13:$D$11483))</f>
        <v>0</v>
      </c>
      <c r="AA81" s="6">
        <f t="array" ref="AA81">MAX(IF(Timesheet!$A$13:$A$11483='Mês 1'!O81,Timesheet!$E$13:$E$11483))</f>
        <v>0</v>
      </c>
      <c r="AC81" s="1">
        <v>45144</v>
      </c>
      <c r="AD81" s="6">
        <f>SUMIFS(Timesheet!$F$13:$F$11461,Timesheet!$A$13:$A$11461,'Mês 1'!AC81,Timesheet!$C$13:$C$11461,'Mês 1'!$AD$75)</f>
        <v>0</v>
      </c>
      <c r="AE81" s="6">
        <f>SUMIFS(Timesheet!$F$13:$F$11461,Timesheet!$A$13:$A$11461,'Mês 1'!AC81,Timesheet!$C$13:$C$11461,'Mês 1'!$AE$75)</f>
        <v>0</v>
      </c>
      <c r="AF81" s="6">
        <f>SUMIFS(Timesheet!$F$13:$F$11461,Timesheet!$A$13:$A$11461,'Mês 1'!AC81,Timesheet!$C$13:$C$11461,'Mês 1'!$AF$75)</f>
        <v>0</v>
      </c>
      <c r="AG81" s="6">
        <f>SUMIFS(Timesheet!$F$13:$F$11461,Timesheet!$A$13:$A$11461,'Mês 1'!AC81,Timesheet!$C$13:$C$11461,'Mês 1'!$AG$75)</f>
        <v>0</v>
      </c>
      <c r="AH81" s="6">
        <f>SUMIFS(Timesheet!$F$13:$F$11461,Timesheet!$A$13:$A$11461,'Mês 1'!AC81,Timesheet!$C$13:$C$11461,'Mês 1'!$AH$75)</f>
        <v>0</v>
      </c>
      <c r="AI81" s="6">
        <f>SUMIFS(Timesheet!$F$13:$F$11461,Timesheet!$A$13:$A$11461,'Mês 1'!AC81,Timesheet!$C$13:$C$11461,'Mês 1'!$AI$75)</f>
        <v>0</v>
      </c>
      <c r="AJ81" s="6">
        <f>SUMIFS(Timesheet!$F$13:$F$11461,Timesheet!$A$13:$A$11461,'Mês 1'!AC81,Timesheet!$C$13:$C$11461,'Mês 1'!AJ$75)</f>
        <v>0</v>
      </c>
      <c r="AK81" s="6">
        <f>SUMIFS(Timesheet!$F$13:$F$11461,Timesheet!$A$13:$A$11461,'Mês 1'!AC81,Timesheet!$C$13:$C$11461,'Mês 1'!$AK$75)</f>
        <v>0</v>
      </c>
      <c r="AL81" s="6">
        <f>SUMIFS(Timesheet!$F$13:$F$11461,Timesheet!$A$13:$A$11461,'Mês 1'!AC81,Timesheet!$C$13:$C$11461,'Mês 1'!$AL$75)</f>
        <v>0</v>
      </c>
      <c r="AM81" s="6">
        <f t="shared" si="17"/>
        <v>0</v>
      </c>
      <c r="AN81" s="6">
        <f t="array" ref="AN81">MIN(IF(Timesheet!$A$13:$A$11483='Mês 1'!AC81,Timesheet!$D$13:$D$11483))</f>
        <v>0</v>
      </c>
      <c r="AO81" s="6">
        <f t="array" ref="AO81">MAX(IF(Timesheet!$A$13:$A$11483='Mês 1'!AC81,Timesheet!$E$13:$E$11483))</f>
        <v>0</v>
      </c>
      <c r="AQ81" s="1">
        <v>45205</v>
      </c>
      <c r="AR81" s="6">
        <f>SUMIFS(Timesheet!$F$13:$F$11461,Timesheet!$A$13:$A$11461,'Mês 1'!AQ81,Timesheet!$C$13:$C$11461,'Mês 1'!$AR$75)</f>
        <v>0</v>
      </c>
      <c r="AS81" s="6">
        <f>SUMIFS(Timesheet!$F$13:$F$11461,Timesheet!$A$13:$A$11461,'Mês 1'!AQ81,Timesheet!$C$13:$C$11461,'Mês 1'!$AS$75)</f>
        <v>0</v>
      </c>
      <c r="AT81" s="6">
        <f>SUMIFS(Timesheet!$F$13:$F$11461,Timesheet!$A$13:$A$11461,'Mês 1'!AQ81,Timesheet!$C$13:$C$11461,'Mês 1'!$AT$75)</f>
        <v>0</v>
      </c>
      <c r="AU81" s="6">
        <f>SUMIFS(Timesheet!$F$13:$F$11461,Timesheet!$A$13:$A$11461,'Mês 1'!AQ81,Timesheet!$C$13:$C$11461,'Mês 1'!$AU$75)</f>
        <v>0</v>
      </c>
      <c r="AV81" s="6">
        <f>SUMIFS(Timesheet!$F$13:$F$11461,Timesheet!$A$13:$A$11461,'Mês 1'!AQ81,Timesheet!$C$13:$C$11461,'Mês 1'!$AV$75)</f>
        <v>0</v>
      </c>
      <c r="AW81" s="6">
        <f>SUMIFS(Timesheet!$F$13:$F$11461,Timesheet!$A$13:$A$11461,'Mês 1'!AQ81,Timesheet!$C$13:$C$11461,'Mês 1'!$AW$75)</f>
        <v>0</v>
      </c>
      <c r="AX81" s="6">
        <f>SUMIFS(Timesheet!$F$13:$F$11461,Timesheet!$A$13:$A$11461,'Mês 1'!AQ81,Timesheet!$C$13:$C$11461,'Mês 1'!$AX$75)</f>
        <v>0</v>
      </c>
      <c r="AY81" s="6">
        <f>SUMIFS(Timesheet!$F$13:$F$11461,Timesheet!$A$13:$A$11461,'Mês 1'!AQ81,Timesheet!$C$13:$C$11461,'Mês 1'!$AY$75)</f>
        <v>0</v>
      </c>
      <c r="AZ81" s="6">
        <f>SUMIFS(Timesheet!$F$13:$F$11461,Timesheet!$A$13:$A$11461,'Mês 1'!AQ81,Timesheet!$C$13:$C$11461,'Mês 1'!$AZ$75)</f>
        <v>0</v>
      </c>
      <c r="BA81" s="6">
        <f t="shared" si="18"/>
        <v>0</v>
      </c>
      <c r="BB81" s="6">
        <f t="array" ref="BB81">MIN(IF(Timesheet!$A$13:$A$11483='Mês 1'!AQ81,Timesheet!$D$13:$D$11483))</f>
        <v>0</v>
      </c>
      <c r="BC81" s="6">
        <f t="array" ref="BC81">MAX(IF(Timesheet!$A$13:$A$11483='Mês 1'!AQ81,Timesheet!$E$13:$E$11483))</f>
        <v>0</v>
      </c>
      <c r="BE81" s="1">
        <v>45266</v>
      </c>
      <c r="BF81" s="6">
        <f>SUMIFS(Timesheet!$F$13:$F$11461,Timesheet!$A$13:$A$11461,'Mês 1'!BE81,Timesheet!$C$13:$C$11461,'Mês 1'!$BF$75)</f>
        <v>0</v>
      </c>
      <c r="BG81" s="6">
        <f>SUMIFS(Timesheet!$F$13:$F$11461,Timesheet!$A$13:$A$11461,'Mês 1'!BE81,Timesheet!$C$13:$C$11461,'Mês 1'!$BG$75)</f>
        <v>0</v>
      </c>
      <c r="BH81" s="6">
        <f>SUMIFS(Timesheet!$F$13:$F$11461,Timesheet!$A$13:$A$11461,'Mês 1'!BE81,Timesheet!$C$13:$C$11461,'Mês 1'!$BH$75)</f>
        <v>0</v>
      </c>
      <c r="BI81" s="6">
        <f>SUMIFS(Timesheet!$F$13:$F$11461,Timesheet!$A$13:$A$11461,'Mês 1'!BE81,Timesheet!$C$13:$C$11461,'Mês 1'!$BI$75)</f>
        <v>0</v>
      </c>
      <c r="BJ81" s="6">
        <f>SUMIFS(Timesheet!$F$13:$F$11461,Timesheet!$A$13:$A$11461,'Mês 1'!BE81,Timesheet!$C$13:$C$11461,'Mês 1'!$BJ$75)</f>
        <v>0</v>
      </c>
      <c r="BK81" s="6">
        <f>SUMIFS(Timesheet!$F$13:$F$11461,Timesheet!$A$13:$A$11461,'Mês 1'!BE81,Timesheet!$C$13:$C$11461,'Mês 1'!$BK$75)</f>
        <v>0</v>
      </c>
      <c r="BL81" s="6">
        <f>SUMIFS(Timesheet!$F$13:$F$11461,Timesheet!$A$13:$A$11461,'Mês 1'!BE81,Timesheet!$C$13:$C$11461,'Mês 1'!$BL$75)</f>
        <v>0</v>
      </c>
      <c r="BM81" s="6">
        <f>SUMIFS(Timesheet!$F$13:$F$11461,Timesheet!$A$13:$A$11461,'Mês 1'!BE81,Timesheet!$C$13:$C$11461,'Mês 1'!$BM$75)</f>
        <v>0</v>
      </c>
      <c r="BN81" s="6">
        <f>SUMIFS(Timesheet!$F$13:$F$11461,Timesheet!$A$13:$A$11461,'Mês 1'!BE81,Timesheet!$C$13:$C$11461,'Mês 1'!$BN$75)</f>
        <v>0</v>
      </c>
      <c r="BO81" s="6">
        <f t="shared" si="19"/>
        <v>0</v>
      </c>
      <c r="BP81" s="6">
        <f t="array" ref="BP81">MIN(IF(Timesheet!$A$13:$A$11483='Mês 1'!BE81,Timesheet!$D$13:$D$11483))</f>
        <v>0</v>
      </c>
      <c r="BQ81" s="6">
        <f t="array" ref="BQ81">MAX(IF(Timesheet!$A$13:$A$11483='Mês 1'!BE81,Timesheet!$E$13:$E$11483))</f>
        <v>0</v>
      </c>
    </row>
    <row r="82" spans="1:69" x14ac:dyDescent="0.25">
      <c r="A82" s="1">
        <v>45023</v>
      </c>
      <c r="B82" s="6">
        <f>SUMIFS(Timesheet!$F$13:$F$11461,Timesheet!$A$13:$A$11461,'Mês 1'!A82,Timesheet!$C$13:$C$11461,'Mês 1'!$B$75)</f>
        <v>0</v>
      </c>
      <c r="C82" s="6">
        <f>SUMIFS(Timesheet!$F$13:$F$11461,Timesheet!$A$13:$A$11461,'Mês 1'!A82,Timesheet!$C$13:$C$11461,'Mês 1'!$C$75)</f>
        <v>0</v>
      </c>
      <c r="D82" s="6">
        <f>SUMIFS(Timesheet!$F$13:$F$11461,Timesheet!$A$13:$A$11461,'Mês 1'!A82,Timesheet!$C$13:$C$11461,'Mês 1'!$D$75)</f>
        <v>0</v>
      </c>
      <c r="E82" s="6">
        <f>SUMIFS(Timesheet!$F$13:$F$11461,Timesheet!$A$13:$A$11461,'Mês 1'!A82,Timesheet!$C$13:$C$11461,'Mês 1'!$E$75)</f>
        <v>0</v>
      </c>
      <c r="F82" s="6">
        <f>SUMIFS(Timesheet!$F$13:$F$11461,Timesheet!$A$13:$A$11461,'Mês 1'!A82,Timesheet!$C$13:$C$11461,'Mês 1'!$F$75)</f>
        <v>0</v>
      </c>
      <c r="G82" s="6">
        <f>SUMIFS(Timesheet!$F$13:$F$11461,Timesheet!$A$13:$A$11461,'Mês 1'!A82,Timesheet!$C$13:$C$11461,'Mês 1'!$G$75)</f>
        <v>0</v>
      </c>
      <c r="H82" s="6">
        <f>SUMIFS(Timesheet!$F$13:$F$11461,Timesheet!$A$13:$A$11461,'Mês 1'!A82,Timesheet!$C$13:$C$11461,'Mês 1'!$H$75)</f>
        <v>0</v>
      </c>
      <c r="I82" s="6">
        <f>SUMIFS(Timesheet!$F$13:$F$11461,Timesheet!$A$13:$A$11461,'Mês 1'!A82,Timesheet!$C$13:$C$11461,'Mês 1'!$I$75)</f>
        <v>0</v>
      </c>
      <c r="J82" s="6">
        <f>SUMIFS(Timesheet!$F$13:$F$11461,Timesheet!$A$13:$A$11461,'Mês 1'!A82,Timesheet!$C$13:$C$11461,'Mês 1'!$J$75)</f>
        <v>0</v>
      </c>
      <c r="K82" s="6">
        <f t="shared" si="15"/>
        <v>0</v>
      </c>
      <c r="L82" s="6">
        <f t="array" ref="L82">MIN(IF(Timesheet!$A$13:$A$11483='Mês 1'!A82,Timesheet!$D$13:$D$11483))</f>
        <v>0</v>
      </c>
      <c r="M82" s="6">
        <f t="array" ref="M82">MAX(IF(Timesheet!$A$13:$A$11483='Mês 1'!A82,Timesheet!$E$13:$E$11483))</f>
        <v>0</v>
      </c>
      <c r="O82" s="1">
        <v>45084</v>
      </c>
      <c r="P82" s="6">
        <f>SUMIFS(Timesheet!$F$13:$F$11461,Timesheet!$A$13:$A$11461,'Mês 1'!O82,Timesheet!$C$13:$C$11461,'Mês 1'!$P$75)</f>
        <v>0</v>
      </c>
      <c r="Q82" s="6">
        <f>SUMIFS(Timesheet!$F$13:$F$11461,Timesheet!$A$13:$A$11461,'Mês 1'!O82,Timesheet!$C$13:$C$11461,'Mês 1'!$Q$75)</f>
        <v>0</v>
      </c>
      <c r="R82" s="6">
        <f>SUMIFS(Timesheet!$F$13:$F$11461,Timesheet!$A$13:$A$11461,'Mês 1'!O82,Timesheet!$C$13:$C$11461,'Mês 1'!$R$75)</f>
        <v>0</v>
      </c>
      <c r="S82" s="6">
        <f>SUMIFS(Timesheet!$F$13:$F$11461,Timesheet!$A$13:$A$11461,'Mês 1'!O82,Timesheet!$C$13:$C$11461,'Mês 1'!$S$75)</f>
        <v>0</v>
      </c>
      <c r="T82" s="6">
        <f>SUMIFS(Timesheet!$F$13:$F$11461,Timesheet!$A$13:$A$11461,'Mês 1'!O82,Timesheet!$C$13:$C$11461,'Mês 1'!$T$75)</f>
        <v>0</v>
      </c>
      <c r="U82" s="6">
        <f>SUMIFS(Timesheet!$F$13:$F$11461,Timesheet!$A$13:$A$11461,'Mês 1'!O82,Timesheet!$C$13:$C$11461,'Mês 1'!$U$75)</f>
        <v>0</v>
      </c>
      <c r="V82" s="6">
        <f>SUMIFS(Timesheet!$F$13:$F$11461,Timesheet!$A$13:$A$11461,'Mês 1'!O82,Timesheet!$C$13:$C$11461,'Mês 1'!$V$75)</f>
        <v>0</v>
      </c>
      <c r="W82" s="6">
        <f>SUMIFS(Timesheet!$F$13:$F$11461,Timesheet!$A$13:$A$11461,'Mês 1'!O82,Timesheet!$C$13:$C$11461,'Mês 1'!$W$75)</f>
        <v>0</v>
      </c>
      <c r="X82" s="6">
        <f>SUMIFS(Timesheet!$F$13:$F$11461,Timesheet!$A$13:$A$11461,'Mês 1'!O82,Timesheet!$C$13:$C$11461,'Mês 1'!$X$75)</f>
        <v>0</v>
      </c>
      <c r="Y82" s="6">
        <f t="shared" si="16"/>
        <v>0</v>
      </c>
      <c r="Z82" s="6">
        <f t="array" ref="Z82">MIN(IF(Timesheet!$A$13:$A$11483='Mês 1'!O82,Timesheet!$D$13:$D$11483))</f>
        <v>0</v>
      </c>
      <c r="AA82" s="6">
        <f t="array" ref="AA82">MAX(IF(Timesheet!$A$13:$A$11483='Mês 1'!O82,Timesheet!$E$13:$E$11483))</f>
        <v>0</v>
      </c>
      <c r="AC82" s="1">
        <v>45145</v>
      </c>
      <c r="AD82" s="6">
        <f>SUMIFS(Timesheet!$F$13:$F$11461,Timesheet!$A$13:$A$11461,'Mês 1'!AC82,Timesheet!$C$13:$C$11461,'Mês 1'!$AD$75)</f>
        <v>0</v>
      </c>
      <c r="AE82" s="6">
        <f>SUMIFS(Timesheet!$F$13:$F$11461,Timesheet!$A$13:$A$11461,'Mês 1'!AC82,Timesheet!$C$13:$C$11461,'Mês 1'!$AE$75)</f>
        <v>0</v>
      </c>
      <c r="AF82" s="6">
        <f>SUMIFS(Timesheet!$F$13:$F$11461,Timesheet!$A$13:$A$11461,'Mês 1'!AC82,Timesheet!$C$13:$C$11461,'Mês 1'!$AF$75)</f>
        <v>0</v>
      </c>
      <c r="AG82" s="6">
        <f>SUMIFS(Timesheet!$F$13:$F$11461,Timesheet!$A$13:$A$11461,'Mês 1'!AC82,Timesheet!$C$13:$C$11461,'Mês 1'!$AG$75)</f>
        <v>0</v>
      </c>
      <c r="AH82" s="6">
        <f>SUMIFS(Timesheet!$F$13:$F$11461,Timesheet!$A$13:$A$11461,'Mês 1'!AC82,Timesheet!$C$13:$C$11461,'Mês 1'!$AH$75)</f>
        <v>0</v>
      </c>
      <c r="AI82" s="6">
        <f>SUMIFS(Timesheet!$F$13:$F$11461,Timesheet!$A$13:$A$11461,'Mês 1'!AC82,Timesheet!$C$13:$C$11461,'Mês 1'!$AI$75)</f>
        <v>0</v>
      </c>
      <c r="AJ82" s="6">
        <f>SUMIFS(Timesheet!$F$13:$F$11461,Timesheet!$A$13:$A$11461,'Mês 1'!AC82,Timesheet!$C$13:$C$11461,'Mês 1'!AJ$75)</f>
        <v>0</v>
      </c>
      <c r="AK82" s="6">
        <f>SUMIFS(Timesheet!$F$13:$F$11461,Timesheet!$A$13:$A$11461,'Mês 1'!AC82,Timesheet!$C$13:$C$11461,'Mês 1'!$AK$75)</f>
        <v>0</v>
      </c>
      <c r="AL82" s="6">
        <f>SUMIFS(Timesheet!$F$13:$F$11461,Timesheet!$A$13:$A$11461,'Mês 1'!AC82,Timesheet!$C$13:$C$11461,'Mês 1'!$AL$75)</f>
        <v>0</v>
      </c>
      <c r="AM82" s="6">
        <f t="shared" si="17"/>
        <v>0</v>
      </c>
      <c r="AN82" s="6">
        <f t="array" ref="AN82">MIN(IF(Timesheet!$A$13:$A$11483='Mês 1'!AC82,Timesheet!$D$13:$D$11483))</f>
        <v>0</v>
      </c>
      <c r="AO82" s="6">
        <f t="array" ref="AO82">MAX(IF(Timesheet!$A$13:$A$11483='Mês 1'!AC82,Timesheet!$E$13:$E$11483))</f>
        <v>0</v>
      </c>
      <c r="AQ82" s="1">
        <v>45206</v>
      </c>
      <c r="AR82" s="6">
        <f>SUMIFS(Timesheet!$F$13:$F$11461,Timesheet!$A$13:$A$11461,'Mês 1'!AQ82,Timesheet!$C$13:$C$11461,'Mês 1'!$AR$75)</f>
        <v>0</v>
      </c>
      <c r="AS82" s="6">
        <f>SUMIFS(Timesheet!$F$13:$F$11461,Timesheet!$A$13:$A$11461,'Mês 1'!AQ82,Timesheet!$C$13:$C$11461,'Mês 1'!$AS$75)</f>
        <v>0</v>
      </c>
      <c r="AT82" s="6">
        <f>SUMIFS(Timesheet!$F$13:$F$11461,Timesheet!$A$13:$A$11461,'Mês 1'!AQ82,Timesheet!$C$13:$C$11461,'Mês 1'!$AT$75)</f>
        <v>0</v>
      </c>
      <c r="AU82" s="6">
        <f>SUMIFS(Timesheet!$F$13:$F$11461,Timesheet!$A$13:$A$11461,'Mês 1'!AQ82,Timesheet!$C$13:$C$11461,'Mês 1'!$AU$75)</f>
        <v>0</v>
      </c>
      <c r="AV82" s="6">
        <f>SUMIFS(Timesheet!$F$13:$F$11461,Timesheet!$A$13:$A$11461,'Mês 1'!AQ82,Timesheet!$C$13:$C$11461,'Mês 1'!$AV$75)</f>
        <v>0</v>
      </c>
      <c r="AW82" s="6">
        <f>SUMIFS(Timesheet!$F$13:$F$11461,Timesheet!$A$13:$A$11461,'Mês 1'!AQ82,Timesheet!$C$13:$C$11461,'Mês 1'!$AW$75)</f>
        <v>0</v>
      </c>
      <c r="AX82" s="6">
        <f>SUMIFS(Timesheet!$F$13:$F$11461,Timesheet!$A$13:$A$11461,'Mês 1'!AQ82,Timesheet!$C$13:$C$11461,'Mês 1'!$AX$75)</f>
        <v>0</v>
      </c>
      <c r="AY82" s="6">
        <f>SUMIFS(Timesheet!$F$13:$F$11461,Timesheet!$A$13:$A$11461,'Mês 1'!AQ82,Timesheet!$C$13:$C$11461,'Mês 1'!$AY$75)</f>
        <v>0</v>
      </c>
      <c r="AZ82" s="6">
        <f>SUMIFS(Timesheet!$F$13:$F$11461,Timesheet!$A$13:$A$11461,'Mês 1'!AQ82,Timesheet!$C$13:$C$11461,'Mês 1'!$AZ$75)</f>
        <v>0</v>
      </c>
      <c r="BA82" s="6">
        <f t="shared" si="18"/>
        <v>0</v>
      </c>
      <c r="BB82" s="6">
        <f t="array" ref="BB82">MIN(IF(Timesheet!$A$13:$A$11483='Mês 1'!AQ82,Timesheet!$D$13:$D$11483))</f>
        <v>0</v>
      </c>
      <c r="BC82" s="6">
        <f t="array" ref="BC82">MAX(IF(Timesheet!$A$13:$A$11483='Mês 1'!AQ82,Timesheet!$E$13:$E$11483))</f>
        <v>0</v>
      </c>
      <c r="BE82" s="1">
        <v>45267</v>
      </c>
      <c r="BF82" s="6">
        <f>SUMIFS(Timesheet!$F$13:$F$11461,Timesheet!$A$13:$A$11461,'Mês 1'!BE82,Timesheet!$C$13:$C$11461,'Mês 1'!$BF$75)</f>
        <v>0</v>
      </c>
      <c r="BG82" s="6">
        <f>SUMIFS(Timesheet!$F$13:$F$11461,Timesheet!$A$13:$A$11461,'Mês 1'!BE82,Timesheet!$C$13:$C$11461,'Mês 1'!$BG$75)</f>
        <v>0</v>
      </c>
      <c r="BH82" s="6">
        <f>SUMIFS(Timesheet!$F$13:$F$11461,Timesheet!$A$13:$A$11461,'Mês 1'!BE82,Timesheet!$C$13:$C$11461,'Mês 1'!$BH$75)</f>
        <v>0</v>
      </c>
      <c r="BI82" s="6">
        <f>SUMIFS(Timesheet!$F$13:$F$11461,Timesheet!$A$13:$A$11461,'Mês 1'!BE82,Timesheet!$C$13:$C$11461,'Mês 1'!$BI$75)</f>
        <v>0</v>
      </c>
      <c r="BJ82" s="6">
        <f>SUMIFS(Timesheet!$F$13:$F$11461,Timesheet!$A$13:$A$11461,'Mês 1'!BE82,Timesheet!$C$13:$C$11461,'Mês 1'!$BJ$75)</f>
        <v>0</v>
      </c>
      <c r="BK82" s="6">
        <f>SUMIFS(Timesheet!$F$13:$F$11461,Timesheet!$A$13:$A$11461,'Mês 1'!BE82,Timesheet!$C$13:$C$11461,'Mês 1'!$BK$75)</f>
        <v>0</v>
      </c>
      <c r="BL82" s="6">
        <f>SUMIFS(Timesheet!$F$13:$F$11461,Timesheet!$A$13:$A$11461,'Mês 1'!BE82,Timesheet!$C$13:$C$11461,'Mês 1'!$BL$75)</f>
        <v>0</v>
      </c>
      <c r="BM82" s="6">
        <f>SUMIFS(Timesheet!$F$13:$F$11461,Timesheet!$A$13:$A$11461,'Mês 1'!BE82,Timesheet!$C$13:$C$11461,'Mês 1'!$BM$75)</f>
        <v>0</v>
      </c>
      <c r="BN82" s="6">
        <f>SUMIFS(Timesheet!$F$13:$F$11461,Timesheet!$A$13:$A$11461,'Mês 1'!BE82,Timesheet!$C$13:$C$11461,'Mês 1'!$BN$75)</f>
        <v>0</v>
      </c>
      <c r="BO82" s="6">
        <f t="shared" si="19"/>
        <v>0</v>
      </c>
      <c r="BP82" s="6">
        <f t="array" ref="BP82">MIN(IF(Timesheet!$A$13:$A$11483='Mês 1'!BE82,Timesheet!$D$13:$D$11483))</f>
        <v>0</v>
      </c>
      <c r="BQ82" s="6">
        <f t="array" ref="BQ82">MAX(IF(Timesheet!$A$13:$A$11483='Mês 1'!BE82,Timesheet!$E$13:$E$11483))</f>
        <v>0</v>
      </c>
    </row>
    <row r="83" spans="1:69" x14ac:dyDescent="0.25">
      <c r="A83" s="1">
        <v>45024</v>
      </c>
      <c r="B83" s="6">
        <f>SUMIFS(Timesheet!$F$13:$F$11461,Timesheet!$A$13:$A$11461,'Mês 1'!A83,Timesheet!$C$13:$C$11461,'Mês 1'!$B$75)</f>
        <v>0</v>
      </c>
      <c r="C83" s="6">
        <f>SUMIFS(Timesheet!$F$13:$F$11461,Timesheet!$A$13:$A$11461,'Mês 1'!A83,Timesheet!$C$13:$C$11461,'Mês 1'!$C$75)</f>
        <v>0</v>
      </c>
      <c r="D83" s="6">
        <f>SUMIFS(Timesheet!$F$13:$F$11461,Timesheet!$A$13:$A$11461,'Mês 1'!A83,Timesheet!$C$13:$C$11461,'Mês 1'!$D$75)</f>
        <v>0</v>
      </c>
      <c r="E83" s="6">
        <f>SUMIFS(Timesheet!$F$13:$F$11461,Timesheet!$A$13:$A$11461,'Mês 1'!A83,Timesheet!$C$13:$C$11461,'Mês 1'!$E$75)</f>
        <v>0</v>
      </c>
      <c r="F83" s="6">
        <f>SUMIFS(Timesheet!$F$13:$F$11461,Timesheet!$A$13:$A$11461,'Mês 1'!A83,Timesheet!$C$13:$C$11461,'Mês 1'!$F$75)</f>
        <v>0</v>
      </c>
      <c r="G83" s="6">
        <f>SUMIFS(Timesheet!$F$13:$F$11461,Timesheet!$A$13:$A$11461,'Mês 1'!A83,Timesheet!$C$13:$C$11461,'Mês 1'!$G$75)</f>
        <v>0</v>
      </c>
      <c r="H83" s="6">
        <f>SUMIFS(Timesheet!$F$13:$F$11461,Timesheet!$A$13:$A$11461,'Mês 1'!A83,Timesheet!$C$13:$C$11461,'Mês 1'!$H$75)</f>
        <v>0</v>
      </c>
      <c r="I83" s="6">
        <f>SUMIFS(Timesheet!$F$13:$F$11461,Timesheet!$A$13:$A$11461,'Mês 1'!A83,Timesheet!$C$13:$C$11461,'Mês 1'!$I$75)</f>
        <v>0</v>
      </c>
      <c r="J83" s="6">
        <f>SUMIFS(Timesheet!$F$13:$F$11461,Timesheet!$A$13:$A$11461,'Mês 1'!A83,Timesheet!$C$13:$C$11461,'Mês 1'!$J$75)</f>
        <v>0</v>
      </c>
      <c r="K83" s="6">
        <f t="shared" si="15"/>
        <v>0</v>
      </c>
      <c r="L83" s="6">
        <f t="array" ref="L83">MIN(IF(Timesheet!$A$13:$A$11483='Mês 1'!A83,Timesheet!$D$13:$D$11483))</f>
        <v>0</v>
      </c>
      <c r="M83" s="6">
        <f t="array" ref="M83">MAX(IF(Timesheet!$A$13:$A$11483='Mês 1'!A83,Timesheet!$E$13:$E$11483))</f>
        <v>0</v>
      </c>
      <c r="O83" s="1">
        <v>45085</v>
      </c>
      <c r="P83" s="6">
        <f>SUMIFS(Timesheet!$F$13:$F$11461,Timesheet!$A$13:$A$11461,'Mês 1'!O83,Timesheet!$C$13:$C$11461,'Mês 1'!$P$75)</f>
        <v>0</v>
      </c>
      <c r="Q83" s="6">
        <f>SUMIFS(Timesheet!$F$13:$F$11461,Timesheet!$A$13:$A$11461,'Mês 1'!O83,Timesheet!$C$13:$C$11461,'Mês 1'!$Q$75)</f>
        <v>0</v>
      </c>
      <c r="R83" s="6">
        <f>SUMIFS(Timesheet!$F$13:$F$11461,Timesheet!$A$13:$A$11461,'Mês 1'!O83,Timesheet!$C$13:$C$11461,'Mês 1'!$R$75)</f>
        <v>0</v>
      </c>
      <c r="S83" s="6">
        <f>SUMIFS(Timesheet!$F$13:$F$11461,Timesheet!$A$13:$A$11461,'Mês 1'!O83,Timesheet!$C$13:$C$11461,'Mês 1'!$S$75)</f>
        <v>0</v>
      </c>
      <c r="T83" s="6">
        <f>SUMIFS(Timesheet!$F$13:$F$11461,Timesheet!$A$13:$A$11461,'Mês 1'!O83,Timesheet!$C$13:$C$11461,'Mês 1'!$T$75)</f>
        <v>0</v>
      </c>
      <c r="U83" s="6">
        <f>SUMIFS(Timesheet!$F$13:$F$11461,Timesheet!$A$13:$A$11461,'Mês 1'!O83,Timesheet!$C$13:$C$11461,'Mês 1'!$U$75)</f>
        <v>0</v>
      </c>
      <c r="V83" s="6">
        <f>SUMIFS(Timesheet!$F$13:$F$11461,Timesheet!$A$13:$A$11461,'Mês 1'!O83,Timesheet!$C$13:$C$11461,'Mês 1'!$V$75)</f>
        <v>0</v>
      </c>
      <c r="W83" s="6">
        <f>SUMIFS(Timesheet!$F$13:$F$11461,Timesheet!$A$13:$A$11461,'Mês 1'!O83,Timesheet!$C$13:$C$11461,'Mês 1'!$W$75)</f>
        <v>0</v>
      </c>
      <c r="X83" s="6">
        <f>SUMIFS(Timesheet!$F$13:$F$11461,Timesheet!$A$13:$A$11461,'Mês 1'!O83,Timesheet!$C$13:$C$11461,'Mês 1'!$X$75)</f>
        <v>0</v>
      </c>
      <c r="Y83" s="6">
        <f t="shared" si="16"/>
        <v>0</v>
      </c>
      <c r="Z83" s="6">
        <f t="array" ref="Z83">MIN(IF(Timesheet!$A$13:$A$11483='Mês 1'!O83,Timesheet!$D$13:$D$11483))</f>
        <v>0</v>
      </c>
      <c r="AA83" s="6">
        <f t="array" ref="AA83">MAX(IF(Timesheet!$A$13:$A$11483='Mês 1'!O83,Timesheet!$E$13:$E$11483))</f>
        <v>0</v>
      </c>
      <c r="AC83" s="1">
        <v>45146</v>
      </c>
      <c r="AD83" s="6">
        <f>SUMIFS(Timesheet!$F$13:$F$11461,Timesheet!$A$13:$A$11461,'Mês 1'!AC83,Timesheet!$C$13:$C$11461,'Mês 1'!$AD$75)</f>
        <v>0</v>
      </c>
      <c r="AE83" s="6">
        <f>SUMIFS(Timesheet!$F$13:$F$11461,Timesheet!$A$13:$A$11461,'Mês 1'!AC83,Timesheet!$C$13:$C$11461,'Mês 1'!$AE$75)</f>
        <v>0</v>
      </c>
      <c r="AF83" s="6">
        <f>SUMIFS(Timesheet!$F$13:$F$11461,Timesheet!$A$13:$A$11461,'Mês 1'!AC83,Timesheet!$C$13:$C$11461,'Mês 1'!$AF$75)</f>
        <v>0</v>
      </c>
      <c r="AG83" s="6">
        <f>SUMIFS(Timesheet!$F$13:$F$11461,Timesheet!$A$13:$A$11461,'Mês 1'!AC83,Timesheet!$C$13:$C$11461,'Mês 1'!$AG$75)</f>
        <v>0</v>
      </c>
      <c r="AH83" s="6">
        <f>SUMIFS(Timesheet!$F$13:$F$11461,Timesheet!$A$13:$A$11461,'Mês 1'!AC83,Timesheet!$C$13:$C$11461,'Mês 1'!$AH$75)</f>
        <v>0</v>
      </c>
      <c r="AI83" s="6">
        <f>SUMIFS(Timesheet!$F$13:$F$11461,Timesheet!$A$13:$A$11461,'Mês 1'!AC83,Timesheet!$C$13:$C$11461,'Mês 1'!$AI$75)</f>
        <v>0</v>
      </c>
      <c r="AJ83" s="6">
        <f>SUMIFS(Timesheet!$F$13:$F$11461,Timesheet!$A$13:$A$11461,'Mês 1'!AC83,Timesheet!$C$13:$C$11461,'Mês 1'!AJ$75)</f>
        <v>0</v>
      </c>
      <c r="AK83" s="6">
        <f>SUMIFS(Timesheet!$F$13:$F$11461,Timesheet!$A$13:$A$11461,'Mês 1'!AC83,Timesheet!$C$13:$C$11461,'Mês 1'!$AK$75)</f>
        <v>0</v>
      </c>
      <c r="AL83" s="6">
        <f>SUMIFS(Timesheet!$F$13:$F$11461,Timesheet!$A$13:$A$11461,'Mês 1'!AC83,Timesheet!$C$13:$C$11461,'Mês 1'!$AL$75)</f>
        <v>0</v>
      </c>
      <c r="AM83" s="6">
        <f t="shared" si="17"/>
        <v>0</v>
      </c>
      <c r="AN83" s="6">
        <f t="array" ref="AN83">MIN(IF(Timesheet!$A$13:$A$11483='Mês 1'!AC83,Timesheet!$D$13:$D$11483))</f>
        <v>0</v>
      </c>
      <c r="AO83" s="6">
        <f t="array" ref="AO83">MAX(IF(Timesheet!$A$13:$A$11483='Mês 1'!AC83,Timesheet!$E$13:$E$11483))</f>
        <v>0</v>
      </c>
      <c r="AQ83" s="1">
        <v>45207</v>
      </c>
      <c r="AR83" s="6">
        <f>SUMIFS(Timesheet!$F$13:$F$11461,Timesheet!$A$13:$A$11461,'Mês 1'!AQ83,Timesheet!$C$13:$C$11461,'Mês 1'!$AR$75)</f>
        <v>0</v>
      </c>
      <c r="AS83" s="6">
        <f>SUMIFS(Timesheet!$F$13:$F$11461,Timesheet!$A$13:$A$11461,'Mês 1'!AQ83,Timesheet!$C$13:$C$11461,'Mês 1'!$AS$75)</f>
        <v>0</v>
      </c>
      <c r="AT83" s="6">
        <f>SUMIFS(Timesheet!$F$13:$F$11461,Timesheet!$A$13:$A$11461,'Mês 1'!AQ83,Timesheet!$C$13:$C$11461,'Mês 1'!$AT$75)</f>
        <v>0</v>
      </c>
      <c r="AU83" s="6">
        <f>SUMIFS(Timesheet!$F$13:$F$11461,Timesheet!$A$13:$A$11461,'Mês 1'!AQ83,Timesheet!$C$13:$C$11461,'Mês 1'!$AU$75)</f>
        <v>0</v>
      </c>
      <c r="AV83" s="6">
        <f>SUMIFS(Timesheet!$F$13:$F$11461,Timesheet!$A$13:$A$11461,'Mês 1'!AQ83,Timesheet!$C$13:$C$11461,'Mês 1'!$AV$75)</f>
        <v>0</v>
      </c>
      <c r="AW83" s="6">
        <f>SUMIFS(Timesheet!$F$13:$F$11461,Timesheet!$A$13:$A$11461,'Mês 1'!AQ83,Timesheet!$C$13:$C$11461,'Mês 1'!$AW$75)</f>
        <v>0</v>
      </c>
      <c r="AX83" s="6">
        <f>SUMIFS(Timesheet!$F$13:$F$11461,Timesheet!$A$13:$A$11461,'Mês 1'!AQ83,Timesheet!$C$13:$C$11461,'Mês 1'!$AX$75)</f>
        <v>0</v>
      </c>
      <c r="AY83" s="6">
        <f>SUMIFS(Timesheet!$F$13:$F$11461,Timesheet!$A$13:$A$11461,'Mês 1'!AQ83,Timesheet!$C$13:$C$11461,'Mês 1'!$AY$75)</f>
        <v>0</v>
      </c>
      <c r="AZ83" s="6">
        <f>SUMIFS(Timesheet!$F$13:$F$11461,Timesheet!$A$13:$A$11461,'Mês 1'!AQ83,Timesheet!$C$13:$C$11461,'Mês 1'!$AZ$75)</f>
        <v>0</v>
      </c>
      <c r="BA83" s="6">
        <f t="shared" si="18"/>
        <v>0</v>
      </c>
      <c r="BB83" s="6">
        <f t="array" ref="BB83">MIN(IF(Timesheet!$A$13:$A$11483='Mês 1'!AQ83,Timesheet!$D$13:$D$11483))</f>
        <v>0</v>
      </c>
      <c r="BC83" s="6">
        <f t="array" ref="BC83">MAX(IF(Timesheet!$A$13:$A$11483='Mês 1'!AQ83,Timesheet!$E$13:$E$11483))</f>
        <v>0</v>
      </c>
      <c r="BE83" s="1">
        <v>45268</v>
      </c>
      <c r="BF83" s="6">
        <f>SUMIFS(Timesheet!$F$13:$F$11461,Timesheet!$A$13:$A$11461,'Mês 1'!BE83,Timesheet!$C$13:$C$11461,'Mês 1'!$BF$75)</f>
        <v>0</v>
      </c>
      <c r="BG83" s="6">
        <f>SUMIFS(Timesheet!$F$13:$F$11461,Timesheet!$A$13:$A$11461,'Mês 1'!BE83,Timesheet!$C$13:$C$11461,'Mês 1'!$BG$75)</f>
        <v>0</v>
      </c>
      <c r="BH83" s="6">
        <f>SUMIFS(Timesheet!$F$13:$F$11461,Timesheet!$A$13:$A$11461,'Mês 1'!BE83,Timesheet!$C$13:$C$11461,'Mês 1'!$BH$75)</f>
        <v>0</v>
      </c>
      <c r="BI83" s="6">
        <f>SUMIFS(Timesheet!$F$13:$F$11461,Timesheet!$A$13:$A$11461,'Mês 1'!BE83,Timesheet!$C$13:$C$11461,'Mês 1'!$BI$75)</f>
        <v>0</v>
      </c>
      <c r="BJ83" s="6">
        <f>SUMIFS(Timesheet!$F$13:$F$11461,Timesheet!$A$13:$A$11461,'Mês 1'!BE83,Timesheet!$C$13:$C$11461,'Mês 1'!$BJ$75)</f>
        <v>0</v>
      </c>
      <c r="BK83" s="6">
        <f>SUMIFS(Timesheet!$F$13:$F$11461,Timesheet!$A$13:$A$11461,'Mês 1'!BE83,Timesheet!$C$13:$C$11461,'Mês 1'!$BK$75)</f>
        <v>0</v>
      </c>
      <c r="BL83" s="6">
        <f>SUMIFS(Timesheet!$F$13:$F$11461,Timesheet!$A$13:$A$11461,'Mês 1'!BE83,Timesheet!$C$13:$C$11461,'Mês 1'!$BL$75)</f>
        <v>0</v>
      </c>
      <c r="BM83" s="6">
        <f>SUMIFS(Timesheet!$F$13:$F$11461,Timesheet!$A$13:$A$11461,'Mês 1'!BE83,Timesheet!$C$13:$C$11461,'Mês 1'!$BM$75)</f>
        <v>0</v>
      </c>
      <c r="BN83" s="6">
        <f>SUMIFS(Timesheet!$F$13:$F$11461,Timesheet!$A$13:$A$11461,'Mês 1'!BE83,Timesheet!$C$13:$C$11461,'Mês 1'!$BN$75)</f>
        <v>0</v>
      </c>
      <c r="BO83" s="6">
        <f t="shared" si="19"/>
        <v>0</v>
      </c>
      <c r="BP83" s="6">
        <f t="array" ref="BP83">MIN(IF(Timesheet!$A$13:$A$11483='Mês 1'!BE83,Timesheet!$D$13:$D$11483))</f>
        <v>0</v>
      </c>
      <c r="BQ83" s="6">
        <f t="array" ref="BQ83">MAX(IF(Timesheet!$A$13:$A$11483='Mês 1'!BE83,Timesheet!$E$13:$E$11483))</f>
        <v>0</v>
      </c>
    </row>
    <row r="84" spans="1:69" x14ac:dyDescent="0.25">
      <c r="A84" s="1">
        <v>45025</v>
      </c>
      <c r="B84" s="6">
        <f>SUMIFS(Timesheet!$F$13:$F$11461,Timesheet!$A$13:$A$11461,'Mês 1'!A84,Timesheet!$C$13:$C$11461,'Mês 1'!$B$75)</f>
        <v>0</v>
      </c>
      <c r="C84" s="6">
        <f>SUMIFS(Timesheet!$F$13:$F$11461,Timesheet!$A$13:$A$11461,'Mês 1'!A84,Timesheet!$C$13:$C$11461,'Mês 1'!$C$75)</f>
        <v>0</v>
      </c>
      <c r="D84" s="6">
        <f>SUMIFS(Timesheet!$F$13:$F$11461,Timesheet!$A$13:$A$11461,'Mês 1'!A84,Timesheet!$C$13:$C$11461,'Mês 1'!$D$75)</f>
        <v>0</v>
      </c>
      <c r="E84" s="6">
        <f>SUMIFS(Timesheet!$F$13:$F$11461,Timesheet!$A$13:$A$11461,'Mês 1'!A84,Timesheet!$C$13:$C$11461,'Mês 1'!$E$75)</f>
        <v>0</v>
      </c>
      <c r="F84" s="6">
        <f>SUMIFS(Timesheet!$F$13:$F$11461,Timesheet!$A$13:$A$11461,'Mês 1'!A84,Timesheet!$C$13:$C$11461,'Mês 1'!$F$75)</f>
        <v>0</v>
      </c>
      <c r="G84" s="6">
        <f>SUMIFS(Timesheet!$F$13:$F$11461,Timesheet!$A$13:$A$11461,'Mês 1'!A84,Timesheet!$C$13:$C$11461,'Mês 1'!$G$75)</f>
        <v>0</v>
      </c>
      <c r="H84" s="6">
        <f>SUMIFS(Timesheet!$F$13:$F$11461,Timesheet!$A$13:$A$11461,'Mês 1'!A84,Timesheet!$C$13:$C$11461,'Mês 1'!$H$75)</f>
        <v>0</v>
      </c>
      <c r="I84" s="6">
        <f>SUMIFS(Timesheet!$F$13:$F$11461,Timesheet!$A$13:$A$11461,'Mês 1'!A84,Timesheet!$C$13:$C$11461,'Mês 1'!$I$75)</f>
        <v>0</v>
      </c>
      <c r="J84" s="6">
        <f>SUMIFS(Timesheet!$F$13:$F$11461,Timesheet!$A$13:$A$11461,'Mês 1'!A84,Timesheet!$C$13:$C$11461,'Mês 1'!$J$75)</f>
        <v>0</v>
      </c>
      <c r="K84" s="6">
        <f t="shared" si="15"/>
        <v>0</v>
      </c>
      <c r="L84" s="6">
        <f t="array" ref="L84">MIN(IF(Timesheet!$A$13:$A$11483='Mês 1'!A84,Timesheet!$D$13:$D$11483))</f>
        <v>0</v>
      </c>
      <c r="M84" s="6">
        <f t="array" ref="M84">MAX(IF(Timesheet!$A$13:$A$11483='Mês 1'!A84,Timesheet!$E$13:$E$11483))</f>
        <v>0</v>
      </c>
      <c r="O84" s="1">
        <v>45086</v>
      </c>
      <c r="P84" s="6">
        <f>SUMIFS(Timesheet!$F$13:$F$11461,Timesheet!$A$13:$A$11461,'Mês 1'!O84,Timesheet!$C$13:$C$11461,'Mês 1'!$P$75)</f>
        <v>0</v>
      </c>
      <c r="Q84" s="6">
        <f>SUMIFS(Timesheet!$F$13:$F$11461,Timesheet!$A$13:$A$11461,'Mês 1'!O84,Timesheet!$C$13:$C$11461,'Mês 1'!$Q$75)</f>
        <v>0</v>
      </c>
      <c r="R84" s="6">
        <f>SUMIFS(Timesheet!$F$13:$F$11461,Timesheet!$A$13:$A$11461,'Mês 1'!O84,Timesheet!$C$13:$C$11461,'Mês 1'!$R$75)</f>
        <v>0</v>
      </c>
      <c r="S84" s="6">
        <f>SUMIFS(Timesheet!$F$13:$F$11461,Timesheet!$A$13:$A$11461,'Mês 1'!O84,Timesheet!$C$13:$C$11461,'Mês 1'!$S$75)</f>
        <v>0</v>
      </c>
      <c r="T84" s="6">
        <f>SUMIFS(Timesheet!$F$13:$F$11461,Timesheet!$A$13:$A$11461,'Mês 1'!O84,Timesheet!$C$13:$C$11461,'Mês 1'!$T$75)</f>
        <v>0</v>
      </c>
      <c r="U84" s="6">
        <f>SUMIFS(Timesheet!$F$13:$F$11461,Timesheet!$A$13:$A$11461,'Mês 1'!O84,Timesheet!$C$13:$C$11461,'Mês 1'!$U$75)</f>
        <v>0</v>
      </c>
      <c r="V84" s="6">
        <f>SUMIFS(Timesheet!$F$13:$F$11461,Timesheet!$A$13:$A$11461,'Mês 1'!O84,Timesheet!$C$13:$C$11461,'Mês 1'!$V$75)</f>
        <v>0</v>
      </c>
      <c r="W84" s="6">
        <f>SUMIFS(Timesheet!$F$13:$F$11461,Timesheet!$A$13:$A$11461,'Mês 1'!O84,Timesheet!$C$13:$C$11461,'Mês 1'!$W$75)</f>
        <v>0</v>
      </c>
      <c r="X84" s="6">
        <f>SUMIFS(Timesheet!$F$13:$F$11461,Timesheet!$A$13:$A$11461,'Mês 1'!O84,Timesheet!$C$13:$C$11461,'Mês 1'!$X$75)</f>
        <v>0</v>
      </c>
      <c r="Y84" s="6">
        <f t="shared" si="16"/>
        <v>0</v>
      </c>
      <c r="Z84" s="6">
        <f t="array" ref="Z84">MIN(IF(Timesheet!$A$13:$A$11483='Mês 1'!O84,Timesheet!$D$13:$D$11483))</f>
        <v>0</v>
      </c>
      <c r="AA84" s="6">
        <f t="array" ref="AA84">MAX(IF(Timesheet!$A$13:$A$11483='Mês 1'!O84,Timesheet!$E$13:$E$11483))</f>
        <v>0</v>
      </c>
      <c r="AC84" s="1">
        <v>45147</v>
      </c>
      <c r="AD84" s="6">
        <f>SUMIFS(Timesheet!$F$13:$F$11461,Timesheet!$A$13:$A$11461,'Mês 1'!AC84,Timesheet!$C$13:$C$11461,'Mês 1'!$AD$75)</f>
        <v>0</v>
      </c>
      <c r="AE84" s="6">
        <f>SUMIFS(Timesheet!$F$13:$F$11461,Timesheet!$A$13:$A$11461,'Mês 1'!AC84,Timesheet!$C$13:$C$11461,'Mês 1'!$AE$75)</f>
        <v>0</v>
      </c>
      <c r="AF84" s="6">
        <f>SUMIFS(Timesheet!$F$13:$F$11461,Timesheet!$A$13:$A$11461,'Mês 1'!AC84,Timesheet!$C$13:$C$11461,'Mês 1'!$AF$75)</f>
        <v>0</v>
      </c>
      <c r="AG84" s="6">
        <f>SUMIFS(Timesheet!$F$13:$F$11461,Timesheet!$A$13:$A$11461,'Mês 1'!AC84,Timesheet!$C$13:$C$11461,'Mês 1'!$AG$75)</f>
        <v>0</v>
      </c>
      <c r="AH84" s="6">
        <f>SUMIFS(Timesheet!$F$13:$F$11461,Timesheet!$A$13:$A$11461,'Mês 1'!AC84,Timesheet!$C$13:$C$11461,'Mês 1'!$AH$75)</f>
        <v>0</v>
      </c>
      <c r="AI84" s="6">
        <f>SUMIFS(Timesheet!$F$13:$F$11461,Timesheet!$A$13:$A$11461,'Mês 1'!AC84,Timesheet!$C$13:$C$11461,'Mês 1'!$AI$75)</f>
        <v>0</v>
      </c>
      <c r="AJ84" s="6">
        <f>SUMIFS(Timesheet!$F$13:$F$11461,Timesheet!$A$13:$A$11461,'Mês 1'!AC84,Timesheet!$C$13:$C$11461,'Mês 1'!AJ$75)</f>
        <v>0</v>
      </c>
      <c r="AK84" s="6">
        <f>SUMIFS(Timesheet!$F$13:$F$11461,Timesheet!$A$13:$A$11461,'Mês 1'!AC84,Timesheet!$C$13:$C$11461,'Mês 1'!$AK$75)</f>
        <v>0</v>
      </c>
      <c r="AL84" s="6">
        <f>SUMIFS(Timesheet!$F$13:$F$11461,Timesheet!$A$13:$A$11461,'Mês 1'!AC84,Timesheet!$C$13:$C$11461,'Mês 1'!$AL$75)</f>
        <v>0</v>
      </c>
      <c r="AM84" s="6">
        <f t="shared" si="17"/>
        <v>0</v>
      </c>
      <c r="AN84" s="6">
        <f t="array" ref="AN84">MIN(IF(Timesheet!$A$13:$A$11483='Mês 1'!AC84,Timesheet!$D$13:$D$11483))</f>
        <v>0</v>
      </c>
      <c r="AO84" s="6">
        <f t="array" ref="AO84">MAX(IF(Timesheet!$A$13:$A$11483='Mês 1'!AC84,Timesheet!$E$13:$E$11483))</f>
        <v>0</v>
      </c>
      <c r="AQ84" s="1">
        <v>45208</v>
      </c>
      <c r="AR84" s="6">
        <f>SUMIFS(Timesheet!$F$13:$F$11461,Timesheet!$A$13:$A$11461,'Mês 1'!AQ84,Timesheet!$C$13:$C$11461,'Mês 1'!$AR$75)</f>
        <v>0</v>
      </c>
      <c r="AS84" s="6">
        <f>SUMIFS(Timesheet!$F$13:$F$11461,Timesheet!$A$13:$A$11461,'Mês 1'!AQ84,Timesheet!$C$13:$C$11461,'Mês 1'!$AS$75)</f>
        <v>0</v>
      </c>
      <c r="AT84" s="6">
        <f>SUMIFS(Timesheet!$F$13:$F$11461,Timesheet!$A$13:$A$11461,'Mês 1'!AQ84,Timesheet!$C$13:$C$11461,'Mês 1'!$AT$75)</f>
        <v>0</v>
      </c>
      <c r="AU84" s="6">
        <f>SUMIFS(Timesheet!$F$13:$F$11461,Timesheet!$A$13:$A$11461,'Mês 1'!AQ84,Timesheet!$C$13:$C$11461,'Mês 1'!$AU$75)</f>
        <v>0</v>
      </c>
      <c r="AV84" s="6">
        <f>SUMIFS(Timesheet!$F$13:$F$11461,Timesheet!$A$13:$A$11461,'Mês 1'!AQ84,Timesheet!$C$13:$C$11461,'Mês 1'!$AV$75)</f>
        <v>0</v>
      </c>
      <c r="AW84" s="6">
        <f>SUMIFS(Timesheet!$F$13:$F$11461,Timesheet!$A$13:$A$11461,'Mês 1'!AQ84,Timesheet!$C$13:$C$11461,'Mês 1'!$AW$75)</f>
        <v>0</v>
      </c>
      <c r="AX84" s="6">
        <f>SUMIFS(Timesheet!$F$13:$F$11461,Timesheet!$A$13:$A$11461,'Mês 1'!AQ84,Timesheet!$C$13:$C$11461,'Mês 1'!$AX$75)</f>
        <v>0</v>
      </c>
      <c r="AY84" s="6">
        <f>SUMIFS(Timesheet!$F$13:$F$11461,Timesheet!$A$13:$A$11461,'Mês 1'!AQ84,Timesheet!$C$13:$C$11461,'Mês 1'!$AY$75)</f>
        <v>0</v>
      </c>
      <c r="AZ84" s="6">
        <f>SUMIFS(Timesheet!$F$13:$F$11461,Timesheet!$A$13:$A$11461,'Mês 1'!AQ84,Timesheet!$C$13:$C$11461,'Mês 1'!$AZ$75)</f>
        <v>0</v>
      </c>
      <c r="BA84" s="6">
        <f t="shared" si="18"/>
        <v>0</v>
      </c>
      <c r="BB84" s="6">
        <f t="array" ref="BB84">MIN(IF(Timesheet!$A$13:$A$11483='Mês 1'!AQ84,Timesheet!$D$13:$D$11483))</f>
        <v>0</v>
      </c>
      <c r="BC84" s="6">
        <f t="array" ref="BC84">MAX(IF(Timesheet!$A$13:$A$11483='Mês 1'!AQ84,Timesheet!$E$13:$E$11483))</f>
        <v>0</v>
      </c>
      <c r="BE84" s="1">
        <v>45269</v>
      </c>
      <c r="BF84" s="6">
        <f>SUMIFS(Timesheet!$F$13:$F$11461,Timesheet!$A$13:$A$11461,'Mês 1'!BE84,Timesheet!$C$13:$C$11461,'Mês 1'!$BF$75)</f>
        <v>0</v>
      </c>
      <c r="BG84" s="6">
        <f>SUMIFS(Timesheet!$F$13:$F$11461,Timesheet!$A$13:$A$11461,'Mês 1'!BE84,Timesheet!$C$13:$C$11461,'Mês 1'!$BG$75)</f>
        <v>0</v>
      </c>
      <c r="BH84" s="6">
        <f>SUMIFS(Timesheet!$F$13:$F$11461,Timesheet!$A$13:$A$11461,'Mês 1'!BE84,Timesheet!$C$13:$C$11461,'Mês 1'!$BH$75)</f>
        <v>0</v>
      </c>
      <c r="BI84" s="6">
        <f>SUMIFS(Timesheet!$F$13:$F$11461,Timesheet!$A$13:$A$11461,'Mês 1'!BE84,Timesheet!$C$13:$C$11461,'Mês 1'!$BI$75)</f>
        <v>0</v>
      </c>
      <c r="BJ84" s="6">
        <f>SUMIFS(Timesheet!$F$13:$F$11461,Timesheet!$A$13:$A$11461,'Mês 1'!BE84,Timesheet!$C$13:$C$11461,'Mês 1'!$BJ$75)</f>
        <v>0</v>
      </c>
      <c r="BK84" s="6">
        <f>SUMIFS(Timesheet!$F$13:$F$11461,Timesheet!$A$13:$A$11461,'Mês 1'!BE84,Timesheet!$C$13:$C$11461,'Mês 1'!$BK$75)</f>
        <v>0</v>
      </c>
      <c r="BL84" s="6">
        <f>SUMIFS(Timesheet!$F$13:$F$11461,Timesheet!$A$13:$A$11461,'Mês 1'!BE84,Timesheet!$C$13:$C$11461,'Mês 1'!$BL$75)</f>
        <v>0</v>
      </c>
      <c r="BM84" s="6">
        <f>SUMIFS(Timesheet!$F$13:$F$11461,Timesheet!$A$13:$A$11461,'Mês 1'!BE84,Timesheet!$C$13:$C$11461,'Mês 1'!$BM$75)</f>
        <v>0</v>
      </c>
      <c r="BN84" s="6">
        <f>SUMIFS(Timesheet!$F$13:$F$11461,Timesheet!$A$13:$A$11461,'Mês 1'!BE84,Timesheet!$C$13:$C$11461,'Mês 1'!$BN$75)</f>
        <v>0</v>
      </c>
      <c r="BO84" s="6">
        <f t="shared" si="19"/>
        <v>0</v>
      </c>
      <c r="BP84" s="6">
        <f t="array" ref="BP84">MIN(IF(Timesheet!$A$13:$A$11483='Mês 1'!BE84,Timesheet!$D$13:$D$11483))</f>
        <v>0</v>
      </c>
      <c r="BQ84" s="6">
        <f t="array" ref="BQ84">MAX(IF(Timesheet!$A$13:$A$11483='Mês 1'!BE84,Timesheet!$E$13:$E$11483))</f>
        <v>0</v>
      </c>
    </row>
    <row r="85" spans="1:69" x14ac:dyDescent="0.25">
      <c r="A85" s="1">
        <v>45026</v>
      </c>
      <c r="B85" s="6">
        <f>SUMIFS(Timesheet!$F$13:$F$11461,Timesheet!$A$13:$A$11461,'Mês 1'!A85,Timesheet!$C$13:$C$11461,'Mês 1'!$B$75)</f>
        <v>0</v>
      </c>
      <c r="C85" s="6">
        <f>SUMIFS(Timesheet!$F$13:$F$11461,Timesheet!$A$13:$A$11461,'Mês 1'!A85,Timesheet!$C$13:$C$11461,'Mês 1'!$C$75)</f>
        <v>0</v>
      </c>
      <c r="D85" s="6">
        <f>SUMIFS(Timesheet!$F$13:$F$11461,Timesheet!$A$13:$A$11461,'Mês 1'!A85,Timesheet!$C$13:$C$11461,'Mês 1'!$D$75)</f>
        <v>0</v>
      </c>
      <c r="E85" s="6">
        <f>SUMIFS(Timesheet!$F$13:$F$11461,Timesheet!$A$13:$A$11461,'Mês 1'!A85,Timesheet!$C$13:$C$11461,'Mês 1'!$E$75)</f>
        <v>0</v>
      </c>
      <c r="F85" s="6">
        <f>SUMIFS(Timesheet!$F$13:$F$11461,Timesheet!$A$13:$A$11461,'Mês 1'!A85,Timesheet!$C$13:$C$11461,'Mês 1'!$F$75)</f>
        <v>0</v>
      </c>
      <c r="G85" s="6">
        <f>SUMIFS(Timesheet!$F$13:$F$11461,Timesheet!$A$13:$A$11461,'Mês 1'!A85,Timesheet!$C$13:$C$11461,'Mês 1'!$G$75)</f>
        <v>0</v>
      </c>
      <c r="H85" s="6">
        <f>SUMIFS(Timesheet!$F$13:$F$11461,Timesheet!$A$13:$A$11461,'Mês 1'!A85,Timesheet!$C$13:$C$11461,'Mês 1'!$H$75)</f>
        <v>0</v>
      </c>
      <c r="I85" s="6">
        <f>SUMIFS(Timesheet!$F$13:$F$11461,Timesheet!$A$13:$A$11461,'Mês 1'!A85,Timesheet!$C$13:$C$11461,'Mês 1'!$I$75)</f>
        <v>0</v>
      </c>
      <c r="J85" s="6">
        <f>SUMIFS(Timesheet!$F$13:$F$11461,Timesheet!$A$13:$A$11461,'Mês 1'!A85,Timesheet!$C$13:$C$11461,'Mês 1'!$J$75)</f>
        <v>0</v>
      </c>
      <c r="K85" s="6">
        <f t="shared" si="15"/>
        <v>0</v>
      </c>
      <c r="L85" s="6">
        <f t="array" ref="L85">MIN(IF(Timesheet!$A$13:$A$11483='Mês 1'!A85,Timesheet!$D$13:$D$11483))</f>
        <v>0</v>
      </c>
      <c r="M85" s="6">
        <f t="array" ref="M85">MAX(IF(Timesheet!$A$13:$A$11483='Mês 1'!A85,Timesheet!$E$13:$E$11483))</f>
        <v>0</v>
      </c>
      <c r="O85" s="1">
        <v>45087</v>
      </c>
      <c r="P85" s="6">
        <f>SUMIFS(Timesheet!$F$13:$F$11461,Timesheet!$A$13:$A$11461,'Mês 1'!O85,Timesheet!$C$13:$C$11461,'Mês 1'!$P$75)</f>
        <v>0</v>
      </c>
      <c r="Q85" s="6">
        <f>SUMIFS(Timesheet!$F$13:$F$11461,Timesheet!$A$13:$A$11461,'Mês 1'!O85,Timesheet!$C$13:$C$11461,'Mês 1'!$Q$75)</f>
        <v>0</v>
      </c>
      <c r="R85" s="6">
        <f>SUMIFS(Timesheet!$F$13:$F$11461,Timesheet!$A$13:$A$11461,'Mês 1'!O85,Timesheet!$C$13:$C$11461,'Mês 1'!$R$75)</f>
        <v>0</v>
      </c>
      <c r="S85" s="6">
        <f>SUMIFS(Timesheet!$F$13:$F$11461,Timesheet!$A$13:$A$11461,'Mês 1'!O85,Timesheet!$C$13:$C$11461,'Mês 1'!$S$75)</f>
        <v>0</v>
      </c>
      <c r="T85" s="6">
        <f>SUMIFS(Timesheet!$F$13:$F$11461,Timesheet!$A$13:$A$11461,'Mês 1'!O85,Timesheet!$C$13:$C$11461,'Mês 1'!$T$75)</f>
        <v>0</v>
      </c>
      <c r="U85" s="6">
        <f>SUMIFS(Timesheet!$F$13:$F$11461,Timesheet!$A$13:$A$11461,'Mês 1'!O85,Timesheet!$C$13:$C$11461,'Mês 1'!$U$75)</f>
        <v>0</v>
      </c>
      <c r="V85" s="6">
        <f>SUMIFS(Timesheet!$F$13:$F$11461,Timesheet!$A$13:$A$11461,'Mês 1'!O85,Timesheet!$C$13:$C$11461,'Mês 1'!$V$75)</f>
        <v>0</v>
      </c>
      <c r="W85" s="6">
        <f>SUMIFS(Timesheet!$F$13:$F$11461,Timesheet!$A$13:$A$11461,'Mês 1'!O85,Timesheet!$C$13:$C$11461,'Mês 1'!$W$75)</f>
        <v>0</v>
      </c>
      <c r="X85" s="6">
        <f>SUMIFS(Timesheet!$F$13:$F$11461,Timesheet!$A$13:$A$11461,'Mês 1'!O85,Timesheet!$C$13:$C$11461,'Mês 1'!$X$75)</f>
        <v>0</v>
      </c>
      <c r="Y85" s="6">
        <f t="shared" si="16"/>
        <v>0</v>
      </c>
      <c r="Z85" s="6">
        <f t="array" ref="Z85">MIN(IF(Timesheet!$A$13:$A$11483='Mês 1'!O85,Timesheet!$D$13:$D$11483))</f>
        <v>0</v>
      </c>
      <c r="AA85" s="6">
        <f t="array" ref="AA85">MAX(IF(Timesheet!$A$13:$A$11483='Mês 1'!O85,Timesheet!$E$13:$E$11483))</f>
        <v>0</v>
      </c>
      <c r="AC85" s="1">
        <v>45148</v>
      </c>
      <c r="AD85" s="6">
        <f>SUMIFS(Timesheet!$F$13:$F$11461,Timesheet!$A$13:$A$11461,'Mês 1'!AC85,Timesheet!$C$13:$C$11461,'Mês 1'!$AD$75)</f>
        <v>0</v>
      </c>
      <c r="AE85" s="6">
        <f>SUMIFS(Timesheet!$F$13:$F$11461,Timesheet!$A$13:$A$11461,'Mês 1'!AC85,Timesheet!$C$13:$C$11461,'Mês 1'!$AE$75)</f>
        <v>0</v>
      </c>
      <c r="AF85" s="6">
        <f>SUMIFS(Timesheet!$F$13:$F$11461,Timesheet!$A$13:$A$11461,'Mês 1'!AC85,Timesheet!$C$13:$C$11461,'Mês 1'!$AF$75)</f>
        <v>0</v>
      </c>
      <c r="AG85" s="6">
        <f>SUMIFS(Timesheet!$F$13:$F$11461,Timesheet!$A$13:$A$11461,'Mês 1'!AC85,Timesheet!$C$13:$C$11461,'Mês 1'!$AG$75)</f>
        <v>0</v>
      </c>
      <c r="AH85" s="6">
        <f>SUMIFS(Timesheet!$F$13:$F$11461,Timesheet!$A$13:$A$11461,'Mês 1'!AC85,Timesheet!$C$13:$C$11461,'Mês 1'!$AH$75)</f>
        <v>0</v>
      </c>
      <c r="AI85" s="6">
        <f>SUMIFS(Timesheet!$F$13:$F$11461,Timesheet!$A$13:$A$11461,'Mês 1'!AC85,Timesheet!$C$13:$C$11461,'Mês 1'!$AI$75)</f>
        <v>0</v>
      </c>
      <c r="AJ85" s="6">
        <f>SUMIFS(Timesheet!$F$13:$F$11461,Timesheet!$A$13:$A$11461,'Mês 1'!AC85,Timesheet!$C$13:$C$11461,'Mês 1'!AJ$75)</f>
        <v>0</v>
      </c>
      <c r="AK85" s="6">
        <f>SUMIFS(Timesheet!$F$13:$F$11461,Timesheet!$A$13:$A$11461,'Mês 1'!AC85,Timesheet!$C$13:$C$11461,'Mês 1'!$AK$75)</f>
        <v>0</v>
      </c>
      <c r="AL85" s="6">
        <f>SUMIFS(Timesheet!$F$13:$F$11461,Timesheet!$A$13:$A$11461,'Mês 1'!AC85,Timesheet!$C$13:$C$11461,'Mês 1'!$AL$75)</f>
        <v>0</v>
      </c>
      <c r="AM85" s="6">
        <f t="shared" si="17"/>
        <v>0</v>
      </c>
      <c r="AN85" s="6">
        <f t="array" ref="AN85">MIN(IF(Timesheet!$A$13:$A$11483='Mês 1'!AC85,Timesheet!$D$13:$D$11483))</f>
        <v>0</v>
      </c>
      <c r="AO85" s="6">
        <f t="array" ref="AO85">MAX(IF(Timesheet!$A$13:$A$11483='Mês 1'!AC85,Timesheet!$E$13:$E$11483))</f>
        <v>0</v>
      </c>
      <c r="AQ85" s="1">
        <v>45209</v>
      </c>
      <c r="AR85" s="6">
        <f>SUMIFS(Timesheet!$F$13:$F$11461,Timesheet!$A$13:$A$11461,'Mês 1'!AQ85,Timesheet!$C$13:$C$11461,'Mês 1'!$AR$75)</f>
        <v>0</v>
      </c>
      <c r="AS85" s="6">
        <f>SUMIFS(Timesheet!$F$13:$F$11461,Timesheet!$A$13:$A$11461,'Mês 1'!AQ85,Timesheet!$C$13:$C$11461,'Mês 1'!$AS$75)</f>
        <v>0</v>
      </c>
      <c r="AT85" s="6">
        <f>SUMIFS(Timesheet!$F$13:$F$11461,Timesheet!$A$13:$A$11461,'Mês 1'!AQ85,Timesheet!$C$13:$C$11461,'Mês 1'!$AT$75)</f>
        <v>0</v>
      </c>
      <c r="AU85" s="6">
        <f>SUMIFS(Timesheet!$F$13:$F$11461,Timesheet!$A$13:$A$11461,'Mês 1'!AQ85,Timesheet!$C$13:$C$11461,'Mês 1'!$AU$75)</f>
        <v>0</v>
      </c>
      <c r="AV85" s="6">
        <f>SUMIFS(Timesheet!$F$13:$F$11461,Timesheet!$A$13:$A$11461,'Mês 1'!AQ85,Timesheet!$C$13:$C$11461,'Mês 1'!$AV$75)</f>
        <v>0</v>
      </c>
      <c r="AW85" s="6">
        <f>SUMIFS(Timesheet!$F$13:$F$11461,Timesheet!$A$13:$A$11461,'Mês 1'!AQ85,Timesheet!$C$13:$C$11461,'Mês 1'!$AW$75)</f>
        <v>0</v>
      </c>
      <c r="AX85" s="6">
        <f>SUMIFS(Timesheet!$F$13:$F$11461,Timesheet!$A$13:$A$11461,'Mês 1'!AQ85,Timesheet!$C$13:$C$11461,'Mês 1'!$AX$75)</f>
        <v>0</v>
      </c>
      <c r="AY85" s="6">
        <f>SUMIFS(Timesheet!$F$13:$F$11461,Timesheet!$A$13:$A$11461,'Mês 1'!AQ85,Timesheet!$C$13:$C$11461,'Mês 1'!$AY$75)</f>
        <v>0</v>
      </c>
      <c r="AZ85" s="6">
        <f>SUMIFS(Timesheet!$F$13:$F$11461,Timesheet!$A$13:$A$11461,'Mês 1'!AQ85,Timesheet!$C$13:$C$11461,'Mês 1'!$AZ$75)</f>
        <v>0</v>
      </c>
      <c r="BA85" s="6">
        <f t="shared" si="18"/>
        <v>0</v>
      </c>
      <c r="BB85" s="6">
        <f t="array" ref="BB85">MIN(IF(Timesheet!$A$13:$A$11483='Mês 1'!AQ85,Timesheet!$D$13:$D$11483))</f>
        <v>0</v>
      </c>
      <c r="BC85" s="6">
        <f t="array" ref="BC85">MAX(IF(Timesheet!$A$13:$A$11483='Mês 1'!AQ85,Timesheet!$E$13:$E$11483))</f>
        <v>0</v>
      </c>
      <c r="BE85" s="1">
        <v>45270</v>
      </c>
      <c r="BF85" s="6">
        <f>SUMIFS(Timesheet!$F$13:$F$11461,Timesheet!$A$13:$A$11461,'Mês 1'!BE85,Timesheet!$C$13:$C$11461,'Mês 1'!$BF$75)</f>
        <v>0</v>
      </c>
      <c r="BG85" s="6">
        <f>SUMIFS(Timesheet!$F$13:$F$11461,Timesheet!$A$13:$A$11461,'Mês 1'!BE85,Timesheet!$C$13:$C$11461,'Mês 1'!$BG$75)</f>
        <v>0</v>
      </c>
      <c r="BH85" s="6">
        <f>SUMIFS(Timesheet!$F$13:$F$11461,Timesheet!$A$13:$A$11461,'Mês 1'!BE85,Timesheet!$C$13:$C$11461,'Mês 1'!$BH$75)</f>
        <v>0</v>
      </c>
      <c r="BI85" s="6">
        <f>SUMIFS(Timesheet!$F$13:$F$11461,Timesheet!$A$13:$A$11461,'Mês 1'!BE85,Timesheet!$C$13:$C$11461,'Mês 1'!$BI$75)</f>
        <v>0</v>
      </c>
      <c r="BJ85" s="6">
        <f>SUMIFS(Timesheet!$F$13:$F$11461,Timesheet!$A$13:$A$11461,'Mês 1'!BE85,Timesheet!$C$13:$C$11461,'Mês 1'!$BJ$75)</f>
        <v>0</v>
      </c>
      <c r="BK85" s="6">
        <f>SUMIFS(Timesheet!$F$13:$F$11461,Timesheet!$A$13:$A$11461,'Mês 1'!BE85,Timesheet!$C$13:$C$11461,'Mês 1'!$BK$75)</f>
        <v>0</v>
      </c>
      <c r="BL85" s="6">
        <f>SUMIFS(Timesheet!$F$13:$F$11461,Timesheet!$A$13:$A$11461,'Mês 1'!BE85,Timesheet!$C$13:$C$11461,'Mês 1'!$BL$75)</f>
        <v>0</v>
      </c>
      <c r="BM85" s="6">
        <f>SUMIFS(Timesheet!$F$13:$F$11461,Timesheet!$A$13:$A$11461,'Mês 1'!BE85,Timesheet!$C$13:$C$11461,'Mês 1'!$BM$75)</f>
        <v>0</v>
      </c>
      <c r="BN85" s="6">
        <f>SUMIFS(Timesheet!$F$13:$F$11461,Timesheet!$A$13:$A$11461,'Mês 1'!BE85,Timesheet!$C$13:$C$11461,'Mês 1'!$BN$75)</f>
        <v>0</v>
      </c>
      <c r="BO85" s="6">
        <f t="shared" si="19"/>
        <v>0</v>
      </c>
      <c r="BP85" s="6">
        <f t="array" ref="BP85">MIN(IF(Timesheet!$A$13:$A$11483='Mês 1'!BE85,Timesheet!$D$13:$D$11483))</f>
        <v>0</v>
      </c>
      <c r="BQ85" s="6">
        <f t="array" ref="BQ85">MAX(IF(Timesheet!$A$13:$A$11483='Mês 1'!BE85,Timesheet!$E$13:$E$11483))</f>
        <v>0</v>
      </c>
    </row>
    <row r="86" spans="1:69" x14ac:dyDescent="0.25">
      <c r="A86" s="1">
        <v>45027</v>
      </c>
      <c r="B86" s="6">
        <f>SUMIFS(Timesheet!$F$13:$F$11461,Timesheet!$A$13:$A$11461,'Mês 1'!A86,Timesheet!$C$13:$C$11461,'Mês 1'!$B$75)</f>
        <v>0</v>
      </c>
      <c r="C86" s="6">
        <f>SUMIFS(Timesheet!$F$13:$F$11461,Timesheet!$A$13:$A$11461,'Mês 1'!A86,Timesheet!$C$13:$C$11461,'Mês 1'!$C$75)</f>
        <v>0</v>
      </c>
      <c r="D86" s="6">
        <f>SUMIFS(Timesheet!$F$13:$F$11461,Timesheet!$A$13:$A$11461,'Mês 1'!A86,Timesheet!$C$13:$C$11461,'Mês 1'!$D$75)</f>
        <v>0</v>
      </c>
      <c r="E86" s="6">
        <f>SUMIFS(Timesheet!$F$13:$F$11461,Timesheet!$A$13:$A$11461,'Mês 1'!A86,Timesheet!$C$13:$C$11461,'Mês 1'!$E$75)</f>
        <v>0</v>
      </c>
      <c r="F86" s="6">
        <f>SUMIFS(Timesheet!$F$13:$F$11461,Timesheet!$A$13:$A$11461,'Mês 1'!A86,Timesheet!$C$13:$C$11461,'Mês 1'!$F$75)</f>
        <v>0</v>
      </c>
      <c r="G86" s="6">
        <f>SUMIFS(Timesheet!$F$13:$F$11461,Timesheet!$A$13:$A$11461,'Mês 1'!A86,Timesheet!$C$13:$C$11461,'Mês 1'!$G$75)</f>
        <v>0</v>
      </c>
      <c r="H86" s="6">
        <f>SUMIFS(Timesheet!$F$13:$F$11461,Timesheet!$A$13:$A$11461,'Mês 1'!A86,Timesheet!$C$13:$C$11461,'Mês 1'!$H$75)</f>
        <v>0</v>
      </c>
      <c r="I86" s="6">
        <f>SUMIFS(Timesheet!$F$13:$F$11461,Timesheet!$A$13:$A$11461,'Mês 1'!A86,Timesheet!$C$13:$C$11461,'Mês 1'!$I$75)</f>
        <v>0</v>
      </c>
      <c r="J86" s="6">
        <f>SUMIFS(Timesheet!$F$13:$F$11461,Timesheet!$A$13:$A$11461,'Mês 1'!A86,Timesheet!$C$13:$C$11461,'Mês 1'!$J$75)</f>
        <v>0</v>
      </c>
      <c r="K86" s="6">
        <f t="shared" si="15"/>
        <v>0</v>
      </c>
      <c r="L86" s="6">
        <f t="array" ref="L86">MIN(IF(Timesheet!$A$13:$A$11483='Mês 1'!A86,Timesheet!$D$13:$D$11483))</f>
        <v>0</v>
      </c>
      <c r="M86" s="6">
        <f t="array" ref="M86">MAX(IF(Timesheet!$A$13:$A$11483='Mês 1'!A86,Timesheet!$E$13:$E$11483))</f>
        <v>0</v>
      </c>
      <c r="O86" s="1">
        <v>45088</v>
      </c>
      <c r="P86" s="6">
        <f>SUMIFS(Timesheet!$F$13:$F$11461,Timesheet!$A$13:$A$11461,'Mês 1'!O86,Timesheet!$C$13:$C$11461,'Mês 1'!$P$75)</f>
        <v>0</v>
      </c>
      <c r="Q86" s="6">
        <f>SUMIFS(Timesheet!$F$13:$F$11461,Timesheet!$A$13:$A$11461,'Mês 1'!O86,Timesheet!$C$13:$C$11461,'Mês 1'!$Q$75)</f>
        <v>0</v>
      </c>
      <c r="R86" s="6">
        <f>SUMIFS(Timesheet!$F$13:$F$11461,Timesheet!$A$13:$A$11461,'Mês 1'!O86,Timesheet!$C$13:$C$11461,'Mês 1'!$R$75)</f>
        <v>0</v>
      </c>
      <c r="S86" s="6">
        <f>SUMIFS(Timesheet!$F$13:$F$11461,Timesheet!$A$13:$A$11461,'Mês 1'!O86,Timesheet!$C$13:$C$11461,'Mês 1'!$S$75)</f>
        <v>0</v>
      </c>
      <c r="T86" s="6">
        <f>SUMIFS(Timesheet!$F$13:$F$11461,Timesheet!$A$13:$A$11461,'Mês 1'!O86,Timesheet!$C$13:$C$11461,'Mês 1'!$T$75)</f>
        <v>0</v>
      </c>
      <c r="U86" s="6">
        <f>SUMIFS(Timesheet!$F$13:$F$11461,Timesheet!$A$13:$A$11461,'Mês 1'!O86,Timesheet!$C$13:$C$11461,'Mês 1'!$U$75)</f>
        <v>0</v>
      </c>
      <c r="V86" s="6">
        <f>SUMIFS(Timesheet!$F$13:$F$11461,Timesheet!$A$13:$A$11461,'Mês 1'!O86,Timesheet!$C$13:$C$11461,'Mês 1'!$V$75)</f>
        <v>0</v>
      </c>
      <c r="W86" s="6">
        <f>SUMIFS(Timesheet!$F$13:$F$11461,Timesheet!$A$13:$A$11461,'Mês 1'!O86,Timesheet!$C$13:$C$11461,'Mês 1'!$W$75)</f>
        <v>0</v>
      </c>
      <c r="X86" s="6">
        <f>SUMIFS(Timesheet!$F$13:$F$11461,Timesheet!$A$13:$A$11461,'Mês 1'!O86,Timesheet!$C$13:$C$11461,'Mês 1'!$X$75)</f>
        <v>0</v>
      </c>
      <c r="Y86" s="6">
        <f t="shared" si="16"/>
        <v>0</v>
      </c>
      <c r="Z86" s="6">
        <f t="array" ref="Z86">MIN(IF(Timesheet!$A$13:$A$11483='Mês 1'!O86,Timesheet!$D$13:$D$11483))</f>
        <v>0</v>
      </c>
      <c r="AA86" s="6">
        <f t="array" ref="AA86">MAX(IF(Timesheet!$A$13:$A$11483='Mês 1'!O86,Timesheet!$E$13:$E$11483))</f>
        <v>0</v>
      </c>
      <c r="AC86" s="1">
        <v>45149</v>
      </c>
      <c r="AD86" s="6">
        <f>SUMIFS(Timesheet!$F$13:$F$11461,Timesheet!$A$13:$A$11461,'Mês 1'!AC86,Timesheet!$C$13:$C$11461,'Mês 1'!$AD$75)</f>
        <v>0</v>
      </c>
      <c r="AE86" s="6">
        <f>SUMIFS(Timesheet!$F$13:$F$11461,Timesheet!$A$13:$A$11461,'Mês 1'!AC86,Timesheet!$C$13:$C$11461,'Mês 1'!$AE$75)</f>
        <v>0</v>
      </c>
      <c r="AF86" s="6">
        <f>SUMIFS(Timesheet!$F$13:$F$11461,Timesheet!$A$13:$A$11461,'Mês 1'!AC86,Timesheet!$C$13:$C$11461,'Mês 1'!$AF$75)</f>
        <v>0</v>
      </c>
      <c r="AG86" s="6">
        <f>SUMIFS(Timesheet!$F$13:$F$11461,Timesheet!$A$13:$A$11461,'Mês 1'!AC86,Timesheet!$C$13:$C$11461,'Mês 1'!$AG$75)</f>
        <v>0</v>
      </c>
      <c r="AH86" s="6">
        <f>SUMIFS(Timesheet!$F$13:$F$11461,Timesheet!$A$13:$A$11461,'Mês 1'!AC86,Timesheet!$C$13:$C$11461,'Mês 1'!$AH$75)</f>
        <v>0</v>
      </c>
      <c r="AI86" s="6">
        <f>SUMIFS(Timesheet!$F$13:$F$11461,Timesheet!$A$13:$A$11461,'Mês 1'!AC86,Timesheet!$C$13:$C$11461,'Mês 1'!$AI$75)</f>
        <v>0</v>
      </c>
      <c r="AJ86" s="6">
        <f>SUMIFS(Timesheet!$F$13:$F$11461,Timesheet!$A$13:$A$11461,'Mês 1'!AC86,Timesheet!$C$13:$C$11461,'Mês 1'!AJ$75)</f>
        <v>0</v>
      </c>
      <c r="AK86" s="6">
        <f>SUMIFS(Timesheet!$F$13:$F$11461,Timesheet!$A$13:$A$11461,'Mês 1'!AC86,Timesheet!$C$13:$C$11461,'Mês 1'!$AK$75)</f>
        <v>0</v>
      </c>
      <c r="AL86" s="6">
        <f>SUMIFS(Timesheet!$F$13:$F$11461,Timesheet!$A$13:$A$11461,'Mês 1'!AC86,Timesheet!$C$13:$C$11461,'Mês 1'!$AL$75)</f>
        <v>0</v>
      </c>
      <c r="AM86" s="6">
        <f t="shared" si="17"/>
        <v>0</v>
      </c>
      <c r="AN86" s="6">
        <f t="array" ref="AN86">MIN(IF(Timesheet!$A$13:$A$11483='Mês 1'!AC86,Timesheet!$D$13:$D$11483))</f>
        <v>0</v>
      </c>
      <c r="AO86" s="6">
        <f t="array" ref="AO86">MAX(IF(Timesheet!$A$13:$A$11483='Mês 1'!AC86,Timesheet!$E$13:$E$11483))</f>
        <v>0</v>
      </c>
      <c r="AQ86" s="1">
        <v>45210</v>
      </c>
      <c r="AR86" s="6">
        <f>SUMIFS(Timesheet!$F$13:$F$11461,Timesheet!$A$13:$A$11461,'Mês 1'!AQ86,Timesheet!$C$13:$C$11461,'Mês 1'!$AR$75)</f>
        <v>0</v>
      </c>
      <c r="AS86" s="6">
        <f>SUMIFS(Timesheet!$F$13:$F$11461,Timesheet!$A$13:$A$11461,'Mês 1'!AQ86,Timesheet!$C$13:$C$11461,'Mês 1'!$AS$75)</f>
        <v>0</v>
      </c>
      <c r="AT86" s="6">
        <f>SUMIFS(Timesheet!$F$13:$F$11461,Timesheet!$A$13:$A$11461,'Mês 1'!AQ86,Timesheet!$C$13:$C$11461,'Mês 1'!$AT$75)</f>
        <v>0</v>
      </c>
      <c r="AU86" s="6">
        <f>SUMIFS(Timesheet!$F$13:$F$11461,Timesheet!$A$13:$A$11461,'Mês 1'!AQ86,Timesheet!$C$13:$C$11461,'Mês 1'!$AU$75)</f>
        <v>0</v>
      </c>
      <c r="AV86" s="6">
        <f>SUMIFS(Timesheet!$F$13:$F$11461,Timesheet!$A$13:$A$11461,'Mês 1'!AQ86,Timesheet!$C$13:$C$11461,'Mês 1'!$AV$75)</f>
        <v>0</v>
      </c>
      <c r="AW86" s="6">
        <f>SUMIFS(Timesheet!$F$13:$F$11461,Timesheet!$A$13:$A$11461,'Mês 1'!AQ86,Timesheet!$C$13:$C$11461,'Mês 1'!$AW$75)</f>
        <v>0</v>
      </c>
      <c r="AX86" s="6">
        <f>SUMIFS(Timesheet!$F$13:$F$11461,Timesheet!$A$13:$A$11461,'Mês 1'!AQ86,Timesheet!$C$13:$C$11461,'Mês 1'!$AX$75)</f>
        <v>0</v>
      </c>
      <c r="AY86" s="6">
        <f>SUMIFS(Timesheet!$F$13:$F$11461,Timesheet!$A$13:$A$11461,'Mês 1'!AQ86,Timesheet!$C$13:$C$11461,'Mês 1'!$AY$75)</f>
        <v>0</v>
      </c>
      <c r="AZ86" s="6">
        <f>SUMIFS(Timesheet!$F$13:$F$11461,Timesheet!$A$13:$A$11461,'Mês 1'!AQ86,Timesheet!$C$13:$C$11461,'Mês 1'!$AZ$75)</f>
        <v>0</v>
      </c>
      <c r="BA86" s="6">
        <f t="shared" si="18"/>
        <v>0</v>
      </c>
      <c r="BB86" s="6">
        <f t="array" ref="BB86">MIN(IF(Timesheet!$A$13:$A$11483='Mês 1'!AQ86,Timesheet!$D$13:$D$11483))</f>
        <v>0</v>
      </c>
      <c r="BC86" s="6">
        <f t="array" ref="BC86">MAX(IF(Timesheet!$A$13:$A$11483='Mês 1'!AQ86,Timesheet!$E$13:$E$11483))</f>
        <v>0</v>
      </c>
      <c r="BE86" s="1">
        <v>45271</v>
      </c>
      <c r="BF86" s="6">
        <f>SUMIFS(Timesheet!$F$13:$F$11461,Timesheet!$A$13:$A$11461,'Mês 1'!BE86,Timesheet!$C$13:$C$11461,'Mês 1'!$BF$75)</f>
        <v>0</v>
      </c>
      <c r="BG86" s="6">
        <f>SUMIFS(Timesheet!$F$13:$F$11461,Timesheet!$A$13:$A$11461,'Mês 1'!BE86,Timesheet!$C$13:$C$11461,'Mês 1'!$BG$75)</f>
        <v>0</v>
      </c>
      <c r="BH86" s="6">
        <f>SUMIFS(Timesheet!$F$13:$F$11461,Timesheet!$A$13:$A$11461,'Mês 1'!BE86,Timesheet!$C$13:$C$11461,'Mês 1'!$BH$75)</f>
        <v>0</v>
      </c>
      <c r="BI86" s="6">
        <f>SUMIFS(Timesheet!$F$13:$F$11461,Timesheet!$A$13:$A$11461,'Mês 1'!BE86,Timesheet!$C$13:$C$11461,'Mês 1'!$BI$75)</f>
        <v>0</v>
      </c>
      <c r="BJ86" s="6">
        <f>SUMIFS(Timesheet!$F$13:$F$11461,Timesheet!$A$13:$A$11461,'Mês 1'!BE86,Timesheet!$C$13:$C$11461,'Mês 1'!$BJ$75)</f>
        <v>0</v>
      </c>
      <c r="BK86" s="6">
        <f>SUMIFS(Timesheet!$F$13:$F$11461,Timesheet!$A$13:$A$11461,'Mês 1'!BE86,Timesheet!$C$13:$C$11461,'Mês 1'!$BK$75)</f>
        <v>0</v>
      </c>
      <c r="BL86" s="6">
        <f>SUMIFS(Timesheet!$F$13:$F$11461,Timesheet!$A$13:$A$11461,'Mês 1'!BE86,Timesheet!$C$13:$C$11461,'Mês 1'!$BL$75)</f>
        <v>0</v>
      </c>
      <c r="BM86" s="6">
        <f>SUMIFS(Timesheet!$F$13:$F$11461,Timesheet!$A$13:$A$11461,'Mês 1'!BE86,Timesheet!$C$13:$C$11461,'Mês 1'!$BM$75)</f>
        <v>0</v>
      </c>
      <c r="BN86" s="6">
        <f>SUMIFS(Timesheet!$F$13:$F$11461,Timesheet!$A$13:$A$11461,'Mês 1'!BE86,Timesheet!$C$13:$C$11461,'Mês 1'!$BN$75)</f>
        <v>0</v>
      </c>
      <c r="BO86" s="6">
        <f t="shared" si="19"/>
        <v>0</v>
      </c>
      <c r="BP86" s="6">
        <f t="array" ref="BP86">MIN(IF(Timesheet!$A$13:$A$11483='Mês 1'!BE86,Timesheet!$D$13:$D$11483))</f>
        <v>0</v>
      </c>
      <c r="BQ86" s="6">
        <f t="array" ref="BQ86">MAX(IF(Timesheet!$A$13:$A$11483='Mês 1'!BE86,Timesheet!$E$13:$E$11483))</f>
        <v>0</v>
      </c>
    </row>
    <row r="87" spans="1:69" x14ac:dyDescent="0.25">
      <c r="A87" s="1">
        <v>45028</v>
      </c>
      <c r="B87" s="6">
        <f>SUMIFS(Timesheet!$F$13:$F$11461,Timesheet!$A$13:$A$11461,'Mês 1'!A87,Timesheet!$C$13:$C$11461,'Mês 1'!$B$75)</f>
        <v>0</v>
      </c>
      <c r="C87" s="6">
        <f>SUMIFS(Timesheet!$F$13:$F$11461,Timesheet!$A$13:$A$11461,'Mês 1'!A87,Timesheet!$C$13:$C$11461,'Mês 1'!$C$75)</f>
        <v>0</v>
      </c>
      <c r="D87" s="6">
        <f>SUMIFS(Timesheet!$F$13:$F$11461,Timesheet!$A$13:$A$11461,'Mês 1'!A87,Timesheet!$C$13:$C$11461,'Mês 1'!$D$75)</f>
        <v>0</v>
      </c>
      <c r="E87" s="6">
        <f>SUMIFS(Timesheet!$F$13:$F$11461,Timesheet!$A$13:$A$11461,'Mês 1'!A87,Timesheet!$C$13:$C$11461,'Mês 1'!$E$75)</f>
        <v>0</v>
      </c>
      <c r="F87" s="6">
        <f>SUMIFS(Timesheet!$F$13:$F$11461,Timesheet!$A$13:$A$11461,'Mês 1'!A87,Timesheet!$C$13:$C$11461,'Mês 1'!$F$75)</f>
        <v>0</v>
      </c>
      <c r="G87" s="6">
        <f>SUMIFS(Timesheet!$F$13:$F$11461,Timesheet!$A$13:$A$11461,'Mês 1'!A87,Timesheet!$C$13:$C$11461,'Mês 1'!$G$75)</f>
        <v>0</v>
      </c>
      <c r="H87" s="6">
        <f>SUMIFS(Timesheet!$F$13:$F$11461,Timesheet!$A$13:$A$11461,'Mês 1'!A87,Timesheet!$C$13:$C$11461,'Mês 1'!$H$75)</f>
        <v>0</v>
      </c>
      <c r="I87" s="6">
        <f>SUMIFS(Timesheet!$F$13:$F$11461,Timesheet!$A$13:$A$11461,'Mês 1'!A87,Timesheet!$C$13:$C$11461,'Mês 1'!$I$75)</f>
        <v>0</v>
      </c>
      <c r="J87" s="6">
        <f>SUMIFS(Timesheet!$F$13:$F$11461,Timesheet!$A$13:$A$11461,'Mês 1'!A87,Timesheet!$C$13:$C$11461,'Mês 1'!$J$75)</f>
        <v>0</v>
      </c>
      <c r="K87" s="6">
        <f t="shared" si="15"/>
        <v>0</v>
      </c>
      <c r="L87" s="6">
        <f t="array" ref="L87">MIN(IF(Timesheet!$A$13:$A$11483='Mês 1'!A87,Timesheet!$D$13:$D$11483))</f>
        <v>0</v>
      </c>
      <c r="M87" s="6">
        <f t="array" ref="M87">MAX(IF(Timesheet!$A$13:$A$11483='Mês 1'!A87,Timesheet!$E$13:$E$11483))</f>
        <v>0</v>
      </c>
      <c r="O87" s="1">
        <v>45089</v>
      </c>
      <c r="P87" s="6">
        <f>SUMIFS(Timesheet!$F$13:$F$11461,Timesheet!$A$13:$A$11461,'Mês 1'!O87,Timesheet!$C$13:$C$11461,'Mês 1'!$P$75)</f>
        <v>0</v>
      </c>
      <c r="Q87" s="6">
        <f>SUMIFS(Timesheet!$F$13:$F$11461,Timesheet!$A$13:$A$11461,'Mês 1'!O87,Timesheet!$C$13:$C$11461,'Mês 1'!$Q$75)</f>
        <v>0</v>
      </c>
      <c r="R87" s="6">
        <f>SUMIFS(Timesheet!$F$13:$F$11461,Timesheet!$A$13:$A$11461,'Mês 1'!O87,Timesheet!$C$13:$C$11461,'Mês 1'!$R$75)</f>
        <v>0</v>
      </c>
      <c r="S87" s="6">
        <f>SUMIFS(Timesheet!$F$13:$F$11461,Timesheet!$A$13:$A$11461,'Mês 1'!O87,Timesheet!$C$13:$C$11461,'Mês 1'!$S$75)</f>
        <v>0</v>
      </c>
      <c r="T87" s="6">
        <f>SUMIFS(Timesheet!$F$13:$F$11461,Timesheet!$A$13:$A$11461,'Mês 1'!O87,Timesheet!$C$13:$C$11461,'Mês 1'!$T$75)</f>
        <v>0</v>
      </c>
      <c r="U87" s="6">
        <f>SUMIFS(Timesheet!$F$13:$F$11461,Timesheet!$A$13:$A$11461,'Mês 1'!O87,Timesheet!$C$13:$C$11461,'Mês 1'!$U$75)</f>
        <v>0</v>
      </c>
      <c r="V87" s="6">
        <f>SUMIFS(Timesheet!$F$13:$F$11461,Timesheet!$A$13:$A$11461,'Mês 1'!O87,Timesheet!$C$13:$C$11461,'Mês 1'!$V$75)</f>
        <v>0</v>
      </c>
      <c r="W87" s="6">
        <f>SUMIFS(Timesheet!$F$13:$F$11461,Timesheet!$A$13:$A$11461,'Mês 1'!O87,Timesheet!$C$13:$C$11461,'Mês 1'!$W$75)</f>
        <v>0</v>
      </c>
      <c r="X87" s="6">
        <f>SUMIFS(Timesheet!$F$13:$F$11461,Timesheet!$A$13:$A$11461,'Mês 1'!O87,Timesheet!$C$13:$C$11461,'Mês 1'!$X$75)</f>
        <v>0</v>
      </c>
      <c r="Y87" s="6">
        <f t="shared" si="16"/>
        <v>0</v>
      </c>
      <c r="Z87" s="6">
        <f t="array" ref="Z87">MIN(IF(Timesheet!$A$13:$A$11483='Mês 1'!O87,Timesheet!$D$13:$D$11483))</f>
        <v>0</v>
      </c>
      <c r="AA87" s="6">
        <f t="array" ref="AA87">MAX(IF(Timesheet!$A$13:$A$11483='Mês 1'!O87,Timesheet!$E$13:$E$11483))</f>
        <v>0</v>
      </c>
      <c r="AC87" s="1">
        <v>45150</v>
      </c>
      <c r="AD87" s="6">
        <f>SUMIFS(Timesheet!$F$13:$F$11461,Timesheet!$A$13:$A$11461,'Mês 1'!AC87,Timesheet!$C$13:$C$11461,'Mês 1'!$AD$75)</f>
        <v>0</v>
      </c>
      <c r="AE87" s="6">
        <f>SUMIFS(Timesheet!$F$13:$F$11461,Timesheet!$A$13:$A$11461,'Mês 1'!AC87,Timesheet!$C$13:$C$11461,'Mês 1'!$AE$75)</f>
        <v>0</v>
      </c>
      <c r="AF87" s="6">
        <f>SUMIFS(Timesheet!$F$13:$F$11461,Timesheet!$A$13:$A$11461,'Mês 1'!AC87,Timesheet!$C$13:$C$11461,'Mês 1'!$AF$75)</f>
        <v>0</v>
      </c>
      <c r="AG87" s="6">
        <f>SUMIFS(Timesheet!$F$13:$F$11461,Timesheet!$A$13:$A$11461,'Mês 1'!AC87,Timesheet!$C$13:$C$11461,'Mês 1'!$AG$75)</f>
        <v>0</v>
      </c>
      <c r="AH87" s="6">
        <f>SUMIFS(Timesheet!$F$13:$F$11461,Timesheet!$A$13:$A$11461,'Mês 1'!AC87,Timesheet!$C$13:$C$11461,'Mês 1'!$AH$75)</f>
        <v>0</v>
      </c>
      <c r="AI87" s="6">
        <f>SUMIFS(Timesheet!$F$13:$F$11461,Timesheet!$A$13:$A$11461,'Mês 1'!AC87,Timesheet!$C$13:$C$11461,'Mês 1'!$AI$75)</f>
        <v>0</v>
      </c>
      <c r="AJ87" s="6">
        <f>SUMIFS(Timesheet!$F$13:$F$11461,Timesheet!$A$13:$A$11461,'Mês 1'!AC87,Timesheet!$C$13:$C$11461,'Mês 1'!AJ$75)</f>
        <v>0</v>
      </c>
      <c r="AK87" s="6">
        <f>SUMIFS(Timesheet!$F$13:$F$11461,Timesheet!$A$13:$A$11461,'Mês 1'!AC87,Timesheet!$C$13:$C$11461,'Mês 1'!$AK$75)</f>
        <v>0</v>
      </c>
      <c r="AL87" s="6">
        <f>SUMIFS(Timesheet!$F$13:$F$11461,Timesheet!$A$13:$A$11461,'Mês 1'!AC87,Timesheet!$C$13:$C$11461,'Mês 1'!$AL$75)</f>
        <v>0</v>
      </c>
      <c r="AM87" s="6">
        <f t="shared" si="17"/>
        <v>0</v>
      </c>
      <c r="AN87" s="6">
        <f t="array" ref="AN87">MIN(IF(Timesheet!$A$13:$A$11483='Mês 1'!AC87,Timesheet!$D$13:$D$11483))</f>
        <v>0</v>
      </c>
      <c r="AO87" s="6">
        <f t="array" ref="AO87">MAX(IF(Timesheet!$A$13:$A$11483='Mês 1'!AC87,Timesheet!$E$13:$E$11483))</f>
        <v>0</v>
      </c>
      <c r="AQ87" s="1">
        <v>45211</v>
      </c>
      <c r="AR87" s="6">
        <f>SUMIFS(Timesheet!$F$13:$F$11461,Timesheet!$A$13:$A$11461,'Mês 1'!AQ87,Timesheet!$C$13:$C$11461,'Mês 1'!$AR$75)</f>
        <v>0</v>
      </c>
      <c r="AS87" s="6">
        <f>SUMIFS(Timesheet!$F$13:$F$11461,Timesheet!$A$13:$A$11461,'Mês 1'!AQ87,Timesheet!$C$13:$C$11461,'Mês 1'!$AS$75)</f>
        <v>0</v>
      </c>
      <c r="AT87" s="6">
        <f>SUMIFS(Timesheet!$F$13:$F$11461,Timesheet!$A$13:$A$11461,'Mês 1'!AQ87,Timesheet!$C$13:$C$11461,'Mês 1'!$AT$75)</f>
        <v>0</v>
      </c>
      <c r="AU87" s="6">
        <f>SUMIFS(Timesheet!$F$13:$F$11461,Timesheet!$A$13:$A$11461,'Mês 1'!AQ87,Timesheet!$C$13:$C$11461,'Mês 1'!$AU$75)</f>
        <v>0</v>
      </c>
      <c r="AV87" s="6">
        <f>SUMIFS(Timesheet!$F$13:$F$11461,Timesheet!$A$13:$A$11461,'Mês 1'!AQ87,Timesheet!$C$13:$C$11461,'Mês 1'!$AV$75)</f>
        <v>0</v>
      </c>
      <c r="AW87" s="6">
        <f>SUMIFS(Timesheet!$F$13:$F$11461,Timesheet!$A$13:$A$11461,'Mês 1'!AQ87,Timesheet!$C$13:$C$11461,'Mês 1'!$AW$75)</f>
        <v>0</v>
      </c>
      <c r="AX87" s="6">
        <f>SUMIFS(Timesheet!$F$13:$F$11461,Timesheet!$A$13:$A$11461,'Mês 1'!AQ87,Timesheet!$C$13:$C$11461,'Mês 1'!$AX$75)</f>
        <v>0</v>
      </c>
      <c r="AY87" s="6">
        <f>SUMIFS(Timesheet!$F$13:$F$11461,Timesheet!$A$13:$A$11461,'Mês 1'!AQ87,Timesheet!$C$13:$C$11461,'Mês 1'!$AY$75)</f>
        <v>0</v>
      </c>
      <c r="AZ87" s="6">
        <f>SUMIFS(Timesheet!$F$13:$F$11461,Timesheet!$A$13:$A$11461,'Mês 1'!AQ87,Timesheet!$C$13:$C$11461,'Mês 1'!$AZ$75)</f>
        <v>0</v>
      </c>
      <c r="BA87" s="6">
        <f t="shared" si="18"/>
        <v>0</v>
      </c>
      <c r="BB87" s="6">
        <f t="array" ref="BB87">MIN(IF(Timesheet!$A$13:$A$11483='Mês 1'!AQ87,Timesheet!$D$13:$D$11483))</f>
        <v>0</v>
      </c>
      <c r="BC87" s="6">
        <f t="array" ref="BC87">MAX(IF(Timesheet!$A$13:$A$11483='Mês 1'!AQ87,Timesheet!$E$13:$E$11483))</f>
        <v>0</v>
      </c>
      <c r="BE87" s="1">
        <v>45272</v>
      </c>
      <c r="BF87" s="6">
        <f>SUMIFS(Timesheet!$F$13:$F$11461,Timesheet!$A$13:$A$11461,'Mês 1'!BE87,Timesheet!$C$13:$C$11461,'Mês 1'!$BF$75)</f>
        <v>0</v>
      </c>
      <c r="BG87" s="6">
        <f>SUMIFS(Timesheet!$F$13:$F$11461,Timesheet!$A$13:$A$11461,'Mês 1'!BE87,Timesheet!$C$13:$C$11461,'Mês 1'!$BG$75)</f>
        <v>0</v>
      </c>
      <c r="BH87" s="6">
        <f>SUMIFS(Timesheet!$F$13:$F$11461,Timesheet!$A$13:$A$11461,'Mês 1'!BE87,Timesheet!$C$13:$C$11461,'Mês 1'!$BH$75)</f>
        <v>0</v>
      </c>
      <c r="BI87" s="6">
        <f>SUMIFS(Timesheet!$F$13:$F$11461,Timesheet!$A$13:$A$11461,'Mês 1'!BE87,Timesheet!$C$13:$C$11461,'Mês 1'!$BI$75)</f>
        <v>0</v>
      </c>
      <c r="BJ87" s="6">
        <f>SUMIFS(Timesheet!$F$13:$F$11461,Timesheet!$A$13:$A$11461,'Mês 1'!BE87,Timesheet!$C$13:$C$11461,'Mês 1'!$BJ$75)</f>
        <v>0</v>
      </c>
      <c r="BK87" s="6">
        <f>SUMIFS(Timesheet!$F$13:$F$11461,Timesheet!$A$13:$A$11461,'Mês 1'!BE87,Timesheet!$C$13:$C$11461,'Mês 1'!$BK$75)</f>
        <v>0</v>
      </c>
      <c r="BL87" s="6">
        <f>SUMIFS(Timesheet!$F$13:$F$11461,Timesheet!$A$13:$A$11461,'Mês 1'!BE87,Timesheet!$C$13:$C$11461,'Mês 1'!$BL$75)</f>
        <v>0</v>
      </c>
      <c r="BM87" s="6">
        <f>SUMIFS(Timesheet!$F$13:$F$11461,Timesheet!$A$13:$A$11461,'Mês 1'!BE87,Timesheet!$C$13:$C$11461,'Mês 1'!$BM$75)</f>
        <v>0</v>
      </c>
      <c r="BN87" s="6">
        <f>SUMIFS(Timesheet!$F$13:$F$11461,Timesheet!$A$13:$A$11461,'Mês 1'!BE87,Timesheet!$C$13:$C$11461,'Mês 1'!$BN$75)</f>
        <v>0</v>
      </c>
      <c r="BO87" s="6">
        <f t="shared" si="19"/>
        <v>0</v>
      </c>
      <c r="BP87" s="6">
        <f t="array" ref="BP87">MIN(IF(Timesheet!$A$13:$A$11483='Mês 1'!BE87,Timesheet!$D$13:$D$11483))</f>
        <v>0</v>
      </c>
      <c r="BQ87" s="6">
        <f t="array" ref="BQ87">MAX(IF(Timesheet!$A$13:$A$11483='Mês 1'!BE87,Timesheet!$E$13:$E$11483))</f>
        <v>0</v>
      </c>
    </row>
    <row r="88" spans="1:69" x14ac:dyDescent="0.25">
      <c r="A88" s="1">
        <v>45029</v>
      </c>
      <c r="B88" s="6">
        <f>SUMIFS(Timesheet!$F$13:$F$11461,Timesheet!$A$13:$A$11461,'Mês 1'!A88,Timesheet!$C$13:$C$11461,'Mês 1'!$B$75)</f>
        <v>0</v>
      </c>
      <c r="C88" s="6">
        <f>SUMIFS(Timesheet!$F$13:$F$11461,Timesheet!$A$13:$A$11461,'Mês 1'!A88,Timesheet!$C$13:$C$11461,'Mês 1'!$C$75)</f>
        <v>0</v>
      </c>
      <c r="D88" s="6">
        <f>SUMIFS(Timesheet!$F$13:$F$11461,Timesheet!$A$13:$A$11461,'Mês 1'!A88,Timesheet!$C$13:$C$11461,'Mês 1'!$D$75)</f>
        <v>0</v>
      </c>
      <c r="E88" s="6">
        <f>SUMIFS(Timesheet!$F$13:$F$11461,Timesheet!$A$13:$A$11461,'Mês 1'!A88,Timesheet!$C$13:$C$11461,'Mês 1'!$E$75)</f>
        <v>0</v>
      </c>
      <c r="F88" s="6">
        <f>SUMIFS(Timesheet!$F$13:$F$11461,Timesheet!$A$13:$A$11461,'Mês 1'!A88,Timesheet!$C$13:$C$11461,'Mês 1'!$F$75)</f>
        <v>0</v>
      </c>
      <c r="G88" s="6">
        <f>SUMIFS(Timesheet!$F$13:$F$11461,Timesheet!$A$13:$A$11461,'Mês 1'!A88,Timesheet!$C$13:$C$11461,'Mês 1'!$G$75)</f>
        <v>0</v>
      </c>
      <c r="H88" s="6">
        <f>SUMIFS(Timesheet!$F$13:$F$11461,Timesheet!$A$13:$A$11461,'Mês 1'!A88,Timesheet!$C$13:$C$11461,'Mês 1'!$H$75)</f>
        <v>0</v>
      </c>
      <c r="I88" s="6">
        <f>SUMIFS(Timesheet!$F$13:$F$11461,Timesheet!$A$13:$A$11461,'Mês 1'!A88,Timesheet!$C$13:$C$11461,'Mês 1'!$I$75)</f>
        <v>4.861111111111116E-2</v>
      </c>
      <c r="J88" s="6">
        <f>SUMIFS(Timesheet!$F$13:$F$11461,Timesheet!$A$13:$A$11461,'Mês 1'!A88,Timesheet!$C$13:$C$11461,'Mês 1'!$J$75)</f>
        <v>0</v>
      </c>
      <c r="K88" s="6">
        <f t="shared" si="15"/>
        <v>4.861111111111116E-2</v>
      </c>
      <c r="L88" s="6">
        <f t="array" ref="L88">MIN(IF(Timesheet!$A$13:$A$11483='Mês 1'!A88,Timesheet!$D$13:$D$11483))</f>
        <v>0.56944444444444442</v>
      </c>
      <c r="M88" s="6">
        <f t="array" ref="M88">MAX(IF(Timesheet!$A$13:$A$11483='Mês 1'!A88,Timesheet!$E$13:$E$11483))</f>
        <v>0.61805555555555558</v>
      </c>
      <c r="O88" s="1">
        <v>45090</v>
      </c>
      <c r="P88" s="6">
        <f>SUMIFS(Timesheet!$F$13:$F$11461,Timesheet!$A$13:$A$11461,'Mês 1'!O88,Timesheet!$C$13:$C$11461,'Mês 1'!$P$75)</f>
        <v>0</v>
      </c>
      <c r="Q88" s="6">
        <f>SUMIFS(Timesheet!$F$13:$F$11461,Timesheet!$A$13:$A$11461,'Mês 1'!O88,Timesheet!$C$13:$C$11461,'Mês 1'!$Q$75)</f>
        <v>0</v>
      </c>
      <c r="R88" s="6">
        <f>SUMIFS(Timesheet!$F$13:$F$11461,Timesheet!$A$13:$A$11461,'Mês 1'!O88,Timesheet!$C$13:$C$11461,'Mês 1'!$R$75)</f>
        <v>0</v>
      </c>
      <c r="S88" s="6">
        <f>SUMIFS(Timesheet!$F$13:$F$11461,Timesheet!$A$13:$A$11461,'Mês 1'!O88,Timesheet!$C$13:$C$11461,'Mês 1'!$S$75)</f>
        <v>0</v>
      </c>
      <c r="T88" s="6">
        <f>SUMIFS(Timesheet!$F$13:$F$11461,Timesheet!$A$13:$A$11461,'Mês 1'!O88,Timesheet!$C$13:$C$11461,'Mês 1'!$T$75)</f>
        <v>0</v>
      </c>
      <c r="U88" s="6">
        <f>SUMIFS(Timesheet!$F$13:$F$11461,Timesheet!$A$13:$A$11461,'Mês 1'!O88,Timesheet!$C$13:$C$11461,'Mês 1'!$U$75)</f>
        <v>0</v>
      </c>
      <c r="V88" s="6">
        <f>SUMIFS(Timesheet!$F$13:$F$11461,Timesheet!$A$13:$A$11461,'Mês 1'!O88,Timesheet!$C$13:$C$11461,'Mês 1'!$V$75)</f>
        <v>0</v>
      </c>
      <c r="W88" s="6">
        <f>SUMIFS(Timesheet!$F$13:$F$11461,Timesheet!$A$13:$A$11461,'Mês 1'!O88,Timesheet!$C$13:$C$11461,'Mês 1'!$W$75)</f>
        <v>0</v>
      </c>
      <c r="X88" s="6">
        <f>SUMIFS(Timesheet!$F$13:$F$11461,Timesheet!$A$13:$A$11461,'Mês 1'!O88,Timesheet!$C$13:$C$11461,'Mês 1'!$X$75)</f>
        <v>0</v>
      </c>
      <c r="Y88" s="6">
        <f t="shared" si="16"/>
        <v>0</v>
      </c>
      <c r="Z88" s="6">
        <f t="array" ref="Z88">MIN(IF(Timesheet!$A$13:$A$11483='Mês 1'!O88,Timesheet!$D$13:$D$11483))</f>
        <v>0</v>
      </c>
      <c r="AA88" s="6">
        <f t="array" ref="AA88">MAX(IF(Timesheet!$A$13:$A$11483='Mês 1'!O88,Timesheet!$E$13:$E$11483))</f>
        <v>0</v>
      </c>
      <c r="AC88" s="1">
        <v>45151</v>
      </c>
      <c r="AD88" s="6">
        <f>SUMIFS(Timesheet!$F$13:$F$11461,Timesheet!$A$13:$A$11461,'Mês 1'!AC88,Timesheet!$C$13:$C$11461,'Mês 1'!$AD$75)</f>
        <v>0</v>
      </c>
      <c r="AE88" s="6">
        <f>SUMIFS(Timesheet!$F$13:$F$11461,Timesheet!$A$13:$A$11461,'Mês 1'!AC88,Timesheet!$C$13:$C$11461,'Mês 1'!$AE$75)</f>
        <v>0</v>
      </c>
      <c r="AF88" s="6">
        <f>SUMIFS(Timesheet!$F$13:$F$11461,Timesheet!$A$13:$A$11461,'Mês 1'!AC88,Timesheet!$C$13:$C$11461,'Mês 1'!$AF$75)</f>
        <v>0</v>
      </c>
      <c r="AG88" s="6">
        <f>SUMIFS(Timesheet!$F$13:$F$11461,Timesheet!$A$13:$A$11461,'Mês 1'!AC88,Timesheet!$C$13:$C$11461,'Mês 1'!$AG$75)</f>
        <v>0</v>
      </c>
      <c r="AH88" s="6">
        <f>SUMIFS(Timesheet!$F$13:$F$11461,Timesheet!$A$13:$A$11461,'Mês 1'!AC88,Timesheet!$C$13:$C$11461,'Mês 1'!$AH$75)</f>
        <v>0</v>
      </c>
      <c r="AI88" s="6">
        <f>SUMIFS(Timesheet!$F$13:$F$11461,Timesheet!$A$13:$A$11461,'Mês 1'!AC88,Timesheet!$C$13:$C$11461,'Mês 1'!$AI$75)</f>
        <v>0</v>
      </c>
      <c r="AJ88" s="6">
        <f>SUMIFS(Timesheet!$F$13:$F$11461,Timesheet!$A$13:$A$11461,'Mês 1'!AC88,Timesheet!$C$13:$C$11461,'Mês 1'!AJ$75)</f>
        <v>0</v>
      </c>
      <c r="AK88" s="6">
        <f>SUMIFS(Timesheet!$F$13:$F$11461,Timesheet!$A$13:$A$11461,'Mês 1'!AC88,Timesheet!$C$13:$C$11461,'Mês 1'!$AK$75)</f>
        <v>0</v>
      </c>
      <c r="AL88" s="6">
        <f>SUMIFS(Timesheet!$F$13:$F$11461,Timesheet!$A$13:$A$11461,'Mês 1'!AC88,Timesheet!$C$13:$C$11461,'Mês 1'!$AL$75)</f>
        <v>0</v>
      </c>
      <c r="AM88" s="6">
        <f t="shared" si="17"/>
        <v>0</v>
      </c>
      <c r="AN88" s="6">
        <f t="array" ref="AN88">MIN(IF(Timesheet!$A$13:$A$11483='Mês 1'!AC88,Timesheet!$D$13:$D$11483))</f>
        <v>0</v>
      </c>
      <c r="AO88" s="6">
        <f t="array" ref="AO88">MAX(IF(Timesheet!$A$13:$A$11483='Mês 1'!AC88,Timesheet!$E$13:$E$11483))</f>
        <v>0</v>
      </c>
      <c r="AQ88" s="1">
        <v>45212</v>
      </c>
      <c r="AR88" s="6">
        <f>SUMIFS(Timesheet!$F$13:$F$11461,Timesheet!$A$13:$A$11461,'Mês 1'!AQ88,Timesheet!$C$13:$C$11461,'Mês 1'!$AR$75)</f>
        <v>0</v>
      </c>
      <c r="AS88" s="6">
        <f>SUMIFS(Timesheet!$F$13:$F$11461,Timesheet!$A$13:$A$11461,'Mês 1'!AQ88,Timesheet!$C$13:$C$11461,'Mês 1'!$AS$75)</f>
        <v>0</v>
      </c>
      <c r="AT88" s="6">
        <f>SUMIFS(Timesheet!$F$13:$F$11461,Timesheet!$A$13:$A$11461,'Mês 1'!AQ88,Timesheet!$C$13:$C$11461,'Mês 1'!$AT$75)</f>
        <v>0</v>
      </c>
      <c r="AU88" s="6">
        <f>SUMIFS(Timesheet!$F$13:$F$11461,Timesheet!$A$13:$A$11461,'Mês 1'!AQ88,Timesheet!$C$13:$C$11461,'Mês 1'!$AU$75)</f>
        <v>0</v>
      </c>
      <c r="AV88" s="6">
        <f>SUMIFS(Timesheet!$F$13:$F$11461,Timesheet!$A$13:$A$11461,'Mês 1'!AQ88,Timesheet!$C$13:$C$11461,'Mês 1'!$AV$75)</f>
        <v>0</v>
      </c>
      <c r="AW88" s="6">
        <f>SUMIFS(Timesheet!$F$13:$F$11461,Timesheet!$A$13:$A$11461,'Mês 1'!AQ88,Timesheet!$C$13:$C$11461,'Mês 1'!$AW$75)</f>
        <v>0</v>
      </c>
      <c r="AX88" s="6">
        <f>SUMIFS(Timesheet!$F$13:$F$11461,Timesheet!$A$13:$A$11461,'Mês 1'!AQ88,Timesheet!$C$13:$C$11461,'Mês 1'!$AX$75)</f>
        <v>0</v>
      </c>
      <c r="AY88" s="6">
        <f>SUMIFS(Timesheet!$F$13:$F$11461,Timesheet!$A$13:$A$11461,'Mês 1'!AQ88,Timesheet!$C$13:$C$11461,'Mês 1'!$AY$75)</f>
        <v>0</v>
      </c>
      <c r="AZ88" s="6">
        <f>SUMIFS(Timesheet!$F$13:$F$11461,Timesheet!$A$13:$A$11461,'Mês 1'!AQ88,Timesheet!$C$13:$C$11461,'Mês 1'!$AZ$75)</f>
        <v>0</v>
      </c>
      <c r="BA88" s="6">
        <f t="shared" si="18"/>
        <v>0</v>
      </c>
      <c r="BB88" s="6">
        <f t="array" ref="BB88">MIN(IF(Timesheet!$A$13:$A$11483='Mês 1'!AQ88,Timesheet!$D$13:$D$11483))</f>
        <v>0</v>
      </c>
      <c r="BC88" s="6">
        <f t="array" ref="BC88">MAX(IF(Timesheet!$A$13:$A$11483='Mês 1'!AQ88,Timesheet!$E$13:$E$11483))</f>
        <v>0</v>
      </c>
      <c r="BE88" s="1">
        <v>45273</v>
      </c>
      <c r="BF88" s="6">
        <f>SUMIFS(Timesheet!$F$13:$F$11461,Timesheet!$A$13:$A$11461,'Mês 1'!BE88,Timesheet!$C$13:$C$11461,'Mês 1'!$BF$75)</f>
        <v>0</v>
      </c>
      <c r="BG88" s="6">
        <f>SUMIFS(Timesheet!$F$13:$F$11461,Timesheet!$A$13:$A$11461,'Mês 1'!BE88,Timesheet!$C$13:$C$11461,'Mês 1'!$BG$75)</f>
        <v>0</v>
      </c>
      <c r="BH88" s="6">
        <f>SUMIFS(Timesheet!$F$13:$F$11461,Timesheet!$A$13:$A$11461,'Mês 1'!BE88,Timesheet!$C$13:$C$11461,'Mês 1'!$BH$75)</f>
        <v>0</v>
      </c>
      <c r="BI88" s="6">
        <f>SUMIFS(Timesheet!$F$13:$F$11461,Timesheet!$A$13:$A$11461,'Mês 1'!BE88,Timesheet!$C$13:$C$11461,'Mês 1'!$BI$75)</f>
        <v>0</v>
      </c>
      <c r="BJ88" s="6">
        <f>SUMIFS(Timesheet!$F$13:$F$11461,Timesheet!$A$13:$A$11461,'Mês 1'!BE88,Timesheet!$C$13:$C$11461,'Mês 1'!$BJ$75)</f>
        <v>0</v>
      </c>
      <c r="BK88" s="6">
        <f>SUMIFS(Timesheet!$F$13:$F$11461,Timesheet!$A$13:$A$11461,'Mês 1'!BE88,Timesheet!$C$13:$C$11461,'Mês 1'!$BK$75)</f>
        <v>0</v>
      </c>
      <c r="BL88" s="6">
        <f>SUMIFS(Timesheet!$F$13:$F$11461,Timesheet!$A$13:$A$11461,'Mês 1'!BE88,Timesheet!$C$13:$C$11461,'Mês 1'!$BL$75)</f>
        <v>0</v>
      </c>
      <c r="BM88" s="6">
        <f>SUMIFS(Timesheet!$F$13:$F$11461,Timesheet!$A$13:$A$11461,'Mês 1'!BE88,Timesheet!$C$13:$C$11461,'Mês 1'!$BM$75)</f>
        <v>0</v>
      </c>
      <c r="BN88" s="6">
        <f>SUMIFS(Timesheet!$F$13:$F$11461,Timesheet!$A$13:$A$11461,'Mês 1'!BE88,Timesheet!$C$13:$C$11461,'Mês 1'!$BN$75)</f>
        <v>0</v>
      </c>
      <c r="BO88" s="6">
        <f t="shared" si="19"/>
        <v>0</v>
      </c>
      <c r="BP88" s="6">
        <f t="array" ref="BP88">MIN(IF(Timesheet!$A$13:$A$11483='Mês 1'!BE88,Timesheet!$D$13:$D$11483))</f>
        <v>0</v>
      </c>
      <c r="BQ88" s="6">
        <f t="array" ref="BQ88">MAX(IF(Timesheet!$A$13:$A$11483='Mês 1'!BE88,Timesheet!$E$13:$E$11483))</f>
        <v>0</v>
      </c>
    </row>
    <row r="89" spans="1:69" x14ac:dyDescent="0.25">
      <c r="A89" s="1">
        <v>45030</v>
      </c>
      <c r="B89" s="6">
        <f>SUMIFS(Timesheet!$F$13:$F$11461,Timesheet!$A$13:$A$11461,'Mês 1'!A89,Timesheet!$C$13:$C$11461,'Mês 1'!$B$75)</f>
        <v>0.16388888888888886</v>
      </c>
      <c r="C89" s="6">
        <f>SUMIFS(Timesheet!$F$13:$F$11461,Timesheet!$A$13:$A$11461,'Mês 1'!A89,Timesheet!$C$13:$C$11461,'Mês 1'!$C$75)</f>
        <v>0</v>
      </c>
      <c r="D89" s="6">
        <f>SUMIFS(Timesheet!$F$13:$F$11461,Timesheet!$A$13:$A$11461,'Mês 1'!A89,Timesheet!$C$13:$C$11461,'Mês 1'!$D$75)</f>
        <v>0</v>
      </c>
      <c r="E89" s="6">
        <f>SUMIFS(Timesheet!$F$13:$F$11461,Timesheet!$A$13:$A$11461,'Mês 1'!A89,Timesheet!$C$13:$C$11461,'Mês 1'!$E$75)</f>
        <v>0</v>
      </c>
      <c r="F89" s="6">
        <f>SUMIFS(Timesheet!$F$13:$F$11461,Timesheet!$A$13:$A$11461,'Mês 1'!A89,Timesheet!$C$13:$C$11461,'Mês 1'!$F$75)</f>
        <v>0</v>
      </c>
      <c r="G89" s="6">
        <f>SUMIFS(Timesheet!$F$13:$F$11461,Timesheet!$A$13:$A$11461,'Mês 1'!A89,Timesheet!$C$13:$C$11461,'Mês 1'!$G$75)</f>
        <v>0</v>
      </c>
      <c r="H89" s="6">
        <f>SUMIFS(Timesheet!$F$13:$F$11461,Timesheet!$A$13:$A$11461,'Mês 1'!A89,Timesheet!$C$13:$C$11461,'Mês 1'!$H$75)</f>
        <v>1.1111111111111072E-2</v>
      </c>
      <c r="I89" s="6">
        <f>SUMIFS(Timesheet!$F$13:$F$11461,Timesheet!$A$13:$A$11461,'Mês 1'!A89,Timesheet!$C$13:$C$11461,'Mês 1'!$I$75)</f>
        <v>0.12500000000000006</v>
      </c>
      <c r="J89" s="6">
        <f>SUMIFS(Timesheet!$F$13:$F$11461,Timesheet!$A$13:$A$11461,'Mês 1'!A89,Timesheet!$C$13:$C$11461,'Mês 1'!$J$75)</f>
        <v>0</v>
      </c>
      <c r="K89" s="6">
        <f t="shared" si="15"/>
        <v>0.3</v>
      </c>
      <c r="L89" s="6">
        <f t="array" ref="L89">MIN(IF(Timesheet!$A$13:$A$11483='Mês 1'!A89,Timesheet!$D$13:$D$11483))</f>
        <v>0.39583333333333331</v>
      </c>
      <c r="M89" s="6">
        <f t="array" ref="M89">MAX(IF(Timesheet!$A$13:$A$11483='Mês 1'!A89,Timesheet!$E$13:$E$11483))</f>
        <v>0.6875</v>
      </c>
      <c r="O89" s="1">
        <v>45091</v>
      </c>
      <c r="P89" s="6">
        <f>SUMIFS(Timesheet!$F$13:$F$11461,Timesheet!$A$13:$A$11461,'Mês 1'!O89,Timesheet!$C$13:$C$11461,'Mês 1'!$P$75)</f>
        <v>0</v>
      </c>
      <c r="Q89" s="6">
        <f>SUMIFS(Timesheet!$F$13:$F$11461,Timesheet!$A$13:$A$11461,'Mês 1'!O89,Timesheet!$C$13:$C$11461,'Mês 1'!$Q$75)</f>
        <v>0</v>
      </c>
      <c r="R89" s="6">
        <f>SUMIFS(Timesheet!$F$13:$F$11461,Timesheet!$A$13:$A$11461,'Mês 1'!O89,Timesheet!$C$13:$C$11461,'Mês 1'!$R$75)</f>
        <v>0</v>
      </c>
      <c r="S89" s="6">
        <f>SUMIFS(Timesheet!$F$13:$F$11461,Timesheet!$A$13:$A$11461,'Mês 1'!O89,Timesheet!$C$13:$C$11461,'Mês 1'!$S$75)</f>
        <v>0</v>
      </c>
      <c r="T89" s="6">
        <f>SUMIFS(Timesheet!$F$13:$F$11461,Timesheet!$A$13:$A$11461,'Mês 1'!O89,Timesheet!$C$13:$C$11461,'Mês 1'!$T$75)</f>
        <v>0</v>
      </c>
      <c r="U89" s="6">
        <f>SUMIFS(Timesheet!$F$13:$F$11461,Timesheet!$A$13:$A$11461,'Mês 1'!O89,Timesheet!$C$13:$C$11461,'Mês 1'!$U$75)</f>
        <v>0</v>
      </c>
      <c r="V89" s="6">
        <f>SUMIFS(Timesheet!$F$13:$F$11461,Timesheet!$A$13:$A$11461,'Mês 1'!O89,Timesheet!$C$13:$C$11461,'Mês 1'!$V$75)</f>
        <v>0</v>
      </c>
      <c r="W89" s="6">
        <f>SUMIFS(Timesheet!$F$13:$F$11461,Timesheet!$A$13:$A$11461,'Mês 1'!O89,Timesheet!$C$13:$C$11461,'Mês 1'!$W$75)</f>
        <v>0</v>
      </c>
      <c r="X89" s="6">
        <f>SUMIFS(Timesheet!$F$13:$F$11461,Timesheet!$A$13:$A$11461,'Mês 1'!O89,Timesheet!$C$13:$C$11461,'Mês 1'!$X$75)</f>
        <v>0</v>
      </c>
      <c r="Y89" s="6">
        <f t="shared" si="16"/>
        <v>0</v>
      </c>
      <c r="Z89" s="6">
        <f t="array" ref="Z89">MIN(IF(Timesheet!$A$13:$A$11483='Mês 1'!O89,Timesheet!$D$13:$D$11483))</f>
        <v>0</v>
      </c>
      <c r="AA89" s="6">
        <f t="array" ref="AA89">MAX(IF(Timesheet!$A$13:$A$11483='Mês 1'!O89,Timesheet!$E$13:$E$11483))</f>
        <v>0</v>
      </c>
      <c r="AC89" s="1">
        <v>45152</v>
      </c>
      <c r="AD89" s="6">
        <f>SUMIFS(Timesheet!$F$13:$F$11461,Timesheet!$A$13:$A$11461,'Mês 1'!AC89,Timesheet!$C$13:$C$11461,'Mês 1'!$AD$75)</f>
        <v>0</v>
      </c>
      <c r="AE89" s="6">
        <f>SUMIFS(Timesheet!$F$13:$F$11461,Timesheet!$A$13:$A$11461,'Mês 1'!AC89,Timesheet!$C$13:$C$11461,'Mês 1'!$AE$75)</f>
        <v>0</v>
      </c>
      <c r="AF89" s="6">
        <f>SUMIFS(Timesheet!$F$13:$F$11461,Timesheet!$A$13:$A$11461,'Mês 1'!AC89,Timesheet!$C$13:$C$11461,'Mês 1'!$AF$75)</f>
        <v>0</v>
      </c>
      <c r="AG89" s="6">
        <f>SUMIFS(Timesheet!$F$13:$F$11461,Timesheet!$A$13:$A$11461,'Mês 1'!AC89,Timesheet!$C$13:$C$11461,'Mês 1'!$AG$75)</f>
        <v>0</v>
      </c>
      <c r="AH89" s="6">
        <f>SUMIFS(Timesheet!$F$13:$F$11461,Timesheet!$A$13:$A$11461,'Mês 1'!AC89,Timesheet!$C$13:$C$11461,'Mês 1'!$AH$75)</f>
        <v>0</v>
      </c>
      <c r="AI89" s="6">
        <f>SUMIFS(Timesheet!$F$13:$F$11461,Timesheet!$A$13:$A$11461,'Mês 1'!AC89,Timesheet!$C$13:$C$11461,'Mês 1'!$AI$75)</f>
        <v>0</v>
      </c>
      <c r="AJ89" s="6">
        <f>SUMIFS(Timesheet!$F$13:$F$11461,Timesheet!$A$13:$A$11461,'Mês 1'!AC89,Timesheet!$C$13:$C$11461,'Mês 1'!AJ$75)</f>
        <v>0</v>
      </c>
      <c r="AK89" s="6">
        <f>SUMIFS(Timesheet!$F$13:$F$11461,Timesheet!$A$13:$A$11461,'Mês 1'!AC89,Timesheet!$C$13:$C$11461,'Mês 1'!$AK$75)</f>
        <v>0</v>
      </c>
      <c r="AL89" s="6">
        <f>SUMIFS(Timesheet!$F$13:$F$11461,Timesheet!$A$13:$A$11461,'Mês 1'!AC89,Timesheet!$C$13:$C$11461,'Mês 1'!$AL$75)</f>
        <v>0</v>
      </c>
      <c r="AM89" s="6">
        <f t="shared" si="17"/>
        <v>0</v>
      </c>
      <c r="AN89" s="6">
        <f t="array" ref="AN89">MIN(IF(Timesheet!$A$13:$A$11483='Mês 1'!AC89,Timesheet!$D$13:$D$11483))</f>
        <v>0</v>
      </c>
      <c r="AO89" s="6">
        <f t="array" ref="AO89">MAX(IF(Timesheet!$A$13:$A$11483='Mês 1'!AC89,Timesheet!$E$13:$E$11483))</f>
        <v>0</v>
      </c>
      <c r="AQ89" s="1">
        <v>45213</v>
      </c>
      <c r="AR89" s="6">
        <f>SUMIFS(Timesheet!$F$13:$F$11461,Timesheet!$A$13:$A$11461,'Mês 1'!AQ89,Timesheet!$C$13:$C$11461,'Mês 1'!$AR$75)</f>
        <v>0</v>
      </c>
      <c r="AS89" s="6">
        <f>SUMIFS(Timesheet!$F$13:$F$11461,Timesheet!$A$13:$A$11461,'Mês 1'!AQ89,Timesheet!$C$13:$C$11461,'Mês 1'!$AS$75)</f>
        <v>0</v>
      </c>
      <c r="AT89" s="6">
        <f>SUMIFS(Timesheet!$F$13:$F$11461,Timesheet!$A$13:$A$11461,'Mês 1'!AQ89,Timesheet!$C$13:$C$11461,'Mês 1'!$AT$75)</f>
        <v>0</v>
      </c>
      <c r="AU89" s="6">
        <f>SUMIFS(Timesheet!$F$13:$F$11461,Timesheet!$A$13:$A$11461,'Mês 1'!AQ89,Timesheet!$C$13:$C$11461,'Mês 1'!$AU$75)</f>
        <v>0</v>
      </c>
      <c r="AV89" s="6">
        <f>SUMIFS(Timesheet!$F$13:$F$11461,Timesheet!$A$13:$A$11461,'Mês 1'!AQ89,Timesheet!$C$13:$C$11461,'Mês 1'!$AV$75)</f>
        <v>0</v>
      </c>
      <c r="AW89" s="6">
        <f>SUMIFS(Timesheet!$F$13:$F$11461,Timesheet!$A$13:$A$11461,'Mês 1'!AQ89,Timesheet!$C$13:$C$11461,'Mês 1'!$AW$75)</f>
        <v>0</v>
      </c>
      <c r="AX89" s="6">
        <f>SUMIFS(Timesheet!$F$13:$F$11461,Timesheet!$A$13:$A$11461,'Mês 1'!AQ89,Timesheet!$C$13:$C$11461,'Mês 1'!$AX$75)</f>
        <v>0</v>
      </c>
      <c r="AY89" s="6">
        <f>SUMIFS(Timesheet!$F$13:$F$11461,Timesheet!$A$13:$A$11461,'Mês 1'!AQ89,Timesheet!$C$13:$C$11461,'Mês 1'!$AY$75)</f>
        <v>0</v>
      </c>
      <c r="AZ89" s="6">
        <f>SUMIFS(Timesheet!$F$13:$F$11461,Timesheet!$A$13:$A$11461,'Mês 1'!AQ89,Timesheet!$C$13:$C$11461,'Mês 1'!$AZ$75)</f>
        <v>0</v>
      </c>
      <c r="BA89" s="6">
        <f t="shared" si="18"/>
        <v>0</v>
      </c>
      <c r="BB89" s="6">
        <f t="array" ref="BB89">MIN(IF(Timesheet!$A$13:$A$11483='Mês 1'!AQ89,Timesheet!$D$13:$D$11483))</f>
        <v>0</v>
      </c>
      <c r="BC89" s="6">
        <f t="array" ref="BC89">MAX(IF(Timesheet!$A$13:$A$11483='Mês 1'!AQ89,Timesheet!$E$13:$E$11483))</f>
        <v>0</v>
      </c>
      <c r="BE89" s="1">
        <v>45274</v>
      </c>
      <c r="BF89" s="6">
        <f>SUMIFS(Timesheet!$F$13:$F$11461,Timesheet!$A$13:$A$11461,'Mês 1'!BE89,Timesheet!$C$13:$C$11461,'Mês 1'!$BF$75)</f>
        <v>0</v>
      </c>
      <c r="BG89" s="6">
        <f>SUMIFS(Timesheet!$F$13:$F$11461,Timesheet!$A$13:$A$11461,'Mês 1'!BE89,Timesheet!$C$13:$C$11461,'Mês 1'!$BG$75)</f>
        <v>0</v>
      </c>
      <c r="BH89" s="6">
        <f>SUMIFS(Timesheet!$F$13:$F$11461,Timesheet!$A$13:$A$11461,'Mês 1'!BE89,Timesheet!$C$13:$C$11461,'Mês 1'!$BH$75)</f>
        <v>0</v>
      </c>
      <c r="BI89" s="6">
        <f>SUMIFS(Timesheet!$F$13:$F$11461,Timesheet!$A$13:$A$11461,'Mês 1'!BE89,Timesheet!$C$13:$C$11461,'Mês 1'!$BI$75)</f>
        <v>0</v>
      </c>
      <c r="BJ89" s="6">
        <f>SUMIFS(Timesheet!$F$13:$F$11461,Timesheet!$A$13:$A$11461,'Mês 1'!BE89,Timesheet!$C$13:$C$11461,'Mês 1'!$BJ$75)</f>
        <v>0</v>
      </c>
      <c r="BK89" s="6">
        <f>SUMIFS(Timesheet!$F$13:$F$11461,Timesheet!$A$13:$A$11461,'Mês 1'!BE89,Timesheet!$C$13:$C$11461,'Mês 1'!$BK$75)</f>
        <v>0</v>
      </c>
      <c r="BL89" s="6">
        <f>SUMIFS(Timesheet!$F$13:$F$11461,Timesheet!$A$13:$A$11461,'Mês 1'!BE89,Timesheet!$C$13:$C$11461,'Mês 1'!$BL$75)</f>
        <v>0</v>
      </c>
      <c r="BM89" s="6">
        <f>SUMIFS(Timesheet!$F$13:$F$11461,Timesheet!$A$13:$A$11461,'Mês 1'!BE89,Timesheet!$C$13:$C$11461,'Mês 1'!$BM$75)</f>
        <v>0</v>
      </c>
      <c r="BN89" s="6">
        <f>SUMIFS(Timesheet!$F$13:$F$11461,Timesheet!$A$13:$A$11461,'Mês 1'!BE89,Timesheet!$C$13:$C$11461,'Mês 1'!$BN$75)</f>
        <v>0</v>
      </c>
      <c r="BO89" s="6">
        <f t="shared" si="19"/>
        <v>0</v>
      </c>
      <c r="BP89" s="6">
        <f t="array" ref="BP89">MIN(IF(Timesheet!$A$13:$A$11483='Mês 1'!BE89,Timesheet!$D$13:$D$11483))</f>
        <v>0</v>
      </c>
      <c r="BQ89" s="6">
        <f t="array" ref="BQ89">MAX(IF(Timesheet!$A$13:$A$11483='Mês 1'!BE89,Timesheet!$E$13:$E$11483))</f>
        <v>0</v>
      </c>
    </row>
    <row r="90" spans="1:69" x14ac:dyDescent="0.25">
      <c r="A90" s="1">
        <v>45031</v>
      </c>
      <c r="B90" s="6">
        <f>SUMIFS(Timesheet!$F$13:$F$11461,Timesheet!$A$13:$A$11461,'Mês 1'!A90,Timesheet!$C$13:$C$11461,'Mês 1'!$B$75)</f>
        <v>0</v>
      </c>
      <c r="C90" s="6">
        <f>SUMIFS(Timesheet!$F$13:$F$11461,Timesheet!$A$13:$A$11461,'Mês 1'!A90,Timesheet!$C$13:$C$11461,'Mês 1'!$C$75)</f>
        <v>0</v>
      </c>
      <c r="D90" s="6">
        <f>SUMIFS(Timesheet!$F$13:$F$11461,Timesheet!$A$13:$A$11461,'Mês 1'!A90,Timesheet!$C$13:$C$11461,'Mês 1'!$D$75)</f>
        <v>0</v>
      </c>
      <c r="E90" s="6">
        <f>SUMIFS(Timesheet!$F$13:$F$11461,Timesheet!$A$13:$A$11461,'Mês 1'!A90,Timesheet!$C$13:$C$11461,'Mês 1'!$E$75)</f>
        <v>0</v>
      </c>
      <c r="F90" s="6">
        <f>SUMIFS(Timesheet!$F$13:$F$11461,Timesheet!$A$13:$A$11461,'Mês 1'!A90,Timesheet!$C$13:$C$11461,'Mês 1'!$F$75)</f>
        <v>0</v>
      </c>
      <c r="G90" s="6">
        <f>SUMIFS(Timesheet!$F$13:$F$11461,Timesheet!$A$13:$A$11461,'Mês 1'!A90,Timesheet!$C$13:$C$11461,'Mês 1'!$G$75)</f>
        <v>0</v>
      </c>
      <c r="H90" s="6">
        <f>SUMIFS(Timesheet!$F$13:$F$11461,Timesheet!$A$13:$A$11461,'Mês 1'!A90,Timesheet!$C$13:$C$11461,'Mês 1'!$H$75)</f>
        <v>0</v>
      </c>
      <c r="I90" s="6">
        <f>SUMIFS(Timesheet!$F$13:$F$11461,Timesheet!$A$13:$A$11461,'Mês 1'!A90,Timesheet!$C$13:$C$11461,'Mês 1'!$I$75)</f>
        <v>0</v>
      </c>
      <c r="J90" s="6">
        <f>SUMIFS(Timesheet!$F$13:$F$11461,Timesheet!$A$13:$A$11461,'Mês 1'!A90,Timesheet!$C$13:$C$11461,'Mês 1'!$J$75)</f>
        <v>0</v>
      </c>
      <c r="K90" s="6">
        <f t="shared" si="15"/>
        <v>0</v>
      </c>
      <c r="L90" s="6">
        <f t="array" ref="L90">MIN(IF(Timesheet!$A$13:$A$11483='Mês 1'!A90,Timesheet!$D$13:$D$11483))</f>
        <v>0</v>
      </c>
      <c r="M90" s="6">
        <f t="array" ref="M90">MAX(IF(Timesheet!$A$13:$A$11483='Mês 1'!A90,Timesheet!$E$13:$E$11483))</f>
        <v>0</v>
      </c>
      <c r="O90" s="1">
        <v>45092</v>
      </c>
      <c r="P90" s="6">
        <f>SUMIFS(Timesheet!$F$13:$F$11461,Timesheet!$A$13:$A$11461,'Mês 1'!O90,Timesheet!$C$13:$C$11461,'Mês 1'!$P$75)</f>
        <v>0</v>
      </c>
      <c r="Q90" s="6">
        <f>SUMIFS(Timesheet!$F$13:$F$11461,Timesheet!$A$13:$A$11461,'Mês 1'!O90,Timesheet!$C$13:$C$11461,'Mês 1'!$Q$75)</f>
        <v>0</v>
      </c>
      <c r="R90" s="6">
        <f>SUMIFS(Timesheet!$F$13:$F$11461,Timesheet!$A$13:$A$11461,'Mês 1'!O90,Timesheet!$C$13:$C$11461,'Mês 1'!$R$75)</f>
        <v>0</v>
      </c>
      <c r="S90" s="6">
        <f>SUMIFS(Timesheet!$F$13:$F$11461,Timesheet!$A$13:$A$11461,'Mês 1'!O90,Timesheet!$C$13:$C$11461,'Mês 1'!$S$75)</f>
        <v>0</v>
      </c>
      <c r="T90" s="6">
        <f>SUMIFS(Timesheet!$F$13:$F$11461,Timesheet!$A$13:$A$11461,'Mês 1'!O90,Timesheet!$C$13:$C$11461,'Mês 1'!$T$75)</f>
        <v>0</v>
      </c>
      <c r="U90" s="6">
        <f>SUMIFS(Timesheet!$F$13:$F$11461,Timesheet!$A$13:$A$11461,'Mês 1'!O90,Timesheet!$C$13:$C$11461,'Mês 1'!$U$75)</f>
        <v>0</v>
      </c>
      <c r="V90" s="6">
        <f>SUMIFS(Timesheet!$F$13:$F$11461,Timesheet!$A$13:$A$11461,'Mês 1'!O90,Timesheet!$C$13:$C$11461,'Mês 1'!$V$75)</f>
        <v>0</v>
      </c>
      <c r="W90" s="6">
        <f>SUMIFS(Timesheet!$F$13:$F$11461,Timesheet!$A$13:$A$11461,'Mês 1'!O90,Timesheet!$C$13:$C$11461,'Mês 1'!$W$75)</f>
        <v>0</v>
      </c>
      <c r="X90" s="6">
        <f>SUMIFS(Timesheet!$F$13:$F$11461,Timesheet!$A$13:$A$11461,'Mês 1'!O90,Timesheet!$C$13:$C$11461,'Mês 1'!$X$75)</f>
        <v>0</v>
      </c>
      <c r="Y90" s="6">
        <f t="shared" si="16"/>
        <v>0</v>
      </c>
      <c r="Z90" s="6">
        <f t="array" ref="Z90">MIN(IF(Timesheet!$A$13:$A$11483='Mês 1'!O90,Timesheet!$D$13:$D$11483))</f>
        <v>0</v>
      </c>
      <c r="AA90" s="6">
        <f t="array" ref="AA90">MAX(IF(Timesheet!$A$13:$A$11483='Mês 1'!O90,Timesheet!$E$13:$E$11483))</f>
        <v>0</v>
      </c>
      <c r="AC90" s="1">
        <v>45153</v>
      </c>
      <c r="AD90" s="6">
        <f>SUMIFS(Timesheet!$F$13:$F$11461,Timesheet!$A$13:$A$11461,'Mês 1'!AC90,Timesheet!$C$13:$C$11461,'Mês 1'!$AD$75)</f>
        <v>0</v>
      </c>
      <c r="AE90" s="6">
        <f>SUMIFS(Timesheet!$F$13:$F$11461,Timesheet!$A$13:$A$11461,'Mês 1'!AC90,Timesheet!$C$13:$C$11461,'Mês 1'!$AE$75)</f>
        <v>0</v>
      </c>
      <c r="AF90" s="6">
        <f>SUMIFS(Timesheet!$F$13:$F$11461,Timesheet!$A$13:$A$11461,'Mês 1'!AC90,Timesheet!$C$13:$C$11461,'Mês 1'!$AF$75)</f>
        <v>0</v>
      </c>
      <c r="AG90" s="6">
        <f>SUMIFS(Timesheet!$F$13:$F$11461,Timesheet!$A$13:$A$11461,'Mês 1'!AC90,Timesheet!$C$13:$C$11461,'Mês 1'!$AG$75)</f>
        <v>0</v>
      </c>
      <c r="AH90" s="6">
        <f>SUMIFS(Timesheet!$F$13:$F$11461,Timesheet!$A$13:$A$11461,'Mês 1'!AC90,Timesheet!$C$13:$C$11461,'Mês 1'!$AH$75)</f>
        <v>0</v>
      </c>
      <c r="AI90" s="6">
        <f>SUMIFS(Timesheet!$F$13:$F$11461,Timesheet!$A$13:$A$11461,'Mês 1'!AC90,Timesheet!$C$13:$C$11461,'Mês 1'!$AI$75)</f>
        <v>0</v>
      </c>
      <c r="AJ90" s="6">
        <f>SUMIFS(Timesheet!$F$13:$F$11461,Timesheet!$A$13:$A$11461,'Mês 1'!AC90,Timesheet!$C$13:$C$11461,'Mês 1'!AJ$75)</f>
        <v>0</v>
      </c>
      <c r="AK90" s="6">
        <f>SUMIFS(Timesheet!$F$13:$F$11461,Timesheet!$A$13:$A$11461,'Mês 1'!AC90,Timesheet!$C$13:$C$11461,'Mês 1'!$AK$75)</f>
        <v>0</v>
      </c>
      <c r="AL90" s="6">
        <f>SUMIFS(Timesheet!$F$13:$F$11461,Timesheet!$A$13:$A$11461,'Mês 1'!AC90,Timesheet!$C$13:$C$11461,'Mês 1'!$AL$75)</f>
        <v>0</v>
      </c>
      <c r="AM90" s="6">
        <f t="shared" si="17"/>
        <v>0</v>
      </c>
      <c r="AN90" s="6">
        <f t="array" ref="AN90">MIN(IF(Timesheet!$A$13:$A$11483='Mês 1'!AC90,Timesheet!$D$13:$D$11483))</f>
        <v>0</v>
      </c>
      <c r="AO90" s="6">
        <f t="array" ref="AO90">MAX(IF(Timesheet!$A$13:$A$11483='Mês 1'!AC90,Timesheet!$E$13:$E$11483))</f>
        <v>0</v>
      </c>
      <c r="AQ90" s="1">
        <v>45214</v>
      </c>
      <c r="AR90" s="6">
        <f>SUMIFS(Timesheet!$F$13:$F$11461,Timesheet!$A$13:$A$11461,'Mês 1'!AQ90,Timesheet!$C$13:$C$11461,'Mês 1'!$AR$75)</f>
        <v>0</v>
      </c>
      <c r="AS90" s="6">
        <f>SUMIFS(Timesheet!$F$13:$F$11461,Timesheet!$A$13:$A$11461,'Mês 1'!AQ90,Timesheet!$C$13:$C$11461,'Mês 1'!$AS$75)</f>
        <v>0</v>
      </c>
      <c r="AT90" s="6">
        <f>SUMIFS(Timesheet!$F$13:$F$11461,Timesheet!$A$13:$A$11461,'Mês 1'!AQ90,Timesheet!$C$13:$C$11461,'Mês 1'!$AT$75)</f>
        <v>0</v>
      </c>
      <c r="AU90" s="6">
        <f>SUMIFS(Timesheet!$F$13:$F$11461,Timesheet!$A$13:$A$11461,'Mês 1'!AQ90,Timesheet!$C$13:$C$11461,'Mês 1'!$AU$75)</f>
        <v>0</v>
      </c>
      <c r="AV90" s="6">
        <f>SUMIFS(Timesheet!$F$13:$F$11461,Timesheet!$A$13:$A$11461,'Mês 1'!AQ90,Timesheet!$C$13:$C$11461,'Mês 1'!$AV$75)</f>
        <v>0</v>
      </c>
      <c r="AW90" s="6">
        <f>SUMIFS(Timesheet!$F$13:$F$11461,Timesheet!$A$13:$A$11461,'Mês 1'!AQ90,Timesheet!$C$13:$C$11461,'Mês 1'!$AW$75)</f>
        <v>0</v>
      </c>
      <c r="AX90" s="6">
        <f>SUMIFS(Timesheet!$F$13:$F$11461,Timesheet!$A$13:$A$11461,'Mês 1'!AQ90,Timesheet!$C$13:$C$11461,'Mês 1'!$AX$75)</f>
        <v>0</v>
      </c>
      <c r="AY90" s="6">
        <f>SUMIFS(Timesheet!$F$13:$F$11461,Timesheet!$A$13:$A$11461,'Mês 1'!AQ90,Timesheet!$C$13:$C$11461,'Mês 1'!$AY$75)</f>
        <v>0</v>
      </c>
      <c r="AZ90" s="6">
        <f>SUMIFS(Timesheet!$F$13:$F$11461,Timesheet!$A$13:$A$11461,'Mês 1'!AQ90,Timesheet!$C$13:$C$11461,'Mês 1'!$AZ$75)</f>
        <v>0</v>
      </c>
      <c r="BA90" s="6">
        <f t="shared" si="18"/>
        <v>0</v>
      </c>
      <c r="BB90" s="6">
        <f t="array" ref="BB90">MIN(IF(Timesheet!$A$13:$A$11483='Mês 1'!AQ90,Timesheet!$D$13:$D$11483))</f>
        <v>0</v>
      </c>
      <c r="BC90" s="6">
        <f t="array" ref="BC90">MAX(IF(Timesheet!$A$13:$A$11483='Mês 1'!AQ90,Timesheet!$E$13:$E$11483))</f>
        <v>0</v>
      </c>
      <c r="BE90" s="1">
        <v>45275</v>
      </c>
      <c r="BF90" s="6">
        <f>SUMIFS(Timesheet!$F$13:$F$11461,Timesheet!$A$13:$A$11461,'Mês 1'!BE90,Timesheet!$C$13:$C$11461,'Mês 1'!$BF$75)</f>
        <v>0</v>
      </c>
      <c r="BG90" s="6">
        <f>SUMIFS(Timesheet!$F$13:$F$11461,Timesheet!$A$13:$A$11461,'Mês 1'!BE90,Timesheet!$C$13:$C$11461,'Mês 1'!$BG$75)</f>
        <v>0</v>
      </c>
      <c r="BH90" s="6">
        <f>SUMIFS(Timesheet!$F$13:$F$11461,Timesheet!$A$13:$A$11461,'Mês 1'!BE90,Timesheet!$C$13:$C$11461,'Mês 1'!$BH$75)</f>
        <v>0</v>
      </c>
      <c r="BI90" s="6">
        <f>SUMIFS(Timesheet!$F$13:$F$11461,Timesheet!$A$13:$A$11461,'Mês 1'!BE90,Timesheet!$C$13:$C$11461,'Mês 1'!$BI$75)</f>
        <v>0</v>
      </c>
      <c r="BJ90" s="6">
        <f>SUMIFS(Timesheet!$F$13:$F$11461,Timesheet!$A$13:$A$11461,'Mês 1'!BE90,Timesheet!$C$13:$C$11461,'Mês 1'!$BJ$75)</f>
        <v>0</v>
      </c>
      <c r="BK90" s="6">
        <f>SUMIFS(Timesheet!$F$13:$F$11461,Timesheet!$A$13:$A$11461,'Mês 1'!BE90,Timesheet!$C$13:$C$11461,'Mês 1'!$BK$75)</f>
        <v>0</v>
      </c>
      <c r="BL90" s="6">
        <f>SUMIFS(Timesheet!$F$13:$F$11461,Timesheet!$A$13:$A$11461,'Mês 1'!BE90,Timesheet!$C$13:$C$11461,'Mês 1'!$BL$75)</f>
        <v>0</v>
      </c>
      <c r="BM90" s="6">
        <f>SUMIFS(Timesheet!$F$13:$F$11461,Timesheet!$A$13:$A$11461,'Mês 1'!BE90,Timesheet!$C$13:$C$11461,'Mês 1'!$BM$75)</f>
        <v>0</v>
      </c>
      <c r="BN90" s="6">
        <f>SUMIFS(Timesheet!$F$13:$F$11461,Timesheet!$A$13:$A$11461,'Mês 1'!BE90,Timesheet!$C$13:$C$11461,'Mês 1'!$BN$75)</f>
        <v>0</v>
      </c>
      <c r="BO90" s="6">
        <f t="shared" si="19"/>
        <v>0</v>
      </c>
      <c r="BP90" s="6">
        <f t="array" ref="BP90">MIN(IF(Timesheet!$A$13:$A$11483='Mês 1'!BE90,Timesheet!$D$13:$D$11483))</f>
        <v>0</v>
      </c>
      <c r="BQ90" s="6">
        <f t="array" ref="BQ90">MAX(IF(Timesheet!$A$13:$A$11483='Mês 1'!BE90,Timesheet!$E$13:$E$11483))</f>
        <v>0</v>
      </c>
    </row>
    <row r="91" spans="1:69" x14ac:dyDescent="0.25">
      <c r="A91" s="1">
        <v>45032</v>
      </c>
      <c r="B91" s="6">
        <f>SUMIFS(Timesheet!$F$13:$F$11461,Timesheet!$A$13:$A$11461,'Mês 1'!A91,Timesheet!$C$13:$C$11461,'Mês 1'!$B$75)</f>
        <v>0</v>
      </c>
      <c r="C91" s="6">
        <f>SUMIFS(Timesheet!$F$13:$F$11461,Timesheet!$A$13:$A$11461,'Mês 1'!A91,Timesheet!$C$13:$C$11461,'Mês 1'!$C$75)</f>
        <v>0</v>
      </c>
      <c r="D91" s="6">
        <f>SUMIFS(Timesheet!$F$13:$F$11461,Timesheet!$A$13:$A$11461,'Mês 1'!A91,Timesheet!$C$13:$C$11461,'Mês 1'!$D$75)</f>
        <v>0</v>
      </c>
      <c r="E91" s="6">
        <f>SUMIFS(Timesheet!$F$13:$F$11461,Timesheet!$A$13:$A$11461,'Mês 1'!A91,Timesheet!$C$13:$C$11461,'Mês 1'!$E$75)</f>
        <v>0</v>
      </c>
      <c r="F91" s="6">
        <f>SUMIFS(Timesheet!$F$13:$F$11461,Timesheet!$A$13:$A$11461,'Mês 1'!A91,Timesheet!$C$13:$C$11461,'Mês 1'!$F$75)</f>
        <v>0</v>
      </c>
      <c r="G91" s="6">
        <f>SUMIFS(Timesheet!$F$13:$F$11461,Timesheet!$A$13:$A$11461,'Mês 1'!A91,Timesheet!$C$13:$C$11461,'Mês 1'!$G$75)</f>
        <v>0</v>
      </c>
      <c r="H91" s="6">
        <f>SUMIFS(Timesheet!$F$13:$F$11461,Timesheet!$A$13:$A$11461,'Mês 1'!A91,Timesheet!$C$13:$C$11461,'Mês 1'!$H$75)</f>
        <v>0</v>
      </c>
      <c r="I91" s="6">
        <f>SUMIFS(Timesheet!$F$13:$F$11461,Timesheet!$A$13:$A$11461,'Mês 1'!A91,Timesheet!$C$13:$C$11461,'Mês 1'!$I$75)</f>
        <v>0</v>
      </c>
      <c r="J91" s="6">
        <f>SUMIFS(Timesheet!$F$13:$F$11461,Timesheet!$A$13:$A$11461,'Mês 1'!A91,Timesheet!$C$13:$C$11461,'Mês 1'!$J$75)</f>
        <v>0</v>
      </c>
      <c r="K91" s="6">
        <f t="shared" si="15"/>
        <v>0</v>
      </c>
      <c r="L91" s="6">
        <f t="array" ref="L91">MIN(IF(Timesheet!$A$13:$A$11483='Mês 1'!A91,Timesheet!$D$13:$D$11483))</f>
        <v>0</v>
      </c>
      <c r="M91" s="6">
        <f t="array" ref="M91">MAX(IF(Timesheet!$A$13:$A$11483='Mês 1'!A91,Timesheet!$E$13:$E$11483))</f>
        <v>0</v>
      </c>
      <c r="O91" s="1">
        <v>45093</v>
      </c>
      <c r="P91" s="6">
        <f>SUMIFS(Timesheet!$F$13:$F$11461,Timesheet!$A$13:$A$11461,'Mês 1'!O91,Timesheet!$C$13:$C$11461,'Mês 1'!$P$75)</f>
        <v>0</v>
      </c>
      <c r="Q91" s="6">
        <f>SUMIFS(Timesheet!$F$13:$F$11461,Timesheet!$A$13:$A$11461,'Mês 1'!O91,Timesheet!$C$13:$C$11461,'Mês 1'!$Q$75)</f>
        <v>0</v>
      </c>
      <c r="R91" s="6">
        <f>SUMIFS(Timesheet!$F$13:$F$11461,Timesheet!$A$13:$A$11461,'Mês 1'!O91,Timesheet!$C$13:$C$11461,'Mês 1'!$R$75)</f>
        <v>0</v>
      </c>
      <c r="S91" s="6">
        <f>SUMIFS(Timesheet!$F$13:$F$11461,Timesheet!$A$13:$A$11461,'Mês 1'!O91,Timesheet!$C$13:$C$11461,'Mês 1'!$S$75)</f>
        <v>0</v>
      </c>
      <c r="T91" s="6">
        <f>SUMIFS(Timesheet!$F$13:$F$11461,Timesheet!$A$13:$A$11461,'Mês 1'!O91,Timesheet!$C$13:$C$11461,'Mês 1'!$T$75)</f>
        <v>0</v>
      </c>
      <c r="U91" s="6">
        <f>SUMIFS(Timesheet!$F$13:$F$11461,Timesheet!$A$13:$A$11461,'Mês 1'!O91,Timesheet!$C$13:$C$11461,'Mês 1'!$U$75)</f>
        <v>0</v>
      </c>
      <c r="V91" s="6">
        <f>SUMIFS(Timesheet!$F$13:$F$11461,Timesheet!$A$13:$A$11461,'Mês 1'!O91,Timesheet!$C$13:$C$11461,'Mês 1'!$V$75)</f>
        <v>0</v>
      </c>
      <c r="W91" s="6">
        <f>SUMIFS(Timesheet!$F$13:$F$11461,Timesheet!$A$13:$A$11461,'Mês 1'!O91,Timesheet!$C$13:$C$11461,'Mês 1'!$W$75)</f>
        <v>0</v>
      </c>
      <c r="X91" s="6">
        <f>SUMIFS(Timesheet!$F$13:$F$11461,Timesheet!$A$13:$A$11461,'Mês 1'!O91,Timesheet!$C$13:$C$11461,'Mês 1'!$X$75)</f>
        <v>0</v>
      </c>
      <c r="Y91" s="6">
        <f t="shared" si="16"/>
        <v>0</v>
      </c>
      <c r="Z91" s="6">
        <f t="array" ref="Z91">MIN(IF(Timesheet!$A$13:$A$11483='Mês 1'!O91,Timesheet!$D$13:$D$11483))</f>
        <v>0</v>
      </c>
      <c r="AA91" s="6">
        <f t="array" ref="AA91">MAX(IF(Timesheet!$A$13:$A$11483='Mês 1'!O91,Timesheet!$E$13:$E$11483))</f>
        <v>0</v>
      </c>
      <c r="AC91" s="1">
        <v>45154</v>
      </c>
      <c r="AD91" s="6">
        <f>SUMIFS(Timesheet!$F$13:$F$11461,Timesheet!$A$13:$A$11461,'Mês 1'!AC91,Timesheet!$C$13:$C$11461,'Mês 1'!$AD$75)</f>
        <v>0</v>
      </c>
      <c r="AE91" s="6">
        <f>SUMIFS(Timesheet!$F$13:$F$11461,Timesheet!$A$13:$A$11461,'Mês 1'!AC91,Timesheet!$C$13:$C$11461,'Mês 1'!$AE$75)</f>
        <v>0</v>
      </c>
      <c r="AF91" s="6">
        <f>SUMIFS(Timesheet!$F$13:$F$11461,Timesheet!$A$13:$A$11461,'Mês 1'!AC91,Timesheet!$C$13:$C$11461,'Mês 1'!$AF$75)</f>
        <v>0</v>
      </c>
      <c r="AG91" s="6">
        <f>SUMIFS(Timesheet!$F$13:$F$11461,Timesheet!$A$13:$A$11461,'Mês 1'!AC91,Timesheet!$C$13:$C$11461,'Mês 1'!$AG$75)</f>
        <v>0</v>
      </c>
      <c r="AH91" s="6">
        <f>SUMIFS(Timesheet!$F$13:$F$11461,Timesheet!$A$13:$A$11461,'Mês 1'!AC91,Timesheet!$C$13:$C$11461,'Mês 1'!$AH$75)</f>
        <v>0</v>
      </c>
      <c r="AI91" s="6">
        <f>SUMIFS(Timesheet!$F$13:$F$11461,Timesheet!$A$13:$A$11461,'Mês 1'!AC91,Timesheet!$C$13:$C$11461,'Mês 1'!$AI$75)</f>
        <v>0</v>
      </c>
      <c r="AJ91" s="6">
        <f>SUMIFS(Timesheet!$F$13:$F$11461,Timesheet!$A$13:$A$11461,'Mês 1'!AC91,Timesheet!$C$13:$C$11461,'Mês 1'!AJ$75)</f>
        <v>0</v>
      </c>
      <c r="AK91" s="6">
        <f>SUMIFS(Timesheet!$F$13:$F$11461,Timesheet!$A$13:$A$11461,'Mês 1'!AC91,Timesheet!$C$13:$C$11461,'Mês 1'!$AK$75)</f>
        <v>0</v>
      </c>
      <c r="AL91" s="6">
        <f>SUMIFS(Timesheet!$F$13:$F$11461,Timesheet!$A$13:$A$11461,'Mês 1'!AC91,Timesheet!$C$13:$C$11461,'Mês 1'!$AL$75)</f>
        <v>0</v>
      </c>
      <c r="AM91" s="6">
        <f t="shared" si="17"/>
        <v>0</v>
      </c>
      <c r="AN91" s="6">
        <f t="array" ref="AN91">MIN(IF(Timesheet!$A$13:$A$11483='Mês 1'!AC91,Timesheet!$D$13:$D$11483))</f>
        <v>0</v>
      </c>
      <c r="AO91" s="6">
        <f t="array" ref="AO91">MAX(IF(Timesheet!$A$13:$A$11483='Mês 1'!AC91,Timesheet!$E$13:$E$11483))</f>
        <v>0</v>
      </c>
      <c r="AQ91" s="1">
        <v>45215</v>
      </c>
      <c r="AR91" s="6">
        <f>SUMIFS(Timesheet!$F$13:$F$11461,Timesheet!$A$13:$A$11461,'Mês 1'!AQ91,Timesheet!$C$13:$C$11461,'Mês 1'!$AR$75)</f>
        <v>0</v>
      </c>
      <c r="AS91" s="6">
        <f>SUMIFS(Timesheet!$F$13:$F$11461,Timesheet!$A$13:$A$11461,'Mês 1'!AQ91,Timesheet!$C$13:$C$11461,'Mês 1'!$AS$75)</f>
        <v>0</v>
      </c>
      <c r="AT91" s="6">
        <f>SUMIFS(Timesheet!$F$13:$F$11461,Timesheet!$A$13:$A$11461,'Mês 1'!AQ91,Timesheet!$C$13:$C$11461,'Mês 1'!$AT$75)</f>
        <v>0</v>
      </c>
      <c r="AU91" s="6">
        <f>SUMIFS(Timesheet!$F$13:$F$11461,Timesheet!$A$13:$A$11461,'Mês 1'!AQ91,Timesheet!$C$13:$C$11461,'Mês 1'!$AU$75)</f>
        <v>0</v>
      </c>
      <c r="AV91" s="6">
        <f>SUMIFS(Timesheet!$F$13:$F$11461,Timesheet!$A$13:$A$11461,'Mês 1'!AQ91,Timesheet!$C$13:$C$11461,'Mês 1'!$AV$75)</f>
        <v>0</v>
      </c>
      <c r="AW91" s="6">
        <f>SUMIFS(Timesheet!$F$13:$F$11461,Timesheet!$A$13:$A$11461,'Mês 1'!AQ91,Timesheet!$C$13:$C$11461,'Mês 1'!$AW$75)</f>
        <v>0</v>
      </c>
      <c r="AX91" s="6">
        <f>SUMIFS(Timesheet!$F$13:$F$11461,Timesheet!$A$13:$A$11461,'Mês 1'!AQ91,Timesheet!$C$13:$C$11461,'Mês 1'!$AX$75)</f>
        <v>0</v>
      </c>
      <c r="AY91" s="6">
        <f>SUMIFS(Timesheet!$F$13:$F$11461,Timesheet!$A$13:$A$11461,'Mês 1'!AQ91,Timesheet!$C$13:$C$11461,'Mês 1'!$AY$75)</f>
        <v>0</v>
      </c>
      <c r="AZ91" s="6">
        <f>SUMIFS(Timesheet!$F$13:$F$11461,Timesheet!$A$13:$A$11461,'Mês 1'!AQ91,Timesheet!$C$13:$C$11461,'Mês 1'!$AZ$75)</f>
        <v>0</v>
      </c>
      <c r="BA91" s="6">
        <f t="shared" si="18"/>
        <v>0</v>
      </c>
      <c r="BB91" s="6">
        <f t="array" ref="BB91">MIN(IF(Timesheet!$A$13:$A$11483='Mês 1'!AQ91,Timesheet!$D$13:$D$11483))</f>
        <v>0</v>
      </c>
      <c r="BC91" s="6">
        <f t="array" ref="BC91">MAX(IF(Timesheet!$A$13:$A$11483='Mês 1'!AQ91,Timesheet!$E$13:$E$11483))</f>
        <v>0</v>
      </c>
      <c r="BE91" s="1">
        <v>45276</v>
      </c>
      <c r="BF91" s="6">
        <f>SUMIFS(Timesheet!$F$13:$F$11461,Timesheet!$A$13:$A$11461,'Mês 1'!BE91,Timesheet!$C$13:$C$11461,'Mês 1'!$BF$75)</f>
        <v>0</v>
      </c>
      <c r="BG91" s="6">
        <f>SUMIFS(Timesheet!$F$13:$F$11461,Timesheet!$A$13:$A$11461,'Mês 1'!BE91,Timesheet!$C$13:$C$11461,'Mês 1'!$BG$75)</f>
        <v>0</v>
      </c>
      <c r="BH91" s="6">
        <f>SUMIFS(Timesheet!$F$13:$F$11461,Timesheet!$A$13:$A$11461,'Mês 1'!BE91,Timesheet!$C$13:$C$11461,'Mês 1'!$BH$75)</f>
        <v>0</v>
      </c>
      <c r="BI91" s="6">
        <f>SUMIFS(Timesheet!$F$13:$F$11461,Timesheet!$A$13:$A$11461,'Mês 1'!BE91,Timesheet!$C$13:$C$11461,'Mês 1'!$BI$75)</f>
        <v>0</v>
      </c>
      <c r="BJ91" s="6">
        <f>SUMIFS(Timesheet!$F$13:$F$11461,Timesheet!$A$13:$A$11461,'Mês 1'!BE91,Timesheet!$C$13:$C$11461,'Mês 1'!$BJ$75)</f>
        <v>0</v>
      </c>
      <c r="BK91" s="6">
        <f>SUMIFS(Timesheet!$F$13:$F$11461,Timesheet!$A$13:$A$11461,'Mês 1'!BE91,Timesheet!$C$13:$C$11461,'Mês 1'!$BK$75)</f>
        <v>0</v>
      </c>
      <c r="BL91" s="6">
        <f>SUMIFS(Timesheet!$F$13:$F$11461,Timesheet!$A$13:$A$11461,'Mês 1'!BE91,Timesheet!$C$13:$C$11461,'Mês 1'!$BL$75)</f>
        <v>0</v>
      </c>
      <c r="BM91" s="6">
        <f>SUMIFS(Timesheet!$F$13:$F$11461,Timesheet!$A$13:$A$11461,'Mês 1'!BE91,Timesheet!$C$13:$C$11461,'Mês 1'!$BM$75)</f>
        <v>0</v>
      </c>
      <c r="BN91" s="6">
        <f>SUMIFS(Timesheet!$F$13:$F$11461,Timesheet!$A$13:$A$11461,'Mês 1'!BE91,Timesheet!$C$13:$C$11461,'Mês 1'!$BN$75)</f>
        <v>0</v>
      </c>
      <c r="BO91" s="6">
        <f t="shared" si="19"/>
        <v>0</v>
      </c>
      <c r="BP91" s="6">
        <f t="array" ref="BP91">MIN(IF(Timesheet!$A$13:$A$11483='Mês 1'!BE91,Timesheet!$D$13:$D$11483))</f>
        <v>0</v>
      </c>
      <c r="BQ91" s="6">
        <f t="array" ref="BQ91">MAX(IF(Timesheet!$A$13:$A$11483='Mês 1'!BE91,Timesheet!$E$13:$E$11483))</f>
        <v>0</v>
      </c>
    </row>
    <row r="92" spans="1:69" x14ac:dyDescent="0.25">
      <c r="A92" s="1">
        <v>45033</v>
      </c>
      <c r="B92" s="6">
        <f>SUMIFS(Timesheet!$F$13:$F$11461,Timesheet!$A$13:$A$11461,'Mês 1'!A92,Timesheet!$C$13:$C$11461,'Mês 1'!$B$75)</f>
        <v>0</v>
      </c>
      <c r="C92" s="6">
        <f>SUMIFS(Timesheet!$F$13:$F$11461,Timesheet!$A$13:$A$11461,'Mês 1'!A92,Timesheet!$C$13:$C$11461,'Mês 1'!$C$75)</f>
        <v>0</v>
      </c>
      <c r="D92" s="6">
        <f>SUMIFS(Timesheet!$F$13:$F$11461,Timesheet!$A$13:$A$11461,'Mês 1'!A92,Timesheet!$C$13:$C$11461,'Mês 1'!$D$75)</f>
        <v>0</v>
      </c>
      <c r="E92" s="6">
        <f>SUMIFS(Timesheet!$F$13:$F$11461,Timesheet!$A$13:$A$11461,'Mês 1'!A92,Timesheet!$C$13:$C$11461,'Mês 1'!$E$75)</f>
        <v>0</v>
      </c>
      <c r="F92" s="6">
        <f>SUMIFS(Timesheet!$F$13:$F$11461,Timesheet!$A$13:$A$11461,'Mês 1'!A92,Timesheet!$C$13:$C$11461,'Mês 1'!$F$75)</f>
        <v>0</v>
      </c>
      <c r="G92" s="6">
        <f>SUMIFS(Timesheet!$F$13:$F$11461,Timesheet!$A$13:$A$11461,'Mês 1'!A92,Timesheet!$C$13:$C$11461,'Mês 1'!$G$75)</f>
        <v>0</v>
      </c>
      <c r="H92" s="6">
        <f>SUMIFS(Timesheet!$F$13:$F$11461,Timesheet!$A$13:$A$11461,'Mês 1'!A92,Timesheet!$C$13:$C$11461,'Mês 1'!$H$75)</f>
        <v>0</v>
      </c>
      <c r="I92" s="6">
        <f>SUMIFS(Timesheet!$F$13:$F$11461,Timesheet!$A$13:$A$11461,'Mês 1'!A92,Timesheet!$C$13:$C$11461,'Mês 1'!$I$75)</f>
        <v>0</v>
      </c>
      <c r="J92" s="6">
        <f>SUMIFS(Timesheet!$F$13:$F$11461,Timesheet!$A$13:$A$11461,'Mês 1'!A92,Timesheet!$C$13:$C$11461,'Mês 1'!$J$75)</f>
        <v>0</v>
      </c>
      <c r="K92" s="6">
        <f t="shared" si="15"/>
        <v>0</v>
      </c>
      <c r="L92" s="6">
        <f t="array" ref="L92">MIN(IF(Timesheet!$A$13:$A$11483='Mês 1'!A92,Timesheet!$D$13:$D$11483))</f>
        <v>0</v>
      </c>
      <c r="M92" s="6">
        <f t="array" ref="M92">MAX(IF(Timesheet!$A$13:$A$11483='Mês 1'!A92,Timesheet!$E$13:$E$11483))</f>
        <v>0</v>
      </c>
      <c r="O92" s="1">
        <v>45094</v>
      </c>
      <c r="P92" s="6">
        <f>SUMIFS(Timesheet!$F$13:$F$11461,Timesheet!$A$13:$A$11461,'Mês 1'!O92,Timesheet!$C$13:$C$11461,'Mês 1'!$P$75)</f>
        <v>0</v>
      </c>
      <c r="Q92" s="6">
        <f>SUMIFS(Timesheet!$F$13:$F$11461,Timesheet!$A$13:$A$11461,'Mês 1'!O92,Timesheet!$C$13:$C$11461,'Mês 1'!$Q$75)</f>
        <v>0</v>
      </c>
      <c r="R92" s="6">
        <f>SUMIFS(Timesheet!$F$13:$F$11461,Timesheet!$A$13:$A$11461,'Mês 1'!O92,Timesheet!$C$13:$C$11461,'Mês 1'!$R$75)</f>
        <v>0</v>
      </c>
      <c r="S92" s="6">
        <f>SUMIFS(Timesheet!$F$13:$F$11461,Timesheet!$A$13:$A$11461,'Mês 1'!O92,Timesheet!$C$13:$C$11461,'Mês 1'!$S$75)</f>
        <v>0</v>
      </c>
      <c r="T92" s="6">
        <f>SUMIFS(Timesheet!$F$13:$F$11461,Timesheet!$A$13:$A$11461,'Mês 1'!O92,Timesheet!$C$13:$C$11461,'Mês 1'!$T$75)</f>
        <v>0</v>
      </c>
      <c r="U92" s="6">
        <f>SUMIFS(Timesheet!$F$13:$F$11461,Timesheet!$A$13:$A$11461,'Mês 1'!O92,Timesheet!$C$13:$C$11461,'Mês 1'!$U$75)</f>
        <v>0</v>
      </c>
      <c r="V92" s="6">
        <f>SUMIFS(Timesheet!$F$13:$F$11461,Timesheet!$A$13:$A$11461,'Mês 1'!O92,Timesheet!$C$13:$C$11461,'Mês 1'!$V$75)</f>
        <v>0</v>
      </c>
      <c r="W92" s="6">
        <f>SUMIFS(Timesheet!$F$13:$F$11461,Timesheet!$A$13:$A$11461,'Mês 1'!O92,Timesheet!$C$13:$C$11461,'Mês 1'!$W$75)</f>
        <v>0</v>
      </c>
      <c r="X92" s="6">
        <f>SUMIFS(Timesheet!$F$13:$F$11461,Timesheet!$A$13:$A$11461,'Mês 1'!O92,Timesheet!$C$13:$C$11461,'Mês 1'!$X$75)</f>
        <v>0</v>
      </c>
      <c r="Y92" s="6">
        <f t="shared" si="16"/>
        <v>0</v>
      </c>
      <c r="Z92" s="6">
        <f t="array" ref="Z92">MIN(IF(Timesheet!$A$13:$A$11483='Mês 1'!O92,Timesheet!$D$13:$D$11483))</f>
        <v>0</v>
      </c>
      <c r="AA92" s="6">
        <f t="array" ref="AA92">MAX(IF(Timesheet!$A$13:$A$11483='Mês 1'!O92,Timesheet!$E$13:$E$11483))</f>
        <v>0</v>
      </c>
      <c r="AC92" s="1">
        <v>45155</v>
      </c>
      <c r="AD92" s="6">
        <f>SUMIFS(Timesheet!$F$13:$F$11461,Timesheet!$A$13:$A$11461,'Mês 1'!AC92,Timesheet!$C$13:$C$11461,'Mês 1'!$AD$75)</f>
        <v>0</v>
      </c>
      <c r="AE92" s="6">
        <f>SUMIFS(Timesheet!$F$13:$F$11461,Timesheet!$A$13:$A$11461,'Mês 1'!AC92,Timesheet!$C$13:$C$11461,'Mês 1'!$AE$75)</f>
        <v>0</v>
      </c>
      <c r="AF92" s="6">
        <f>SUMIFS(Timesheet!$F$13:$F$11461,Timesheet!$A$13:$A$11461,'Mês 1'!AC92,Timesheet!$C$13:$C$11461,'Mês 1'!$AF$75)</f>
        <v>0</v>
      </c>
      <c r="AG92" s="6">
        <f>SUMIFS(Timesheet!$F$13:$F$11461,Timesheet!$A$13:$A$11461,'Mês 1'!AC92,Timesheet!$C$13:$C$11461,'Mês 1'!$AG$75)</f>
        <v>0</v>
      </c>
      <c r="AH92" s="6">
        <f>SUMIFS(Timesheet!$F$13:$F$11461,Timesheet!$A$13:$A$11461,'Mês 1'!AC92,Timesheet!$C$13:$C$11461,'Mês 1'!$AH$75)</f>
        <v>0</v>
      </c>
      <c r="AI92" s="6">
        <f>SUMIFS(Timesheet!$F$13:$F$11461,Timesheet!$A$13:$A$11461,'Mês 1'!AC92,Timesheet!$C$13:$C$11461,'Mês 1'!$AI$75)</f>
        <v>0</v>
      </c>
      <c r="AJ92" s="6">
        <f>SUMIFS(Timesheet!$F$13:$F$11461,Timesheet!$A$13:$A$11461,'Mês 1'!AC92,Timesheet!$C$13:$C$11461,'Mês 1'!AJ$75)</f>
        <v>0</v>
      </c>
      <c r="AK92" s="6">
        <f>SUMIFS(Timesheet!$F$13:$F$11461,Timesheet!$A$13:$A$11461,'Mês 1'!AC92,Timesheet!$C$13:$C$11461,'Mês 1'!$AK$75)</f>
        <v>0</v>
      </c>
      <c r="AL92" s="6">
        <f>SUMIFS(Timesheet!$F$13:$F$11461,Timesheet!$A$13:$A$11461,'Mês 1'!AC92,Timesheet!$C$13:$C$11461,'Mês 1'!$AL$75)</f>
        <v>0</v>
      </c>
      <c r="AM92" s="6">
        <f t="shared" si="17"/>
        <v>0</v>
      </c>
      <c r="AN92" s="6">
        <f t="array" ref="AN92">MIN(IF(Timesheet!$A$13:$A$11483='Mês 1'!AC92,Timesheet!$D$13:$D$11483))</f>
        <v>0</v>
      </c>
      <c r="AO92" s="6">
        <f t="array" ref="AO92">MAX(IF(Timesheet!$A$13:$A$11483='Mês 1'!AC92,Timesheet!$E$13:$E$11483))</f>
        <v>0</v>
      </c>
      <c r="AQ92" s="1">
        <v>45216</v>
      </c>
      <c r="AR92" s="6">
        <f>SUMIFS(Timesheet!$F$13:$F$11461,Timesheet!$A$13:$A$11461,'Mês 1'!AQ92,Timesheet!$C$13:$C$11461,'Mês 1'!$AR$75)</f>
        <v>0</v>
      </c>
      <c r="AS92" s="6">
        <f>SUMIFS(Timesheet!$F$13:$F$11461,Timesheet!$A$13:$A$11461,'Mês 1'!AQ92,Timesheet!$C$13:$C$11461,'Mês 1'!$AS$75)</f>
        <v>0</v>
      </c>
      <c r="AT92" s="6">
        <f>SUMIFS(Timesheet!$F$13:$F$11461,Timesheet!$A$13:$A$11461,'Mês 1'!AQ92,Timesheet!$C$13:$C$11461,'Mês 1'!$AT$75)</f>
        <v>0</v>
      </c>
      <c r="AU92" s="6">
        <f>SUMIFS(Timesheet!$F$13:$F$11461,Timesheet!$A$13:$A$11461,'Mês 1'!AQ92,Timesheet!$C$13:$C$11461,'Mês 1'!$AU$75)</f>
        <v>0</v>
      </c>
      <c r="AV92" s="6">
        <f>SUMIFS(Timesheet!$F$13:$F$11461,Timesheet!$A$13:$A$11461,'Mês 1'!AQ92,Timesheet!$C$13:$C$11461,'Mês 1'!$AV$75)</f>
        <v>0</v>
      </c>
      <c r="AW92" s="6">
        <f>SUMIFS(Timesheet!$F$13:$F$11461,Timesheet!$A$13:$A$11461,'Mês 1'!AQ92,Timesheet!$C$13:$C$11461,'Mês 1'!$AW$75)</f>
        <v>0</v>
      </c>
      <c r="AX92" s="6">
        <f>SUMIFS(Timesheet!$F$13:$F$11461,Timesheet!$A$13:$A$11461,'Mês 1'!AQ92,Timesheet!$C$13:$C$11461,'Mês 1'!$AX$75)</f>
        <v>0</v>
      </c>
      <c r="AY92" s="6">
        <f>SUMIFS(Timesheet!$F$13:$F$11461,Timesheet!$A$13:$A$11461,'Mês 1'!AQ92,Timesheet!$C$13:$C$11461,'Mês 1'!$AY$75)</f>
        <v>0</v>
      </c>
      <c r="AZ92" s="6">
        <f>SUMIFS(Timesheet!$F$13:$F$11461,Timesheet!$A$13:$A$11461,'Mês 1'!AQ92,Timesheet!$C$13:$C$11461,'Mês 1'!$AZ$75)</f>
        <v>0</v>
      </c>
      <c r="BA92" s="6">
        <f t="shared" si="18"/>
        <v>0</v>
      </c>
      <c r="BB92" s="6">
        <f t="array" ref="BB92">MIN(IF(Timesheet!$A$13:$A$11483='Mês 1'!AQ92,Timesheet!$D$13:$D$11483))</f>
        <v>0</v>
      </c>
      <c r="BC92" s="6">
        <f t="array" ref="BC92">MAX(IF(Timesheet!$A$13:$A$11483='Mês 1'!AQ92,Timesheet!$E$13:$E$11483))</f>
        <v>0</v>
      </c>
      <c r="BE92" s="1">
        <v>45277</v>
      </c>
      <c r="BF92" s="6">
        <f>SUMIFS(Timesheet!$F$13:$F$11461,Timesheet!$A$13:$A$11461,'Mês 1'!BE92,Timesheet!$C$13:$C$11461,'Mês 1'!$BF$75)</f>
        <v>0</v>
      </c>
      <c r="BG92" s="6">
        <f>SUMIFS(Timesheet!$F$13:$F$11461,Timesheet!$A$13:$A$11461,'Mês 1'!BE92,Timesheet!$C$13:$C$11461,'Mês 1'!$BG$75)</f>
        <v>0</v>
      </c>
      <c r="BH92" s="6">
        <f>SUMIFS(Timesheet!$F$13:$F$11461,Timesheet!$A$13:$A$11461,'Mês 1'!BE92,Timesheet!$C$13:$C$11461,'Mês 1'!$BH$75)</f>
        <v>0</v>
      </c>
      <c r="BI92" s="6">
        <f>SUMIFS(Timesheet!$F$13:$F$11461,Timesheet!$A$13:$A$11461,'Mês 1'!BE92,Timesheet!$C$13:$C$11461,'Mês 1'!$BI$75)</f>
        <v>0</v>
      </c>
      <c r="BJ92" s="6">
        <f>SUMIFS(Timesheet!$F$13:$F$11461,Timesheet!$A$13:$A$11461,'Mês 1'!BE92,Timesheet!$C$13:$C$11461,'Mês 1'!$BJ$75)</f>
        <v>0</v>
      </c>
      <c r="BK92" s="6">
        <f>SUMIFS(Timesheet!$F$13:$F$11461,Timesheet!$A$13:$A$11461,'Mês 1'!BE92,Timesheet!$C$13:$C$11461,'Mês 1'!$BK$75)</f>
        <v>0</v>
      </c>
      <c r="BL92" s="6">
        <f>SUMIFS(Timesheet!$F$13:$F$11461,Timesheet!$A$13:$A$11461,'Mês 1'!BE92,Timesheet!$C$13:$C$11461,'Mês 1'!$BL$75)</f>
        <v>0</v>
      </c>
      <c r="BM92" s="6">
        <f>SUMIFS(Timesheet!$F$13:$F$11461,Timesheet!$A$13:$A$11461,'Mês 1'!BE92,Timesheet!$C$13:$C$11461,'Mês 1'!$BM$75)</f>
        <v>0</v>
      </c>
      <c r="BN92" s="6">
        <f>SUMIFS(Timesheet!$F$13:$F$11461,Timesheet!$A$13:$A$11461,'Mês 1'!BE92,Timesheet!$C$13:$C$11461,'Mês 1'!$BN$75)</f>
        <v>0</v>
      </c>
      <c r="BO92" s="6">
        <f t="shared" si="19"/>
        <v>0</v>
      </c>
      <c r="BP92" s="6">
        <f t="array" ref="BP92">MIN(IF(Timesheet!$A$13:$A$11483='Mês 1'!BE92,Timesheet!$D$13:$D$11483))</f>
        <v>0</v>
      </c>
      <c r="BQ92" s="6">
        <f t="array" ref="BQ92">MAX(IF(Timesheet!$A$13:$A$11483='Mês 1'!BE92,Timesheet!$E$13:$E$11483))</f>
        <v>0</v>
      </c>
    </row>
    <row r="93" spans="1:69" x14ac:dyDescent="0.25">
      <c r="A93" s="1">
        <v>45034</v>
      </c>
      <c r="B93" s="6">
        <f>SUMIFS(Timesheet!$F$13:$F$11461,Timesheet!$A$13:$A$11461,'Mês 1'!A93,Timesheet!$C$13:$C$11461,'Mês 1'!$B$75)</f>
        <v>0</v>
      </c>
      <c r="C93" s="6">
        <f>SUMIFS(Timesheet!$F$13:$F$11461,Timesheet!$A$13:$A$11461,'Mês 1'!A93,Timesheet!$C$13:$C$11461,'Mês 1'!$C$75)</f>
        <v>0</v>
      </c>
      <c r="D93" s="6">
        <f>SUMIFS(Timesheet!$F$13:$F$11461,Timesheet!$A$13:$A$11461,'Mês 1'!A93,Timesheet!$C$13:$C$11461,'Mês 1'!$D$75)</f>
        <v>0</v>
      </c>
      <c r="E93" s="6">
        <f>SUMIFS(Timesheet!$F$13:$F$11461,Timesheet!$A$13:$A$11461,'Mês 1'!A93,Timesheet!$C$13:$C$11461,'Mês 1'!$E$75)</f>
        <v>0</v>
      </c>
      <c r="F93" s="6">
        <f>SUMIFS(Timesheet!$F$13:$F$11461,Timesheet!$A$13:$A$11461,'Mês 1'!A93,Timesheet!$C$13:$C$11461,'Mês 1'!$F$75)</f>
        <v>0</v>
      </c>
      <c r="G93" s="6">
        <f>SUMIFS(Timesheet!$F$13:$F$11461,Timesheet!$A$13:$A$11461,'Mês 1'!A93,Timesheet!$C$13:$C$11461,'Mês 1'!$G$75)</f>
        <v>0</v>
      </c>
      <c r="H93" s="6">
        <f>SUMIFS(Timesheet!$F$13:$F$11461,Timesheet!$A$13:$A$11461,'Mês 1'!A93,Timesheet!$C$13:$C$11461,'Mês 1'!$H$75)</f>
        <v>0</v>
      </c>
      <c r="I93" s="6">
        <f>SUMIFS(Timesheet!$F$13:$F$11461,Timesheet!$A$13:$A$11461,'Mês 1'!A93,Timesheet!$C$13:$C$11461,'Mês 1'!$I$75)</f>
        <v>0</v>
      </c>
      <c r="J93" s="6">
        <f>SUMIFS(Timesheet!$F$13:$F$11461,Timesheet!$A$13:$A$11461,'Mês 1'!A93,Timesheet!$C$13:$C$11461,'Mês 1'!$J$75)</f>
        <v>0</v>
      </c>
      <c r="K93" s="6">
        <f t="shared" si="15"/>
        <v>0</v>
      </c>
      <c r="L93" s="6">
        <f t="array" ref="L93">MIN(IF(Timesheet!$A$13:$A$11483='Mês 1'!A93,Timesheet!$D$13:$D$11483))</f>
        <v>0</v>
      </c>
      <c r="M93" s="6">
        <f t="array" ref="M93">MAX(IF(Timesheet!$A$13:$A$11483='Mês 1'!A93,Timesheet!$E$13:$E$11483))</f>
        <v>0</v>
      </c>
      <c r="O93" s="1">
        <v>45095</v>
      </c>
      <c r="P93" s="6">
        <f>SUMIFS(Timesheet!$F$13:$F$11461,Timesheet!$A$13:$A$11461,'Mês 1'!O93,Timesheet!$C$13:$C$11461,'Mês 1'!$P$75)</f>
        <v>0</v>
      </c>
      <c r="Q93" s="6">
        <f>SUMIFS(Timesheet!$F$13:$F$11461,Timesheet!$A$13:$A$11461,'Mês 1'!O93,Timesheet!$C$13:$C$11461,'Mês 1'!$Q$75)</f>
        <v>0</v>
      </c>
      <c r="R93" s="6">
        <f>SUMIFS(Timesheet!$F$13:$F$11461,Timesheet!$A$13:$A$11461,'Mês 1'!O93,Timesheet!$C$13:$C$11461,'Mês 1'!$R$75)</f>
        <v>0</v>
      </c>
      <c r="S93" s="6">
        <f>SUMIFS(Timesheet!$F$13:$F$11461,Timesheet!$A$13:$A$11461,'Mês 1'!O93,Timesheet!$C$13:$C$11461,'Mês 1'!$S$75)</f>
        <v>0</v>
      </c>
      <c r="T93" s="6">
        <f>SUMIFS(Timesheet!$F$13:$F$11461,Timesheet!$A$13:$A$11461,'Mês 1'!O93,Timesheet!$C$13:$C$11461,'Mês 1'!$T$75)</f>
        <v>0</v>
      </c>
      <c r="U93" s="6">
        <f>SUMIFS(Timesheet!$F$13:$F$11461,Timesheet!$A$13:$A$11461,'Mês 1'!O93,Timesheet!$C$13:$C$11461,'Mês 1'!$U$75)</f>
        <v>0</v>
      </c>
      <c r="V93" s="6">
        <f>SUMIFS(Timesheet!$F$13:$F$11461,Timesheet!$A$13:$A$11461,'Mês 1'!O93,Timesheet!$C$13:$C$11461,'Mês 1'!$V$75)</f>
        <v>0</v>
      </c>
      <c r="W93" s="6">
        <f>SUMIFS(Timesheet!$F$13:$F$11461,Timesheet!$A$13:$A$11461,'Mês 1'!O93,Timesheet!$C$13:$C$11461,'Mês 1'!$W$75)</f>
        <v>0</v>
      </c>
      <c r="X93" s="6">
        <f>SUMIFS(Timesheet!$F$13:$F$11461,Timesheet!$A$13:$A$11461,'Mês 1'!O93,Timesheet!$C$13:$C$11461,'Mês 1'!$X$75)</f>
        <v>0</v>
      </c>
      <c r="Y93" s="6">
        <f t="shared" si="16"/>
        <v>0</v>
      </c>
      <c r="Z93" s="6">
        <f t="array" ref="Z93">MIN(IF(Timesheet!$A$13:$A$11483='Mês 1'!O93,Timesheet!$D$13:$D$11483))</f>
        <v>0</v>
      </c>
      <c r="AA93" s="6">
        <f t="array" ref="AA93">MAX(IF(Timesheet!$A$13:$A$11483='Mês 1'!O93,Timesheet!$E$13:$E$11483))</f>
        <v>0</v>
      </c>
      <c r="AC93" s="1">
        <v>45156</v>
      </c>
      <c r="AD93" s="6">
        <f>SUMIFS(Timesheet!$F$13:$F$11461,Timesheet!$A$13:$A$11461,'Mês 1'!AC93,Timesheet!$C$13:$C$11461,'Mês 1'!$AD$75)</f>
        <v>0</v>
      </c>
      <c r="AE93" s="6">
        <f>SUMIFS(Timesheet!$F$13:$F$11461,Timesheet!$A$13:$A$11461,'Mês 1'!AC93,Timesheet!$C$13:$C$11461,'Mês 1'!$AE$75)</f>
        <v>0</v>
      </c>
      <c r="AF93" s="6">
        <f>SUMIFS(Timesheet!$F$13:$F$11461,Timesheet!$A$13:$A$11461,'Mês 1'!AC93,Timesheet!$C$13:$C$11461,'Mês 1'!$AF$75)</f>
        <v>0</v>
      </c>
      <c r="AG93" s="6">
        <f>SUMIFS(Timesheet!$F$13:$F$11461,Timesheet!$A$13:$A$11461,'Mês 1'!AC93,Timesheet!$C$13:$C$11461,'Mês 1'!$AG$75)</f>
        <v>0</v>
      </c>
      <c r="AH93" s="6">
        <f>SUMIFS(Timesheet!$F$13:$F$11461,Timesheet!$A$13:$A$11461,'Mês 1'!AC93,Timesheet!$C$13:$C$11461,'Mês 1'!$AH$75)</f>
        <v>0</v>
      </c>
      <c r="AI93" s="6">
        <f>SUMIFS(Timesheet!$F$13:$F$11461,Timesheet!$A$13:$A$11461,'Mês 1'!AC93,Timesheet!$C$13:$C$11461,'Mês 1'!$AI$75)</f>
        <v>0</v>
      </c>
      <c r="AJ93" s="6">
        <f>SUMIFS(Timesheet!$F$13:$F$11461,Timesheet!$A$13:$A$11461,'Mês 1'!AC93,Timesheet!$C$13:$C$11461,'Mês 1'!AJ$75)</f>
        <v>0</v>
      </c>
      <c r="AK93" s="6">
        <f>SUMIFS(Timesheet!$F$13:$F$11461,Timesheet!$A$13:$A$11461,'Mês 1'!AC93,Timesheet!$C$13:$C$11461,'Mês 1'!$AK$75)</f>
        <v>0</v>
      </c>
      <c r="AL93" s="6">
        <f>SUMIFS(Timesheet!$F$13:$F$11461,Timesheet!$A$13:$A$11461,'Mês 1'!AC93,Timesheet!$C$13:$C$11461,'Mês 1'!$AL$75)</f>
        <v>0</v>
      </c>
      <c r="AM93" s="6">
        <f t="shared" si="17"/>
        <v>0</v>
      </c>
      <c r="AN93" s="6">
        <f t="array" ref="AN93">MIN(IF(Timesheet!$A$13:$A$11483='Mês 1'!AC93,Timesheet!$D$13:$D$11483))</f>
        <v>0</v>
      </c>
      <c r="AO93" s="6">
        <f t="array" ref="AO93">MAX(IF(Timesheet!$A$13:$A$11483='Mês 1'!AC93,Timesheet!$E$13:$E$11483))</f>
        <v>0</v>
      </c>
      <c r="AQ93" s="1">
        <v>45217</v>
      </c>
      <c r="AR93" s="6">
        <f>SUMIFS(Timesheet!$F$13:$F$11461,Timesheet!$A$13:$A$11461,'Mês 1'!AQ93,Timesheet!$C$13:$C$11461,'Mês 1'!$AR$75)</f>
        <v>0</v>
      </c>
      <c r="AS93" s="6">
        <f>SUMIFS(Timesheet!$F$13:$F$11461,Timesheet!$A$13:$A$11461,'Mês 1'!AQ93,Timesheet!$C$13:$C$11461,'Mês 1'!$AS$75)</f>
        <v>0</v>
      </c>
      <c r="AT93" s="6">
        <f>SUMIFS(Timesheet!$F$13:$F$11461,Timesheet!$A$13:$A$11461,'Mês 1'!AQ93,Timesheet!$C$13:$C$11461,'Mês 1'!$AT$75)</f>
        <v>0</v>
      </c>
      <c r="AU93" s="6">
        <f>SUMIFS(Timesheet!$F$13:$F$11461,Timesheet!$A$13:$A$11461,'Mês 1'!AQ93,Timesheet!$C$13:$C$11461,'Mês 1'!$AU$75)</f>
        <v>0</v>
      </c>
      <c r="AV93" s="6">
        <f>SUMIFS(Timesheet!$F$13:$F$11461,Timesheet!$A$13:$A$11461,'Mês 1'!AQ93,Timesheet!$C$13:$C$11461,'Mês 1'!$AV$75)</f>
        <v>0</v>
      </c>
      <c r="AW93" s="6">
        <f>SUMIFS(Timesheet!$F$13:$F$11461,Timesheet!$A$13:$A$11461,'Mês 1'!AQ93,Timesheet!$C$13:$C$11461,'Mês 1'!$AW$75)</f>
        <v>0</v>
      </c>
      <c r="AX93" s="6">
        <f>SUMIFS(Timesheet!$F$13:$F$11461,Timesheet!$A$13:$A$11461,'Mês 1'!AQ93,Timesheet!$C$13:$C$11461,'Mês 1'!$AX$75)</f>
        <v>0</v>
      </c>
      <c r="AY93" s="6">
        <f>SUMIFS(Timesheet!$F$13:$F$11461,Timesheet!$A$13:$A$11461,'Mês 1'!AQ93,Timesheet!$C$13:$C$11461,'Mês 1'!$AY$75)</f>
        <v>0</v>
      </c>
      <c r="AZ93" s="6">
        <f>SUMIFS(Timesheet!$F$13:$F$11461,Timesheet!$A$13:$A$11461,'Mês 1'!AQ93,Timesheet!$C$13:$C$11461,'Mês 1'!$AZ$75)</f>
        <v>0</v>
      </c>
      <c r="BA93" s="6">
        <f t="shared" si="18"/>
        <v>0</v>
      </c>
      <c r="BB93" s="6">
        <f t="array" ref="BB93">MIN(IF(Timesheet!$A$13:$A$11483='Mês 1'!AQ93,Timesheet!$D$13:$D$11483))</f>
        <v>0</v>
      </c>
      <c r="BC93" s="6">
        <f t="array" ref="BC93">MAX(IF(Timesheet!$A$13:$A$11483='Mês 1'!AQ93,Timesheet!$E$13:$E$11483))</f>
        <v>0</v>
      </c>
      <c r="BE93" s="1">
        <v>45278</v>
      </c>
      <c r="BF93" s="6">
        <f>SUMIFS(Timesheet!$F$13:$F$11461,Timesheet!$A$13:$A$11461,'Mês 1'!BE93,Timesheet!$C$13:$C$11461,'Mês 1'!$BF$75)</f>
        <v>0</v>
      </c>
      <c r="BG93" s="6">
        <f>SUMIFS(Timesheet!$F$13:$F$11461,Timesheet!$A$13:$A$11461,'Mês 1'!BE93,Timesheet!$C$13:$C$11461,'Mês 1'!$BG$75)</f>
        <v>0</v>
      </c>
      <c r="BH93" s="6">
        <f>SUMIFS(Timesheet!$F$13:$F$11461,Timesheet!$A$13:$A$11461,'Mês 1'!BE93,Timesheet!$C$13:$C$11461,'Mês 1'!$BH$75)</f>
        <v>0</v>
      </c>
      <c r="BI93" s="6">
        <f>SUMIFS(Timesheet!$F$13:$F$11461,Timesheet!$A$13:$A$11461,'Mês 1'!BE93,Timesheet!$C$13:$C$11461,'Mês 1'!$BI$75)</f>
        <v>0</v>
      </c>
      <c r="BJ93" s="6">
        <f>SUMIFS(Timesheet!$F$13:$F$11461,Timesheet!$A$13:$A$11461,'Mês 1'!BE93,Timesheet!$C$13:$C$11461,'Mês 1'!$BJ$75)</f>
        <v>0</v>
      </c>
      <c r="BK93" s="6">
        <f>SUMIFS(Timesheet!$F$13:$F$11461,Timesheet!$A$13:$A$11461,'Mês 1'!BE93,Timesheet!$C$13:$C$11461,'Mês 1'!$BK$75)</f>
        <v>0</v>
      </c>
      <c r="BL93" s="6">
        <f>SUMIFS(Timesheet!$F$13:$F$11461,Timesheet!$A$13:$A$11461,'Mês 1'!BE93,Timesheet!$C$13:$C$11461,'Mês 1'!$BL$75)</f>
        <v>0</v>
      </c>
      <c r="BM93" s="6">
        <f>SUMIFS(Timesheet!$F$13:$F$11461,Timesheet!$A$13:$A$11461,'Mês 1'!BE93,Timesheet!$C$13:$C$11461,'Mês 1'!$BM$75)</f>
        <v>0</v>
      </c>
      <c r="BN93" s="6">
        <f>SUMIFS(Timesheet!$F$13:$F$11461,Timesheet!$A$13:$A$11461,'Mês 1'!BE93,Timesheet!$C$13:$C$11461,'Mês 1'!$BN$75)</f>
        <v>0</v>
      </c>
      <c r="BO93" s="6">
        <f t="shared" si="19"/>
        <v>0</v>
      </c>
      <c r="BP93" s="6">
        <f t="array" ref="BP93">MIN(IF(Timesheet!$A$13:$A$11483='Mês 1'!BE93,Timesheet!$D$13:$D$11483))</f>
        <v>0</v>
      </c>
      <c r="BQ93" s="6">
        <f t="array" ref="BQ93">MAX(IF(Timesheet!$A$13:$A$11483='Mês 1'!BE93,Timesheet!$E$13:$E$11483))</f>
        <v>0</v>
      </c>
    </row>
    <row r="94" spans="1:69" x14ac:dyDescent="0.25">
      <c r="A94" s="1">
        <v>45035</v>
      </c>
      <c r="B94" s="6">
        <f>SUMIFS(Timesheet!$F$13:$F$11461,Timesheet!$A$13:$A$11461,'Mês 1'!A94,Timesheet!$C$13:$C$11461,'Mês 1'!$B$75)</f>
        <v>0</v>
      </c>
      <c r="C94" s="6">
        <f>SUMIFS(Timesheet!$F$13:$F$11461,Timesheet!$A$13:$A$11461,'Mês 1'!A94,Timesheet!$C$13:$C$11461,'Mês 1'!$C$75)</f>
        <v>0</v>
      </c>
      <c r="D94" s="6">
        <f>SUMIFS(Timesheet!$F$13:$F$11461,Timesheet!$A$13:$A$11461,'Mês 1'!A94,Timesheet!$C$13:$C$11461,'Mês 1'!$D$75)</f>
        <v>0</v>
      </c>
      <c r="E94" s="6">
        <f>SUMIFS(Timesheet!$F$13:$F$11461,Timesheet!$A$13:$A$11461,'Mês 1'!A94,Timesheet!$C$13:$C$11461,'Mês 1'!$E$75)</f>
        <v>0</v>
      </c>
      <c r="F94" s="6">
        <f>SUMIFS(Timesheet!$F$13:$F$11461,Timesheet!$A$13:$A$11461,'Mês 1'!A94,Timesheet!$C$13:$C$11461,'Mês 1'!$F$75)</f>
        <v>0</v>
      </c>
      <c r="G94" s="6">
        <f>SUMIFS(Timesheet!$F$13:$F$11461,Timesheet!$A$13:$A$11461,'Mês 1'!A94,Timesheet!$C$13:$C$11461,'Mês 1'!$G$75)</f>
        <v>0</v>
      </c>
      <c r="H94" s="6">
        <f>SUMIFS(Timesheet!$F$13:$F$11461,Timesheet!$A$13:$A$11461,'Mês 1'!A94,Timesheet!$C$13:$C$11461,'Mês 1'!$H$75)</f>
        <v>0</v>
      </c>
      <c r="I94" s="6">
        <f>SUMIFS(Timesheet!$F$13:$F$11461,Timesheet!$A$13:$A$11461,'Mês 1'!A94,Timesheet!$C$13:$C$11461,'Mês 1'!$I$75)</f>
        <v>0</v>
      </c>
      <c r="J94" s="6">
        <f>SUMIFS(Timesheet!$F$13:$F$11461,Timesheet!$A$13:$A$11461,'Mês 1'!A94,Timesheet!$C$13:$C$11461,'Mês 1'!$J$75)</f>
        <v>0</v>
      </c>
      <c r="K94" s="6">
        <f t="shared" si="15"/>
        <v>0</v>
      </c>
      <c r="L94" s="6">
        <f t="array" ref="L94">MIN(IF(Timesheet!$A$13:$A$11483='Mês 1'!A94,Timesheet!$D$13:$D$11483))</f>
        <v>0</v>
      </c>
      <c r="M94" s="6">
        <f t="array" ref="M94">MAX(IF(Timesheet!$A$13:$A$11483='Mês 1'!A94,Timesheet!$E$13:$E$11483))</f>
        <v>0</v>
      </c>
      <c r="O94" s="1">
        <v>45096</v>
      </c>
      <c r="P94" s="6">
        <f>SUMIFS(Timesheet!$F$13:$F$11461,Timesheet!$A$13:$A$11461,'Mês 1'!O94,Timesheet!$C$13:$C$11461,'Mês 1'!$P$75)</f>
        <v>0</v>
      </c>
      <c r="Q94" s="6">
        <f>SUMIFS(Timesheet!$F$13:$F$11461,Timesheet!$A$13:$A$11461,'Mês 1'!O94,Timesheet!$C$13:$C$11461,'Mês 1'!$Q$75)</f>
        <v>0</v>
      </c>
      <c r="R94" s="6">
        <f>SUMIFS(Timesheet!$F$13:$F$11461,Timesheet!$A$13:$A$11461,'Mês 1'!O94,Timesheet!$C$13:$C$11461,'Mês 1'!$R$75)</f>
        <v>0</v>
      </c>
      <c r="S94" s="6">
        <f>SUMIFS(Timesheet!$F$13:$F$11461,Timesheet!$A$13:$A$11461,'Mês 1'!O94,Timesheet!$C$13:$C$11461,'Mês 1'!$S$75)</f>
        <v>0</v>
      </c>
      <c r="T94" s="6">
        <f>SUMIFS(Timesheet!$F$13:$F$11461,Timesheet!$A$13:$A$11461,'Mês 1'!O94,Timesheet!$C$13:$C$11461,'Mês 1'!$T$75)</f>
        <v>0</v>
      </c>
      <c r="U94" s="6">
        <f>SUMIFS(Timesheet!$F$13:$F$11461,Timesheet!$A$13:$A$11461,'Mês 1'!O94,Timesheet!$C$13:$C$11461,'Mês 1'!$U$75)</f>
        <v>0</v>
      </c>
      <c r="V94" s="6">
        <f>SUMIFS(Timesheet!$F$13:$F$11461,Timesheet!$A$13:$A$11461,'Mês 1'!O94,Timesheet!$C$13:$C$11461,'Mês 1'!$V$75)</f>
        <v>0</v>
      </c>
      <c r="W94" s="6">
        <f>SUMIFS(Timesheet!$F$13:$F$11461,Timesheet!$A$13:$A$11461,'Mês 1'!O94,Timesheet!$C$13:$C$11461,'Mês 1'!$W$75)</f>
        <v>0</v>
      </c>
      <c r="X94" s="6">
        <f>SUMIFS(Timesheet!$F$13:$F$11461,Timesheet!$A$13:$A$11461,'Mês 1'!O94,Timesheet!$C$13:$C$11461,'Mês 1'!$X$75)</f>
        <v>0</v>
      </c>
      <c r="Y94" s="6">
        <f t="shared" si="16"/>
        <v>0</v>
      </c>
      <c r="Z94" s="6">
        <f t="array" ref="Z94">MIN(IF(Timesheet!$A$13:$A$11483='Mês 1'!O94,Timesheet!$D$13:$D$11483))</f>
        <v>0</v>
      </c>
      <c r="AA94" s="6">
        <f t="array" ref="AA94">MAX(IF(Timesheet!$A$13:$A$11483='Mês 1'!O94,Timesheet!$E$13:$E$11483))</f>
        <v>0</v>
      </c>
      <c r="AC94" s="1">
        <v>45157</v>
      </c>
      <c r="AD94" s="6">
        <f>SUMIFS(Timesheet!$F$13:$F$11461,Timesheet!$A$13:$A$11461,'Mês 1'!AC94,Timesheet!$C$13:$C$11461,'Mês 1'!$AD$75)</f>
        <v>0</v>
      </c>
      <c r="AE94" s="6">
        <f>SUMIFS(Timesheet!$F$13:$F$11461,Timesheet!$A$13:$A$11461,'Mês 1'!AC94,Timesheet!$C$13:$C$11461,'Mês 1'!$AE$75)</f>
        <v>0</v>
      </c>
      <c r="AF94" s="6">
        <f>SUMIFS(Timesheet!$F$13:$F$11461,Timesheet!$A$13:$A$11461,'Mês 1'!AC94,Timesheet!$C$13:$C$11461,'Mês 1'!$AF$75)</f>
        <v>0</v>
      </c>
      <c r="AG94" s="6">
        <f>SUMIFS(Timesheet!$F$13:$F$11461,Timesheet!$A$13:$A$11461,'Mês 1'!AC94,Timesheet!$C$13:$C$11461,'Mês 1'!$AG$75)</f>
        <v>0</v>
      </c>
      <c r="AH94" s="6">
        <f>SUMIFS(Timesheet!$F$13:$F$11461,Timesheet!$A$13:$A$11461,'Mês 1'!AC94,Timesheet!$C$13:$C$11461,'Mês 1'!$AH$75)</f>
        <v>0</v>
      </c>
      <c r="AI94" s="6">
        <f>SUMIFS(Timesheet!$F$13:$F$11461,Timesheet!$A$13:$A$11461,'Mês 1'!AC94,Timesheet!$C$13:$C$11461,'Mês 1'!$AI$75)</f>
        <v>0</v>
      </c>
      <c r="AJ94" s="6">
        <f>SUMIFS(Timesheet!$F$13:$F$11461,Timesheet!$A$13:$A$11461,'Mês 1'!AC94,Timesheet!$C$13:$C$11461,'Mês 1'!AJ$75)</f>
        <v>0</v>
      </c>
      <c r="AK94" s="6">
        <f>SUMIFS(Timesheet!$F$13:$F$11461,Timesheet!$A$13:$A$11461,'Mês 1'!AC94,Timesheet!$C$13:$C$11461,'Mês 1'!$AK$75)</f>
        <v>0</v>
      </c>
      <c r="AL94" s="6">
        <f>SUMIFS(Timesheet!$F$13:$F$11461,Timesheet!$A$13:$A$11461,'Mês 1'!AC94,Timesheet!$C$13:$C$11461,'Mês 1'!$AL$75)</f>
        <v>0</v>
      </c>
      <c r="AM94" s="6">
        <f t="shared" si="17"/>
        <v>0</v>
      </c>
      <c r="AN94" s="6">
        <f t="array" ref="AN94">MIN(IF(Timesheet!$A$13:$A$11483='Mês 1'!AC94,Timesheet!$D$13:$D$11483))</f>
        <v>0</v>
      </c>
      <c r="AO94" s="6">
        <f t="array" ref="AO94">MAX(IF(Timesheet!$A$13:$A$11483='Mês 1'!AC94,Timesheet!$E$13:$E$11483))</f>
        <v>0</v>
      </c>
      <c r="AQ94" s="1">
        <v>45218</v>
      </c>
      <c r="AR94" s="6">
        <f>SUMIFS(Timesheet!$F$13:$F$11461,Timesheet!$A$13:$A$11461,'Mês 1'!AQ94,Timesheet!$C$13:$C$11461,'Mês 1'!$AR$75)</f>
        <v>0</v>
      </c>
      <c r="AS94" s="6">
        <f>SUMIFS(Timesheet!$F$13:$F$11461,Timesheet!$A$13:$A$11461,'Mês 1'!AQ94,Timesheet!$C$13:$C$11461,'Mês 1'!$AS$75)</f>
        <v>0</v>
      </c>
      <c r="AT94" s="6">
        <f>SUMIFS(Timesheet!$F$13:$F$11461,Timesheet!$A$13:$A$11461,'Mês 1'!AQ94,Timesheet!$C$13:$C$11461,'Mês 1'!$AT$75)</f>
        <v>0</v>
      </c>
      <c r="AU94" s="6">
        <f>SUMIFS(Timesheet!$F$13:$F$11461,Timesheet!$A$13:$A$11461,'Mês 1'!AQ94,Timesheet!$C$13:$C$11461,'Mês 1'!$AU$75)</f>
        <v>0</v>
      </c>
      <c r="AV94" s="6">
        <f>SUMIFS(Timesheet!$F$13:$F$11461,Timesheet!$A$13:$A$11461,'Mês 1'!AQ94,Timesheet!$C$13:$C$11461,'Mês 1'!$AV$75)</f>
        <v>0</v>
      </c>
      <c r="AW94" s="6">
        <f>SUMIFS(Timesheet!$F$13:$F$11461,Timesheet!$A$13:$A$11461,'Mês 1'!AQ94,Timesheet!$C$13:$C$11461,'Mês 1'!$AW$75)</f>
        <v>0</v>
      </c>
      <c r="AX94" s="6">
        <f>SUMIFS(Timesheet!$F$13:$F$11461,Timesheet!$A$13:$A$11461,'Mês 1'!AQ94,Timesheet!$C$13:$C$11461,'Mês 1'!$AX$75)</f>
        <v>0</v>
      </c>
      <c r="AY94" s="6">
        <f>SUMIFS(Timesheet!$F$13:$F$11461,Timesheet!$A$13:$A$11461,'Mês 1'!AQ94,Timesheet!$C$13:$C$11461,'Mês 1'!$AY$75)</f>
        <v>0</v>
      </c>
      <c r="AZ94" s="6">
        <f>SUMIFS(Timesheet!$F$13:$F$11461,Timesheet!$A$13:$A$11461,'Mês 1'!AQ94,Timesheet!$C$13:$C$11461,'Mês 1'!$AZ$75)</f>
        <v>0</v>
      </c>
      <c r="BA94" s="6">
        <f t="shared" si="18"/>
        <v>0</v>
      </c>
      <c r="BB94" s="6">
        <f t="array" ref="BB94">MIN(IF(Timesheet!$A$13:$A$11483='Mês 1'!AQ94,Timesheet!$D$13:$D$11483))</f>
        <v>0</v>
      </c>
      <c r="BC94" s="6">
        <f t="array" ref="BC94">MAX(IF(Timesheet!$A$13:$A$11483='Mês 1'!AQ94,Timesheet!$E$13:$E$11483))</f>
        <v>0</v>
      </c>
      <c r="BE94" s="1">
        <v>45279</v>
      </c>
      <c r="BF94" s="6">
        <f>SUMIFS(Timesheet!$F$13:$F$11461,Timesheet!$A$13:$A$11461,'Mês 1'!BE94,Timesheet!$C$13:$C$11461,'Mês 1'!$BF$75)</f>
        <v>0</v>
      </c>
      <c r="BG94" s="6">
        <f>SUMIFS(Timesheet!$F$13:$F$11461,Timesheet!$A$13:$A$11461,'Mês 1'!BE94,Timesheet!$C$13:$C$11461,'Mês 1'!$BG$75)</f>
        <v>0</v>
      </c>
      <c r="BH94" s="6">
        <f>SUMIFS(Timesheet!$F$13:$F$11461,Timesheet!$A$13:$A$11461,'Mês 1'!BE94,Timesheet!$C$13:$C$11461,'Mês 1'!$BH$75)</f>
        <v>0</v>
      </c>
      <c r="BI94" s="6">
        <f>SUMIFS(Timesheet!$F$13:$F$11461,Timesheet!$A$13:$A$11461,'Mês 1'!BE94,Timesheet!$C$13:$C$11461,'Mês 1'!$BI$75)</f>
        <v>0</v>
      </c>
      <c r="BJ94" s="6">
        <f>SUMIFS(Timesheet!$F$13:$F$11461,Timesheet!$A$13:$A$11461,'Mês 1'!BE94,Timesheet!$C$13:$C$11461,'Mês 1'!$BJ$75)</f>
        <v>0</v>
      </c>
      <c r="BK94" s="6">
        <f>SUMIFS(Timesheet!$F$13:$F$11461,Timesheet!$A$13:$A$11461,'Mês 1'!BE94,Timesheet!$C$13:$C$11461,'Mês 1'!$BK$75)</f>
        <v>0</v>
      </c>
      <c r="BL94" s="6">
        <f>SUMIFS(Timesheet!$F$13:$F$11461,Timesheet!$A$13:$A$11461,'Mês 1'!BE94,Timesheet!$C$13:$C$11461,'Mês 1'!$BL$75)</f>
        <v>0</v>
      </c>
      <c r="BM94" s="6">
        <f>SUMIFS(Timesheet!$F$13:$F$11461,Timesheet!$A$13:$A$11461,'Mês 1'!BE94,Timesheet!$C$13:$C$11461,'Mês 1'!$BM$75)</f>
        <v>0</v>
      </c>
      <c r="BN94" s="6">
        <f>SUMIFS(Timesheet!$F$13:$F$11461,Timesheet!$A$13:$A$11461,'Mês 1'!BE94,Timesheet!$C$13:$C$11461,'Mês 1'!$BN$75)</f>
        <v>0</v>
      </c>
      <c r="BO94" s="6">
        <f t="shared" si="19"/>
        <v>0</v>
      </c>
      <c r="BP94" s="6">
        <f t="array" ref="BP94">MIN(IF(Timesheet!$A$13:$A$11483='Mês 1'!BE94,Timesheet!$D$13:$D$11483))</f>
        <v>0</v>
      </c>
      <c r="BQ94" s="6">
        <f t="array" ref="BQ94">MAX(IF(Timesheet!$A$13:$A$11483='Mês 1'!BE94,Timesheet!$E$13:$E$11483))</f>
        <v>0</v>
      </c>
    </row>
    <row r="95" spans="1:69" x14ac:dyDescent="0.25">
      <c r="A95" s="1">
        <v>45036</v>
      </c>
      <c r="B95" s="6">
        <f>SUMIFS(Timesheet!$F$13:$F$11461,Timesheet!$A$13:$A$11461,'Mês 1'!A95,Timesheet!$C$13:$C$11461,'Mês 1'!$B$75)</f>
        <v>0</v>
      </c>
      <c r="C95" s="6">
        <f>SUMIFS(Timesheet!$F$13:$F$11461,Timesheet!$A$13:$A$11461,'Mês 1'!A95,Timesheet!$C$13:$C$11461,'Mês 1'!$C$75)</f>
        <v>0</v>
      </c>
      <c r="D95" s="6">
        <f>SUMIFS(Timesheet!$F$13:$F$11461,Timesheet!$A$13:$A$11461,'Mês 1'!A95,Timesheet!$C$13:$C$11461,'Mês 1'!$D$75)</f>
        <v>0</v>
      </c>
      <c r="E95" s="6">
        <f>SUMIFS(Timesheet!$F$13:$F$11461,Timesheet!$A$13:$A$11461,'Mês 1'!A95,Timesheet!$C$13:$C$11461,'Mês 1'!$E$75)</f>
        <v>0</v>
      </c>
      <c r="F95" s="6">
        <f>SUMIFS(Timesheet!$F$13:$F$11461,Timesheet!$A$13:$A$11461,'Mês 1'!A95,Timesheet!$C$13:$C$11461,'Mês 1'!$F$75)</f>
        <v>0</v>
      </c>
      <c r="G95" s="6">
        <f>SUMIFS(Timesheet!$F$13:$F$11461,Timesheet!$A$13:$A$11461,'Mês 1'!A95,Timesheet!$C$13:$C$11461,'Mês 1'!$G$75)</f>
        <v>0</v>
      </c>
      <c r="H95" s="6">
        <f>SUMIFS(Timesheet!$F$13:$F$11461,Timesheet!$A$13:$A$11461,'Mês 1'!A95,Timesheet!$C$13:$C$11461,'Mês 1'!$H$75)</f>
        <v>0</v>
      </c>
      <c r="I95" s="6">
        <f>SUMIFS(Timesheet!$F$13:$F$11461,Timesheet!$A$13:$A$11461,'Mês 1'!A95,Timesheet!$C$13:$C$11461,'Mês 1'!$I$75)</f>
        <v>0</v>
      </c>
      <c r="J95" s="6">
        <f>SUMIFS(Timesheet!$F$13:$F$11461,Timesheet!$A$13:$A$11461,'Mês 1'!A95,Timesheet!$C$13:$C$11461,'Mês 1'!$J$75)</f>
        <v>0</v>
      </c>
      <c r="K95" s="6">
        <f t="shared" si="15"/>
        <v>0</v>
      </c>
      <c r="L95" s="6">
        <f t="array" ref="L95">MIN(IF(Timesheet!$A$13:$A$11483='Mês 1'!A95,Timesheet!$D$13:$D$11483))</f>
        <v>0</v>
      </c>
      <c r="M95" s="6">
        <f t="array" ref="M95">MAX(IF(Timesheet!$A$13:$A$11483='Mês 1'!A95,Timesheet!$E$13:$E$11483))</f>
        <v>0</v>
      </c>
      <c r="O95" s="1">
        <v>45097</v>
      </c>
      <c r="P95" s="6">
        <f>SUMIFS(Timesheet!$F$13:$F$11461,Timesheet!$A$13:$A$11461,'Mês 1'!O95,Timesheet!$C$13:$C$11461,'Mês 1'!$P$75)</f>
        <v>0</v>
      </c>
      <c r="Q95" s="6">
        <f>SUMIFS(Timesheet!$F$13:$F$11461,Timesheet!$A$13:$A$11461,'Mês 1'!O95,Timesheet!$C$13:$C$11461,'Mês 1'!$Q$75)</f>
        <v>0</v>
      </c>
      <c r="R95" s="6">
        <f>SUMIFS(Timesheet!$F$13:$F$11461,Timesheet!$A$13:$A$11461,'Mês 1'!O95,Timesheet!$C$13:$C$11461,'Mês 1'!$R$75)</f>
        <v>0</v>
      </c>
      <c r="S95" s="6">
        <f>SUMIFS(Timesheet!$F$13:$F$11461,Timesheet!$A$13:$A$11461,'Mês 1'!O95,Timesheet!$C$13:$C$11461,'Mês 1'!$S$75)</f>
        <v>0</v>
      </c>
      <c r="T95" s="6">
        <f>SUMIFS(Timesheet!$F$13:$F$11461,Timesheet!$A$13:$A$11461,'Mês 1'!O95,Timesheet!$C$13:$C$11461,'Mês 1'!$T$75)</f>
        <v>0</v>
      </c>
      <c r="U95" s="6">
        <f>SUMIFS(Timesheet!$F$13:$F$11461,Timesheet!$A$13:$A$11461,'Mês 1'!O95,Timesheet!$C$13:$C$11461,'Mês 1'!$U$75)</f>
        <v>0</v>
      </c>
      <c r="V95" s="6">
        <f>SUMIFS(Timesheet!$F$13:$F$11461,Timesheet!$A$13:$A$11461,'Mês 1'!O95,Timesheet!$C$13:$C$11461,'Mês 1'!$V$75)</f>
        <v>0</v>
      </c>
      <c r="W95" s="6">
        <f>SUMIFS(Timesheet!$F$13:$F$11461,Timesheet!$A$13:$A$11461,'Mês 1'!O95,Timesheet!$C$13:$C$11461,'Mês 1'!$W$75)</f>
        <v>0</v>
      </c>
      <c r="X95" s="6">
        <f>SUMIFS(Timesheet!$F$13:$F$11461,Timesheet!$A$13:$A$11461,'Mês 1'!O95,Timesheet!$C$13:$C$11461,'Mês 1'!$X$75)</f>
        <v>0</v>
      </c>
      <c r="Y95" s="6">
        <f t="shared" si="16"/>
        <v>0</v>
      </c>
      <c r="Z95" s="6">
        <f t="array" ref="Z95">MIN(IF(Timesheet!$A$13:$A$11483='Mês 1'!O95,Timesheet!$D$13:$D$11483))</f>
        <v>0</v>
      </c>
      <c r="AA95" s="6">
        <f t="array" ref="AA95">MAX(IF(Timesheet!$A$13:$A$11483='Mês 1'!O95,Timesheet!$E$13:$E$11483))</f>
        <v>0</v>
      </c>
      <c r="AC95" s="1">
        <v>45158</v>
      </c>
      <c r="AD95" s="6">
        <f>SUMIFS(Timesheet!$F$13:$F$11461,Timesheet!$A$13:$A$11461,'Mês 1'!AC95,Timesheet!$C$13:$C$11461,'Mês 1'!$AD$75)</f>
        <v>0</v>
      </c>
      <c r="AE95" s="6">
        <f>SUMIFS(Timesheet!$F$13:$F$11461,Timesheet!$A$13:$A$11461,'Mês 1'!AC95,Timesheet!$C$13:$C$11461,'Mês 1'!$AE$75)</f>
        <v>0</v>
      </c>
      <c r="AF95" s="6">
        <f>SUMIFS(Timesheet!$F$13:$F$11461,Timesheet!$A$13:$A$11461,'Mês 1'!AC95,Timesheet!$C$13:$C$11461,'Mês 1'!$AF$75)</f>
        <v>0</v>
      </c>
      <c r="AG95" s="6">
        <f>SUMIFS(Timesheet!$F$13:$F$11461,Timesheet!$A$13:$A$11461,'Mês 1'!AC95,Timesheet!$C$13:$C$11461,'Mês 1'!$AG$75)</f>
        <v>0</v>
      </c>
      <c r="AH95" s="6">
        <f>SUMIFS(Timesheet!$F$13:$F$11461,Timesheet!$A$13:$A$11461,'Mês 1'!AC95,Timesheet!$C$13:$C$11461,'Mês 1'!$AH$75)</f>
        <v>0</v>
      </c>
      <c r="AI95" s="6">
        <f>SUMIFS(Timesheet!$F$13:$F$11461,Timesheet!$A$13:$A$11461,'Mês 1'!AC95,Timesheet!$C$13:$C$11461,'Mês 1'!$AI$75)</f>
        <v>0</v>
      </c>
      <c r="AJ95" s="6">
        <f>SUMIFS(Timesheet!$F$13:$F$11461,Timesheet!$A$13:$A$11461,'Mês 1'!AC95,Timesheet!$C$13:$C$11461,'Mês 1'!AJ$75)</f>
        <v>0</v>
      </c>
      <c r="AK95" s="6">
        <f>SUMIFS(Timesheet!$F$13:$F$11461,Timesheet!$A$13:$A$11461,'Mês 1'!AC95,Timesheet!$C$13:$C$11461,'Mês 1'!$AK$75)</f>
        <v>0</v>
      </c>
      <c r="AL95" s="6">
        <f>SUMIFS(Timesheet!$F$13:$F$11461,Timesheet!$A$13:$A$11461,'Mês 1'!AC95,Timesheet!$C$13:$C$11461,'Mês 1'!$AL$75)</f>
        <v>0</v>
      </c>
      <c r="AM95" s="6">
        <f t="shared" si="17"/>
        <v>0</v>
      </c>
      <c r="AN95" s="6">
        <f t="array" ref="AN95">MIN(IF(Timesheet!$A$13:$A$11483='Mês 1'!AC95,Timesheet!$D$13:$D$11483))</f>
        <v>0</v>
      </c>
      <c r="AO95" s="6">
        <f t="array" ref="AO95">MAX(IF(Timesheet!$A$13:$A$11483='Mês 1'!AC95,Timesheet!$E$13:$E$11483))</f>
        <v>0</v>
      </c>
      <c r="AQ95" s="1">
        <v>45219</v>
      </c>
      <c r="AR95" s="6">
        <f>SUMIFS(Timesheet!$F$13:$F$11461,Timesheet!$A$13:$A$11461,'Mês 1'!AQ95,Timesheet!$C$13:$C$11461,'Mês 1'!$AR$75)</f>
        <v>0</v>
      </c>
      <c r="AS95" s="6">
        <f>SUMIFS(Timesheet!$F$13:$F$11461,Timesheet!$A$13:$A$11461,'Mês 1'!AQ95,Timesheet!$C$13:$C$11461,'Mês 1'!$AS$75)</f>
        <v>0</v>
      </c>
      <c r="AT95" s="6">
        <f>SUMIFS(Timesheet!$F$13:$F$11461,Timesheet!$A$13:$A$11461,'Mês 1'!AQ95,Timesheet!$C$13:$C$11461,'Mês 1'!$AT$75)</f>
        <v>0</v>
      </c>
      <c r="AU95" s="6">
        <f>SUMIFS(Timesheet!$F$13:$F$11461,Timesheet!$A$13:$A$11461,'Mês 1'!AQ95,Timesheet!$C$13:$C$11461,'Mês 1'!$AU$75)</f>
        <v>0</v>
      </c>
      <c r="AV95" s="6">
        <f>SUMIFS(Timesheet!$F$13:$F$11461,Timesheet!$A$13:$A$11461,'Mês 1'!AQ95,Timesheet!$C$13:$C$11461,'Mês 1'!$AV$75)</f>
        <v>0</v>
      </c>
      <c r="AW95" s="6">
        <f>SUMIFS(Timesheet!$F$13:$F$11461,Timesheet!$A$13:$A$11461,'Mês 1'!AQ95,Timesheet!$C$13:$C$11461,'Mês 1'!$AW$75)</f>
        <v>0</v>
      </c>
      <c r="AX95" s="6">
        <f>SUMIFS(Timesheet!$F$13:$F$11461,Timesheet!$A$13:$A$11461,'Mês 1'!AQ95,Timesheet!$C$13:$C$11461,'Mês 1'!$AX$75)</f>
        <v>0</v>
      </c>
      <c r="AY95" s="6">
        <f>SUMIFS(Timesheet!$F$13:$F$11461,Timesheet!$A$13:$A$11461,'Mês 1'!AQ95,Timesheet!$C$13:$C$11461,'Mês 1'!$AY$75)</f>
        <v>0</v>
      </c>
      <c r="AZ95" s="6">
        <f>SUMIFS(Timesheet!$F$13:$F$11461,Timesheet!$A$13:$A$11461,'Mês 1'!AQ95,Timesheet!$C$13:$C$11461,'Mês 1'!$AZ$75)</f>
        <v>0</v>
      </c>
      <c r="BA95" s="6">
        <f t="shared" si="18"/>
        <v>0</v>
      </c>
      <c r="BB95" s="6">
        <f t="array" ref="BB95">MIN(IF(Timesheet!$A$13:$A$11483='Mês 1'!AQ95,Timesheet!$D$13:$D$11483))</f>
        <v>0</v>
      </c>
      <c r="BC95" s="6">
        <f t="array" ref="BC95">MAX(IF(Timesheet!$A$13:$A$11483='Mês 1'!AQ95,Timesheet!$E$13:$E$11483))</f>
        <v>0</v>
      </c>
      <c r="BE95" s="1">
        <v>45280</v>
      </c>
      <c r="BF95" s="6">
        <f>SUMIFS(Timesheet!$F$13:$F$11461,Timesheet!$A$13:$A$11461,'Mês 1'!BE95,Timesheet!$C$13:$C$11461,'Mês 1'!$BF$75)</f>
        <v>0</v>
      </c>
      <c r="BG95" s="6">
        <f>SUMIFS(Timesheet!$F$13:$F$11461,Timesheet!$A$13:$A$11461,'Mês 1'!BE95,Timesheet!$C$13:$C$11461,'Mês 1'!$BG$75)</f>
        <v>0</v>
      </c>
      <c r="BH95" s="6">
        <f>SUMIFS(Timesheet!$F$13:$F$11461,Timesheet!$A$13:$A$11461,'Mês 1'!BE95,Timesheet!$C$13:$C$11461,'Mês 1'!$BH$75)</f>
        <v>0</v>
      </c>
      <c r="BI95" s="6">
        <f>SUMIFS(Timesheet!$F$13:$F$11461,Timesheet!$A$13:$A$11461,'Mês 1'!BE95,Timesheet!$C$13:$C$11461,'Mês 1'!$BI$75)</f>
        <v>0</v>
      </c>
      <c r="BJ95" s="6">
        <f>SUMIFS(Timesheet!$F$13:$F$11461,Timesheet!$A$13:$A$11461,'Mês 1'!BE95,Timesheet!$C$13:$C$11461,'Mês 1'!$BJ$75)</f>
        <v>0</v>
      </c>
      <c r="BK95" s="6">
        <f>SUMIFS(Timesheet!$F$13:$F$11461,Timesheet!$A$13:$A$11461,'Mês 1'!BE95,Timesheet!$C$13:$C$11461,'Mês 1'!$BK$75)</f>
        <v>0</v>
      </c>
      <c r="BL95" s="6">
        <f>SUMIFS(Timesheet!$F$13:$F$11461,Timesheet!$A$13:$A$11461,'Mês 1'!BE95,Timesheet!$C$13:$C$11461,'Mês 1'!$BL$75)</f>
        <v>0</v>
      </c>
      <c r="BM95" s="6">
        <f>SUMIFS(Timesheet!$F$13:$F$11461,Timesheet!$A$13:$A$11461,'Mês 1'!BE95,Timesheet!$C$13:$C$11461,'Mês 1'!$BM$75)</f>
        <v>0</v>
      </c>
      <c r="BN95" s="6">
        <f>SUMIFS(Timesheet!$F$13:$F$11461,Timesheet!$A$13:$A$11461,'Mês 1'!BE95,Timesheet!$C$13:$C$11461,'Mês 1'!$BN$75)</f>
        <v>0</v>
      </c>
      <c r="BO95" s="6">
        <f t="shared" si="19"/>
        <v>0</v>
      </c>
      <c r="BP95" s="6">
        <f t="array" ref="BP95">MIN(IF(Timesheet!$A$13:$A$11483='Mês 1'!BE95,Timesheet!$D$13:$D$11483))</f>
        <v>0</v>
      </c>
      <c r="BQ95" s="6">
        <f t="array" ref="BQ95">MAX(IF(Timesheet!$A$13:$A$11483='Mês 1'!BE95,Timesheet!$E$13:$E$11483))</f>
        <v>0</v>
      </c>
    </row>
    <row r="96" spans="1:69" x14ac:dyDescent="0.25">
      <c r="A96" s="1">
        <v>45037</v>
      </c>
      <c r="B96" s="6">
        <f>SUMIFS(Timesheet!$F$13:$F$11461,Timesheet!$A$13:$A$11461,'Mês 1'!A96,Timesheet!$C$13:$C$11461,'Mês 1'!$B$75)</f>
        <v>0</v>
      </c>
      <c r="C96" s="6">
        <f>SUMIFS(Timesheet!$F$13:$F$11461,Timesheet!$A$13:$A$11461,'Mês 1'!A96,Timesheet!$C$13:$C$11461,'Mês 1'!$C$75)</f>
        <v>0</v>
      </c>
      <c r="D96" s="6">
        <f>SUMIFS(Timesheet!$F$13:$F$11461,Timesheet!$A$13:$A$11461,'Mês 1'!A96,Timesheet!$C$13:$C$11461,'Mês 1'!$D$75)</f>
        <v>0</v>
      </c>
      <c r="E96" s="6">
        <f>SUMIFS(Timesheet!$F$13:$F$11461,Timesheet!$A$13:$A$11461,'Mês 1'!A96,Timesheet!$C$13:$C$11461,'Mês 1'!$E$75)</f>
        <v>0</v>
      </c>
      <c r="F96" s="6">
        <f>SUMIFS(Timesheet!$F$13:$F$11461,Timesheet!$A$13:$A$11461,'Mês 1'!A96,Timesheet!$C$13:$C$11461,'Mês 1'!$F$75)</f>
        <v>0</v>
      </c>
      <c r="G96" s="6">
        <f>SUMIFS(Timesheet!$F$13:$F$11461,Timesheet!$A$13:$A$11461,'Mês 1'!A96,Timesheet!$C$13:$C$11461,'Mês 1'!$G$75)</f>
        <v>0</v>
      </c>
      <c r="H96" s="6">
        <f>SUMIFS(Timesheet!$F$13:$F$11461,Timesheet!$A$13:$A$11461,'Mês 1'!A96,Timesheet!$C$13:$C$11461,'Mês 1'!$H$75)</f>
        <v>0</v>
      </c>
      <c r="I96" s="6">
        <f>SUMIFS(Timesheet!$F$13:$F$11461,Timesheet!$A$13:$A$11461,'Mês 1'!A96,Timesheet!$C$13:$C$11461,'Mês 1'!$I$75)</f>
        <v>0</v>
      </c>
      <c r="J96" s="6">
        <f>SUMIFS(Timesheet!$F$13:$F$11461,Timesheet!$A$13:$A$11461,'Mês 1'!A96,Timesheet!$C$13:$C$11461,'Mês 1'!$J$75)</f>
        <v>0</v>
      </c>
      <c r="K96" s="6">
        <f t="shared" si="15"/>
        <v>0</v>
      </c>
      <c r="L96" s="6">
        <f t="array" ref="L96">MIN(IF(Timesheet!$A$13:$A$11483='Mês 1'!A96,Timesheet!$D$13:$D$11483))</f>
        <v>0</v>
      </c>
      <c r="M96" s="6">
        <f t="array" ref="M96">MAX(IF(Timesheet!$A$13:$A$11483='Mês 1'!A96,Timesheet!$E$13:$E$11483))</f>
        <v>0</v>
      </c>
      <c r="O96" s="1">
        <v>45098</v>
      </c>
      <c r="P96" s="6">
        <f>SUMIFS(Timesheet!$F$13:$F$11461,Timesheet!$A$13:$A$11461,'Mês 1'!O96,Timesheet!$C$13:$C$11461,'Mês 1'!$P$75)</f>
        <v>0</v>
      </c>
      <c r="Q96" s="6">
        <f>SUMIFS(Timesheet!$F$13:$F$11461,Timesheet!$A$13:$A$11461,'Mês 1'!O96,Timesheet!$C$13:$C$11461,'Mês 1'!$Q$75)</f>
        <v>0</v>
      </c>
      <c r="R96" s="6">
        <f>SUMIFS(Timesheet!$F$13:$F$11461,Timesheet!$A$13:$A$11461,'Mês 1'!O96,Timesheet!$C$13:$C$11461,'Mês 1'!$R$75)</f>
        <v>0</v>
      </c>
      <c r="S96" s="6">
        <f>SUMIFS(Timesheet!$F$13:$F$11461,Timesheet!$A$13:$A$11461,'Mês 1'!O96,Timesheet!$C$13:$C$11461,'Mês 1'!$S$75)</f>
        <v>0</v>
      </c>
      <c r="T96" s="6">
        <f>SUMIFS(Timesheet!$F$13:$F$11461,Timesheet!$A$13:$A$11461,'Mês 1'!O96,Timesheet!$C$13:$C$11461,'Mês 1'!$T$75)</f>
        <v>0</v>
      </c>
      <c r="U96" s="6">
        <f>SUMIFS(Timesheet!$F$13:$F$11461,Timesheet!$A$13:$A$11461,'Mês 1'!O96,Timesheet!$C$13:$C$11461,'Mês 1'!$U$75)</f>
        <v>0</v>
      </c>
      <c r="V96" s="6">
        <f>SUMIFS(Timesheet!$F$13:$F$11461,Timesheet!$A$13:$A$11461,'Mês 1'!O96,Timesheet!$C$13:$C$11461,'Mês 1'!$V$75)</f>
        <v>0</v>
      </c>
      <c r="W96" s="6">
        <f>SUMIFS(Timesheet!$F$13:$F$11461,Timesheet!$A$13:$A$11461,'Mês 1'!O96,Timesheet!$C$13:$C$11461,'Mês 1'!$W$75)</f>
        <v>0</v>
      </c>
      <c r="X96" s="6">
        <f>SUMIFS(Timesheet!$F$13:$F$11461,Timesheet!$A$13:$A$11461,'Mês 1'!O96,Timesheet!$C$13:$C$11461,'Mês 1'!$X$75)</f>
        <v>0</v>
      </c>
      <c r="Y96" s="6">
        <f t="shared" si="16"/>
        <v>0</v>
      </c>
      <c r="Z96" s="6">
        <f t="array" ref="Z96">MIN(IF(Timesheet!$A$13:$A$11483='Mês 1'!O96,Timesheet!$D$13:$D$11483))</f>
        <v>0</v>
      </c>
      <c r="AA96" s="6">
        <f t="array" ref="AA96">MAX(IF(Timesheet!$A$13:$A$11483='Mês 1'!O96,Timesheet!$E$13:$E$11483))</f>
        <v>0</v>
      </c>
      <c r="AC96" s="1">
        <v>45159</v>
      </c>
      <c r="AD96" s="6">
        <f>SUMIFS(Timesheet!$F$13:$F$11461,Timesheet!$A$13:$A$11461,'Mês 1'!AC96,Timesheet!$C$13:$C$11461,'Mês 1'!$AD$75)</f>
        <v>0</v>
      </c>
      <c r="AE96" s="6">
        <f>SUMIFS(Timesheet!$F$13:$F$11461,Timesheet!$A$13:$A$11461,'Mês 1'!AC96,Timesheet!$C$13:$C$11461,'Mês 1'!$AE$75)</f>
        <v>0</v>
      </c>
      <c r="AF96" s="6">
        <f>SUMIFS(Timesheet!$F$13:$F$11461,Timesheet!$A$13:$A$11461,'Mês 1'!AC96,Timesheet!$C$13:$C$11461,'Mês 1'!$AF$75)</f>
        <v>0</v>
      </c>
      <c r="AG96" s="6">
        <f>SUMIFS(Timesheet!$F$13:$F$11461,Timesheet!$A$13:$A$11461,'Mês 1'!AC96,Timesheet!$C$13:$C$11461,'Mês 1'!$AG$75)</f>
        <v>0</v>
      </c>
      <c r="AH96" s="6">
        <f>SUMIFS(Timesheet!$F$13:$F$11461,Timesheet!$A$13:$A$11461,'Mês 1'!AC96,Timesheet!$C$13:$C$11461,'Mês 1'!$AH$75)</f>
        <v>0</v>
      </c>
      <c r="AI96" s="6">
        <f>SUMIFS(Timesheet!$F$13:$F$11461,Timesheet!$A$13:$A$11461,'Mês 1'!AC96,Timesheet!$C$13:$C$11461,'Mês 1'!$AI$75)</f>
        <v>0</v>
      </c>
      <c r="AJ96" s="6">
        <f>SUMIFS(Timesheet!$F$13:$F$11461,Timesheet!$A$13:$A$11461,'Mês 1'!AC96,Timesheet!$C$13:$C$11461,'Mês 1'!AJ$75)</f>
        <v>0</v>
      </c>
      <c r="AK96" s="6">
        <f>SUMIFS(Timesheet!$F$13:$F$11461,Timesheet!$A$13:$A$11461,'Mês 1'!AC96,Timesheet!$C$13:$C$11461,'Mês 1'!$AK$75)</f>
        <v>0</v>
      </c>
      <c r="AL96" s="6">
        <f>SUMIFS(Timesheet!$F$13:$F$11461,Timesheet!$A$13:$A$11461,'Mês 1'!AC96,Timesheet!$C$13:$C$11461,'Mês 1'!$AL$75)</f>
        <v>0</v>
      </c>
      <c r="AM96" s="6">
        <f t="shared" si="17"/>
        <v>0</v>
      </c>
      <c r="AN96" s="6">
        <f t="array" ref="AN96">MIN(IF(Timesheet!$A$13:$A$11483='Mês 1'!AC96,Timesheet!$D$13:$D$11483))</f>
        <v>0</v>
      </c>
      <c r="AO96" s="6">
        <f t="array" ref="AO96">MAX(IF(Timesheet!$A$13:$A$11483='Mês 1'!AC96,Timesheet!$E$13:$E$11483))</f>
        <v>0</v>
      </c>
      <c r="AQ96" s="1">
        <v>45220</v>
      </c>
      <c r="AR96" s="6">
        <f>SUMIFS(Timesheet!$F$13:$F$11461,Timesheet!$A$13:$A$11461,'Mês 1'!AQ96,Timesheet!$C$13:$C$11461,'Mês 1'!$AR$75)</f>
        <v>0</v>
      </c>
      <c r="AS96" s="6">
        <f>SUMIFS(Timesheet!$F$13:$F$11461,Timesheet!$A$13:$A$11461,'Mês 1'!AQ96,Timesheet!$C$13:$C$11461,'Mês 1'!$AS$75)</f>
        <v>0</v>
      </c>
      <c r="AT96" s="6">
        <f>SUMIFS(Timesheet!$F$13:$F$11461,Timesheet!$A$13:$A$11461,'Mês 1'!AQ96,Timesheet!$C$13:$C$11461,'Mês 1'!$AT$75)</f>
        <v>0</v>
      </c>
      <c r="AU96" s="6">
        <f>SUMIFS(Timesheet!$F$13:$F$11461,Timesheet!$A$13:$A$11461,'Mês 1'!AQ96,Timesheet!$C$13:$C$11461,'Mês 1'!$AU$75)</f>
        <v>0</v>
      </c>
      <c r="AV96" s="6">
        <f>SUMIFS(Timesheet!$F$13:$F$11461,Timesheet!$A$13:$A$11461,'Mês 1'!AQ96,Timesheet!$C$13:$C$11461,'Mês 1'!$AV$75)</f>
        <v>0</v>
      </c>
      <c r="AW96" s="6">
        <f>SUMIFS(Timesheet!$F$13:$F$11461,Timesheet!$A$13:$A$11461,'Mês 1'!AQ96,Timesheet!$C$13:$C$11461,'Mês 1'!$AW$75)</f>
        <v>0</v>
      </c>
      <c r="AX96" s="6">
        <f>SUMIFS(Timesheet!$F$13:$F$11461,Timesheet!$A$13:$A$11461,'Mês 1'!AQ96,Timesheet!$C$13:$C$11461,'Mês 1'!$AX$75)</f>
        <v>0</v>
      </c>
      <c r="AY96" s="6">
        <f>SUMIFS(Timesheet!$F$13:$F$11461,Timesheet!$A$13:$A$11461,'Mês 1'!AQ96,Timesheet!$C$13:$C$11461,'Mês 1'!$AY$75)</f>
        <v>0</v>
      </c>
      <c r="AZ96" s="6">
        <f>SUMIFS(Timesheet!$F$13:$F$11461,Timesheet!$A$13:$A$11461,'Mês 1'!AQ96,Timesheet!$C$13:$C$11461,'Mês 1'!$AZ$75)</f>
        <v>0</v>
      </c>
      <c r="BA96" s="6">
        <f t="shared" si="18"/>
        <v>0</v>
      </c>
      <c r="BB96" s="6">
        <f t="array" ref="BB96">MIN(IF(Timesheet!$A$13:$A$11483='Mês 1'!AQ96,Timesheet!$D$13:$D$11483))</f>
        <v>0</v>
      </c>
      <c r="BC96" s="6">
        <f t="array" ref="BC96">MAX(IF(Timesheet!$A$13:$A$11483='Mês 1'!AQ96,Timesheet!$E$13:$E$11483))</f>
        <v>0</v>
      </c>
      <c r="BE96" s="1">
        <v>45281</v>
      </c>
      <c r="BF96" s="6">
        <f>SUMIFS(Timesheet!$F$13:$F$11461,Timesheet!$A$13:$A$11461,'Mês 1'!BE96,Timesheet!$C$13:$C$11461,'Mês 1'!$BF$75)</f>
        <v>0</v>
      </c>
      <c r="BG96" s="6">
        <f>SUMIFS(Timesheet!$F$13:$F$11461,Timesheet!$A$13:$A$11461,'Mês 1'!BE96,Timesheet!$C$13:$C$11461,'Mês 1'!$BG$75)</f>
        <v>0</v>
      </c>
      <c r="BH96" s="6">
        <f>SUMIFS(Timesheet!$F$13:$F$11461,Timesheet!$A$13:$A$11461,'Mês 1'!BE96,Timesheet!$C$13:$C$11461,'Mês 1'!$BH$75)</f>
        <v>0</v>
      </c>
      <c r="BI96" s="6">
        <f>SUMIFS(Timesheet!$F$13:$F$11461,Timesheet!$A$13:$A$11461,'Mês 1'!BE96,Timesheet!$C$13:$C$11461,'Mês 1'!$BI$75)</f>
        <v>0</v>
      </c>
      <c r="BJ96" s="6">
        <f>SUMIFS(Timesheet!$F$13:$F$11461,Timesheet!$A$13:$A$11461,'Mês 1'!BE96,Timesheet!$C$13:$C$11461,'Mês 1'!$BJ$75)</f>
        <v>0</v>
      </c>
      <c r="BK96" s="6">
        <f>SUMIFS(Timesheet!$F$13:$F$11461,Timesheet!$A$13:$A$11461,'Mês 1'!BE96,Timesheet!$C$13:$C$11461,'Mês 1'!$BK$75)</f>
        <v>0</v>
      </c>
      <c r="BL96" s="6">
        <f>SUMIFS(Timesheet!$F$13:$F$11461,Timesheet!$A$13:$A$11461,'Mês 1'!BE96,Timesheet!$C$13:$C$11461,'Mês 1'!$BL$75)</f>
        <v>0</v>
      </c>
      <c r="BM96" s="6">
        <f>SUMIFS(Timesheet!$F$13:$F$11461,Timesheet!$A$13:$A$11461,'Mês 1'!BE96,Timesheet!$C$13:$C$11461,'Mês 1'!$BM$75)</f>
        <v>0</v>
      </c>
      <c r="BN96" s="6">
        <f>SUMIFS(Timesheet!$F$13:$F$11461,Timesheet!$A$13:$A$11461,'Mês 1'!BE96,Timesheet!$C$13:$C$11461,'Mês 1'!$BN$75)</f>
        <v>0</v>
      </c>
      <c r="BO96" s="6">
        <f t="shared" si="19"/>
        <v>0</v>
      </c>
      <c r="BP96" s="6">
        <f t="array" ref="BP96">MIN(IF(Timesheet!$A$13:$A$11483='Mês 1'!BE96,Timesheet!$D$13:$D$11483))</f>
        <v>0</v>
      </c>
      <c r="BQ96" s="6">
        <f t="array" ref="BQ96">MAX(IF(Timesheet!$A$13:$A$11483='Mês 1'!BE96,Timesheet!$E$13:$E$11483))</f>
        <v>0</v>
      </c>
    </row>
    <row r="97" spans="1:69" x14ac:dyDescent="0.25">
      <c r="A97" s="1">
        <v>45038</v>
      </c>
      <c r="B97" s="6">
        <f>SUMIFS(Timesheet!$F$13:$F$11461,Timesheet!$A$13:$A$11461,'Mês 1'!A97,Timesheet!$C$13:$C$11461,'Mês 1'!$B$75)</f>
        <v>0</v>
      </c>
      <c r="C97" s="6">
        <f>SUMIFS(Timesheet!$F$13:$F$11461,Timesheet!$A$13:$A$11461,'Mês 1'!A97,Timesheet!$C$13:$C$11461,'Mês 1'!$C$75)</f>
        <v>0</v>
      </c>
      <c r="D97" s="6">
        <f>SUMIFS(Timesheet!$F$13:$F$11461,Timesheet!$A$13:$A$11461,'Mês 1'!A97,Timesheet!$C$13:$C$11461,'Mês 1'!$D$75)</f>
        <v>0</v>
      </c>
      <c r="E97" s="6">
        <f>SUMIFS(Timesheet!$F$13:$F$11461,Timesheet!$A$13:$A$11461,'Mês 1'!A97,Timesheet!$C$13:$C$11461,'Mês 1'!$E$75)</f>
        <v>0</v>
      </c>
      <c r="F97" s="6">
        <f>SUMIFS(Timesheet!$F$13:$F$11461,Timesheet!$A$13:$A$11461,'Mês 1'!A97,Timesheet!$C$13:$C$11461,'Mês 1'!$F$75)</f>
        <v>0</v>
      </c>
      <c r="G97" s="6">
        <f>SUMIFS(Timesheet!$F$13:$F$11461,Timesheet!$A$13:$A$11461,'Mês 1'!A97,Timesheet!$C$13:$C$11461,'Mês 1'!$G$75)</f>
        <v>0</v>
      </c>
      <c r="H97" s="6">
        <f>SUMIFS(Timesheet!$F$13:$F$11461,Timesheet!$A$13:$A$11461,'Mês 1'!A97,Timesheet!$C$13:$C$11461,'Mês 1'!$H$75)</f>
        <v>0</v>
      </c>
      <c r="I97" s="6">
        <f>SUMIFS(Timesheet!$F$13:$F$11461,Timesheet!$A$13:$A$11461,'Mês 1'!A97,Timesheet!$C$13:$C$11461,'Mês 1'!$I$75)</f>
        <v>0</v>
      </c>
      <c r="J97" s="6">
        <f>SUMIFS(Timesheet!$F$13:$F$11461,Timesheet!$A$13:$A$11461,'Mês 1'!A97,Timesheet!$C$13:$C$11461,'Mês 1'!$J$75)</f>
        <v>0</v>
      </c>
      <c r="K97" s="6">
        <f t="shared" si="15"/>
        <v>0</v>
      </c>
      <c r="L97" s="6">
        <f t="array" ref="L97">MIN(IF(Timesheet!$A$13:$A$11483='Mês 1'!A97,Timesheet!$D$13:$D$11483))</f>
        <v>0</v>
      </c>
      <c r="M97" s="6">
        <f t="array" ref="M97">MAX(IF(Timesheet!$A$13:$A$11483='Mês 1'!A97,Timesheet!$E$13:$E$11483))</f>
        <v>0</v>
      </c>
      <c r="O97" s="1">
        <v>45099</v>
      </c>
      <c r="P97" s="6">
        <f>SUMIFS(Timesheet!$F$13:$F$11461,Timesheet!$A$13:$A$11461,'Mês 1'!O97,Timesheet!$C$13:$C$11461,'Mês 1'!$P$75)</f>
        <v>0</v>
      </c>
      <c r="Q97" s="6">
        <f>SUMIFS(Timesheet!$F$13:$F$11461,Timesheet!$A$13:$A$11461,'Mês 1'!O97,Timesheet!$C$13:$C$11461,'Mês 1'!$Q$75)</f>
        <v>0</v>
      </c>
      <c r="R97" s="6">
        <f>SUMIFS(Timesheet!$F$13:$F$11461,Timesheet!$A$13:$A$11461,'Mês 1'!O97,Timesheet!$C$13:$C$11461,'Mês 1'!$R$75)</f>
        <v>0</v>
      </c>
      <c r="S97" s="6">
        <f>SUMIFS(Timesheet!$F$13:$F$11461,Timesheet!$A$13:$A$11461,'Mês 1'!O97,Timesheet!$C$13:$C$11461,'Mês 1'!$S$75)</f>
        <v>0</v>
      </c>
      <c r="T97" s="6">
        <f>SUMIFS(Timesheet!$F$13:$F$11461,Timesheet!$A$13:$A$11461,'Mês 1'!O97,Timesheet!$C$13:$C$11461,'Mês 1'!$T$75)</f>
        <v>0</v>
      </c>
      <c r="U97" s="6">
        <f>SUMIFS(Timesheet!$F$13:$F$11461,Timesheet!$A$13:$A$11461,'Mês 1'!O97,Timesheet!$C$13:$C$11461,'Mês 1'!$U$75)</f>
        <v>0</v>
      </c>
      <c r="V97" s="6">
        <f>SUMIFS(Timesheet!$F$13:$F$11461,Timesheet!$A$13:$A$11461,'Mês 1'!O97,Timesheet!$C$13:$C$11461,'Mês 1'!$V$75)</f>
        <v>0</v>
      </c>
      <c r="W97" s="6">
        <f>SUMIFS(Timesheet!$F$13:$F$11461,Timesheet!$A$13:$A$11461,'Mês 1'!O97,Timesheet!$C$13:$C$11461,'Mês 1'!$W$75)</f>
        <v>0</v>
      </c>
      <c r="X97" s="6">
        <f>SUMIFS(Timesheet!$F$13:$F$11461,Timesheet!$A$13:$A$11461,'Mês 1'!O97,Timesheet!$C$13:$C$11461,'Mês 1'!$X$75)</f>
        <v>0</v>
      </c>
      <c r="Y97" s="6">
        <f t="shared" si="16"/>
        <v>0</v>
      </c>
      <c r="Z97" s="6">
        <f t="array" ref="Z97">MIN(IF(Timesheet!$A$13:$A$11483='Mês 1'!O97,Timesheet!$D$13:$D$11483))</f>
        <v>0</v>
      </c>
      <c r="AA97" s="6">
        <f t="array" ref="AA97">MAX(IF(Timesheet!$A$13:$A$11483='Mês 1'!O97,Timesheet!$E$13:$E$11483))</f>
        <v>0</v>
      </c>
      <c r="AC97" s="1">
        <v>45160</v>
      </c>
      <c r="AD97" s="6">
        <f>SUMIFS(Timesheet!$F$13:$F$11461,Timesheet!$A$13:$A$11461,'Mês 1'!AC97,Timesheet!$C$13:$C$11461,'Mês 1'!$AD$75)</f>
        <v>0</v>
      </c>
      <c r="AE97" s="6">
        <f>SUMIFS(Timesheet!$F$13:$F$11461,Timesheet!$A$13:$A$11461,'Mês 1'!AC97,Timesheet!$C$13:$C$11461,'Mês 1'!$AE$75)</f>
        <v>0</v>
      </c>
      <c r="AF97" s="6">
        <f>SUMIFS(Timesheet!$F$13:$F$11461,Timesheet!$A$13:$A$11461,'Mês 1'!AC97,Timesheet!$C$13:$C$11461,'Mês 1'!$AF$75)</f>
        <v>0</v>
      </c>
      <c r="AG97" s="6">
        <f>SUMIFS(Timesheet!$F$13:$F$11461,Timesheet!$A$13:$A$11461,'Mês 1'!AC97,Timesheet!$C$13:$C$11461,'Mês 1'!$AG$75)</f>
        <v>0</v>
      </c>
      <c r="AH97" s="6">
        <f>SUMIFS(Timesheet!$F$13:$F$11461,Timesheet!$A$13:$A$11461,'Mês 1'!AC97,Timesheet!$C$13:$C$11461,'Mês 1'!$AH$75)</f>
        <v>0</v>
      </c>
      <c r="AI97" s="6">
        <f>SUMIFS(Timesheet!$F$13:$F$11461,Timesheet!$A$13:$A$11461,'Mês 1'!AC97,Timesheet!$C$13:$C$11461,'Mês 1'!$AI$75)</f>
        <v>0</v>
      </c>
      <c r="AJ97" s="6">
        <f>SUMIFS(Timesheet!$F$13:$F$11461,Timesheet!$A$13:$A$11461,'Mês 1'!AC97,Timesheet!$C$13:$C$11461,'Mês 1'!AJ$75)</f>
        <v>0</v>
      </c>
      <c r="AK97" s="6">
        <f>SUMIFS(Timesheet!$F$13:$F$11461,Timesheet!$A$13:$A$11461,'Mês 1'!AC97,Timesheet!$C$13:$C$11461,'Mês 1'!$AK$75)</f>
        <v>0</v>
      </c>
      <c r="AL97" s="6">
        <f>SUMIFS(Timesheet!$F$13:$F$11461,Timesheet!$A$13:$A$11461,'Mês 1'!AC97,Timesheet!$C$13:$C$11461,'Mês 1'!$AL$75)</f>
        <v>0</v>
      </c>
      <c r="AM97" s="6">
        <f t="shared" si="17"/>
        <v>0</v>
      </c>
      <c r="AN97" s="6">
        <f t="array" ref="AN97">MIN(IF(Timesheet!$A$13:$A$11483='Mês 1'!AC97,Timesheet!$D$13:$D$11483))</f>
        <v>0</v>
      </c>
      <c r="AO97" s="6">
        <f t="array" ref="AO97">MAX(IF(Timesheet!$A$13:$A$11483='Mês 1'!AC97,Timesheet!$E$13:$E$11483))</f>
        <v>0</v>
      </c>
      <c r="AQ97" s="1">
        <v>45221</v>
      </c>
      <c r="AR97" s="6">
        <f>SUMIFS(Timesheet!$F$13:$F$11461,Timesheet!$A$13:$A$11461,'Mês 1'!AQ97,Timesheet!$C$13:$C$11461,'Mês 1'!$AR$75)</f>
        <v>0</v>
      </c>
      <c r="AS97" s="6">
        <f>SUMIFS(Timesheet!$F$13:$F$11461,Timesheet!$A$13:$A$11461,'Mês 1'!AQ97,Timesheet!$C$13:$C$11461,'Mês 1'!$AS$75)</f>
        <v>0</v>
      </c>
      <c r="AT97" s="6">
        <f>SUMIFS(Timesheet!$F$13:$F$11461,Timesheet!$A$13:$A$11461,'Mês 1'!AQ97,Timesheet!$C$13:$C$11461,'Mês 1'!$AT$75)</f>
        <v>0</v>
      </c>
      <c r="AU97" s="6">
        <f>SUMIFS(Timesheet!$F$13:$F$11461,Timesheet!$A$13:$A$11461,'Mês 1'!AQ97,Timesheet!$C$13:$C$11461,'Mês 1'!$AU$75)</f>
        <v>0</v>
      </c>
      <c r="AV97" s="6">
        <f>SUMIFS(Timesheet!$F$13:$F$11461,Timesheet!$A$13:$A$11461,'Mês 1'!AQ97,Timesheet!$C$13:$C$11461,'Mês 1'!$AV$75)</f>
        <v>0</v>
      </c>
      <c r="AW97" s="6">
        <f>SUMIFS(Timesheet!$F$13:$F$11461,Timesheet!$A$13:$A$11461,'Mês 1'!AQ97,Timesheet!$C$13:$C$11461,'Mês 1'!$AW$75)</f>
        <v>0</v>
      </c>
      <c r="AX97" s="6">
        <f>SUMIFS(Timesheet!$F$13:$F$11461,Timesheet!$A$13:$A$11461,'Mês 1'!AQ97,Timesheet!$C$13:$C$11461,'Mês 1'!$AX$75)</f>
        <v>0</v>
      </c>
      <c r="AY97" s="6">
        <f>SUMIFS(Timesheet!$F$13:$F$11461,Timesheet!$A$13:$A$11461,'Mês 1'!AQ97,Timesheet!$C$13:$C$11461,'Mês 1'!$AY$75)</f>
        <v>0</v>
      </c>
      <c r="AZ97" s="6">
        <f>SUMIFS(Timesheet!$F$13:$F$11461,Timesheet!$A$13:$A$11461,'Mês 1'!AQ97,Timesheet!$C$13:$C$11461,'Mês 1'!$AZ$75)</f>
        <v>0</v>
      </c>
      <c r="BA97" s="6">
        <f t="shared" si="18"/>
        <v>0</v>
      </c>
      <c r="BB97" s="6">
        <f t="array" ref="BB97">MIN(IF(Timesheet!$A$13:$A$11483='Mês 1'!AQ97,Timesheet!$D$13:$D$11483))</f>
        <v>0</v>
      </c>
      <c r="BC97" s="6">
        <f t="array" ref="BC97">MAX(IF(Timesheet!$A$13:$A$11483='Mês 1'!AQ97,Timesheet!$E$13:$E$11483))</f>
        <v>0</v>
      </c>
      <c r="BE97" s="1">
        <v>45282</v>
      </c>
      <c r="BF97" s="6">
        <f>SUMIFS(Timesheet!$F$13:$F$11461,Timesheet!$A$13:$A$11461,'Mês 1'!BE97,Timesheet!$C$13:$C$11461,'Mês 1'!$BF$75)</f>
        <v>0</v>
      </c>
      <c r="BG97" s="6">
        <f>SUMIFS(Timesheet!$F$13:$F$11461,Timesheet!$A$13:$A$11461,'Mês 1'!BE97,Timesheet!$C$13:$C$11461,'Mês 1'!$BG$75)</f>
        <v>0</v>
      </c>
      <c r="BH97" s="6">
        <f>SUMIFS(Timesheet!$F$13:$F$11461,Timesheet!$A$13:$A$11461,'Mês 1'!BE97,Timesheet!$C$13:$C$11461,'Mês 1'!$BH$75)</f>
        <v>0</v>
      </c>
      <c r="BI97" s="6">
        <f>SUMIFS(Timesheet!$F$13:$F$11461,Timesheet!$A$13:$A$11461,'Mês 1'!BE97,Timesheet!$C$13:$C$11461,'Mês 1'!$BI$75)</f>
        <v>0</v>
      </c>
      <c r="BJ97" s="6">
        <f>SUMIFS(Timesheet!$F$13:$F$11461,Timesheet!$A$13:$A$11461,'Mês 1'!BE97,Timesheet!$C$13:$C$11461,'Mês 1'!$BJ$75)</f>
        <v>0</v>
      </c>
      <c r="BK97" s="6">
        <f>SUMIFS(Timesheet!$F$13:$F$11461,Timesheet!$A$13:$A$11461,'Mês 1'!BE97,Timesheet!$C$13:$C$11461,'Mês 1'!$BK$75)</f>
        <v>0</v>
      </c>
      <c r="BL97" s="6">
        <f>SUMIFS(Timesheet!$F$13:$F$11461,Timesheet!$A$13:$A$11461,'Mês 1'!BE97,Timesheet!$C$13:$C$11461,'Mês 1'!$BL$75)</f>
        <v>0</v>
      </c>
      <c r="BM97" s="6">
        <f>SUMIFS(Timesheet!$F$13:$F$11461,Timesheet!$A$13:$A$11461,'Mês 1'!BE97,Timesheet!$C$13:$C$11461,'Mês 1'!$BM$75)</f>
        <v>0</v>
      </c>
      <c r="BN97" s="6">
        <f>SUMIFS(Timesheet!$F$13:$F$11461,Timesheet!$A$13:$A$11461,'Mês 1'!BE97,Timesheet!$C$13:$C$11461,'Mês 1'!$BN$75)</f>
        <v>0</v>
      </c>
      <c r="BO97" s="6">
        <f t="shared" si="19"/>
        <v>0</v>
      </c>
      <c r="BP97" s="6">
        <f t="array" ref="BP97">MIN(IF(Timesheet!$A$13:$A$11483='Mês 1'!BE97,Timesheet!$D$13:$D$11483))</f>
        <v>0</v>
      </c>
      <c r="BQ97" s="6">
        <f t="array" ref="BQ97">MAX(IF(Timesheet!$A$13:$A$11483='Mês 1'!BE97,Timesheet!$E$13:$E$11483))</f>
        <v>0</v>
      </c>
    </row>
    <row r="98" spans="1:69" x14ac:dyDescent="0.25">
      <c r="A98" s="1">
        <v>45039</v>
      </c>
      <c r="B98" s="6">
        <f>SUMIFS(Timesheet!$F$13:$F$11461,Timesheet!$A$13:$A$11461,'Mês 1'!A98,Timesheet!$C$13:$C$11461,'Mês 1'!$B$75)</f>
        <v>0</v>
      </c>
      <c r="C98" s="6">
        <f>SUMIFS(Timesheet!$F$13:$F$11461,Timesheet!$A$13:$A$11461,'Mês 1'!A98,Timesheet!$C$13:$C$11461,'Mês 1'!$C$75)</f>
        <v>0</v>
      </c>
      <c r="D98" s="6">
        <f>SUMIFS(Timesheet!$F$13:$F$11461,Timesheet!$A$13:$A$11461,'Mês 1'!A98,Timesheet!$C$13:$C$11461,'Mês 1'!$D$75)</f>
        <v>0</v>
      </c>
      <c r="E98" s="6">
        <f>SUMIFS(Timesheet!$F$13:$F$11461,Timesheet!$A$13:$A$11461,'Mês 1'!A98,Timesheet!$C$13:$C$11461,'Mês 1'!$E$75)</f>
        <v>0</v>
      </c>
      <c r="F98" s="6">
        <f>SUMIFS(Timesheet!$F$13:$F$11461,Timesheet!$A$13:$A$11461,'Mês 1'!A98,Timesheet!$C$13:$C$11461,'Mês 1'!$F$75)</f>
        <v>0</v>
      </c>
      <c r="G98" s="6">
        <f>SUMIFS(Timesheet!$F$13:$F$11461,Timesheet!$A$13:$A$11461,'Mês 1'!A98,Timesheet!$C$13:$C$11461,'Mês 1'!$G$75)</f>
        <v>0</v>
      </c>
      <c r="H98" s="6">
        <f>SUMIFS(Timesheet!$F$13:$F$11461,Timesheet!$A$13:$A$11461,'Mês 1'!A98,Timesheet!$C$13:$C$11461,'Mês 1'!$H$75)</f>
        <v>0</v>
      </c>
      <c r="I98" s="6">
        <f>SUMIFS(Timesheet!$F$13:$F$11461,Timesheet!$A$13:$A$11461,'Mês 1'!A98,Timesheet!$C$13:$C$11461,'Mês 1'!$I$75)</f>
        <v>0</v>
      </c>
      <c r="J98" s="6">
        <f>SUMIFS(Timesheet!$F$13:$F$11461,Timesheet!$A$13:$A$11461,'Mês 1'!A98,Timesheet!$C$13:$C$11461,'Mês 1'!$J$75)</f>
        <v>0</v>
      </c>
      <c r="K98" s="6">
        <f t="shared" si="15"/>
        <v>0</v>
      </c>
      <c r="L98" s="6">
        <f t="array" ref="L98">MIN(IF(Timesheet!$A$13:$A$11483='Mês 1'!A98,Timesheet!$D$13:$D$11483))</f>
        <v>0</v>
      </c>
      <c r="M98" s="6">
        <f t="array" ref="M98">MAX(IF(Timesheet!$A$13:$A$11483='Mês 1'!A98,Timesheet!$E$13:$E$11483))</f>
        <v>0</v>
      </c>
      <c r="O98" s="1">
        <v>45100</v>
      </c>
      <c r="P98" s="6">
        <f>SUMIFS(Timesheet!$F$13:$F$11461,Timesheet!$A$13:$A$11461,'Mês 1'!O98,Timesheet!$C$13:$C$11461,'Mês 1'!$P$75)</f>
        <v>0</v>
      </c>
      <c r="Q98" s="6">
        <f>SUMIFS(Timesheet!$F$13:$F$11461,Timesheet!$A$13:$A$11461,'Mês 1'!O98,Timesheet!$C$13:$C$11461,'Mês 1'!$Q$75)</f>
        <v>0</v>
      </c>
      <c r="R98" s="6">
        <f>SUMIFS(Timesheet!$F$13:$F$11461,Timesheet!$A$13:$A$11461,'Mês 1'!O98,Timesheet!$C$13:$C$11461,'Mês 1'!$R$75)</f>
        <v>0</v>
      </c>
      <c r="S98" s="6">
        <f>SUMIFS(Timesheet!$F$13:$F$11461,Timesheet!$A$13:$A$11461,'Mês 1'!O98,Timesheet!$C$13:$C$11461,'Mês 1'!$S$75)</f>
        <v>0</v>
      </c>
      <c r="T98" s="6">
        <f>SUMIFS(Timesheet!$F$13:$F$11461,Timesheet!$A$13:$A$11461,'Mês 1'!O98,Timesheet!$C$13:$C$11461,'Mês 1'!$T$75)</f>
        <v>0</v>
      </c>
      <c r="U98" s="6">
        <f>SUMIFS(Timesheet!$F$13:$F$11461,Timesheet!$A$13:$A$11461,'Mês 1'!O98,Timesheet!$C$13:$C$11461,'Mês 1'!$U$75)</f>
        <v>0</v>
      </c>
      <c r="V98" s="6">
        <f>SUMIFS(Timesheet!$F$13:$F$11461,Timesheet!$A$13:$A$11461,'Mês 1'!O98,Timesheet!$C$13:$C$11461,'Mês 1'!$V$75)</f>
        <v>0</v>
      </c>
      <c r="W98" s="6">
        <f>SUMIFS(Timesheet!$F$13:$F$11461,Timesheet!$A$13:$A$11461,'Mês 1'!O98,Timesheet!$C$13:$C$11461,'Mês 1'!$W$75)</f>
        <v>0</v>
      </c>
      <c r="X98" s="6">
        <f>SUMIFS(Timesheet!$F$13:$F$11461,Timesheet!$A$13:$A$11461,'Mês 1'!O98,Timesheet!$C$13:$C$11461,'Mês 1'!$X$75)</f>
        <v>0</v>
      </c>
      <c r="Y98" s="6">
        <f t="shared" si="16"/>
        <v>0</v>
      </c>
      <c r="Z98" s="6">
        <f t="array" ref="Z98">MIN(IF(Timesheet!$A$13:$A$11483='Mês 1'!O98,Timesheet!$D$13:$D$11483))</f>
        <v>0</v>
      </c>
      <c r="AA98" s="6">
        <f t="array" ref="AA98">MAX(IF(Timesheet!$A$13:$A$11483='Mês 1'!O98,Timesheet!$E$13:$E$11483))</f>
        <v>0</v>
      </c>
      <c r="AC98" s="1">
        <v>45161</v>
      </c>
      <c r="AD98" s="6">
        <f>SUMIFS(Timesheet!$F$13:$F$11461,Timesheet!$A$13:$A$11461,'Mês 1'!AC98,Timesheet!$C$13:$C$11461,'Mês 1'!$AD$75)</f>
        <v>0</v>
      </c>
      <c r="AE98" s="6">
        <f>SUMIFS(Timesheet!$F$13:$F$11461,Timesheet!$A$13:$A$11461,'Mês 1'!AC98,Timesheet!$C$13:$C$11461,'Mês 1'!$AE$75)</f>
        <v>0</v>
      </c>
      <c r="AF98" s="6">
        <f>SUMIFS(Timesheet!$F$13:$F$11461,Timesheet!$A$13:$A$11461,'Mês 1'!AC98,Timesheet!$C$13:$C$11461,'Mês 1'!$AF$75)</f>
        <v>0</v>
      </c>
      <c r="AG98" s="6">
        <f>SUMIFS(Timesheet!$F$13:$F$11461,Timesheet!$A$13:$A$11461,'Mês 1'!AC98,Timesheet!$C$13:$C$11461,'Mês 1'!$AG$75)</f>
        <v>0</v>
      </c>
      <c r="AH98" s="6">
        <f>SUMIFS(Timesheet!$F$13:$F$11461,Timesheet!$A$13:$A$11461,'Mês 1'!AC98,Timesheet!$C$13:$C$11461,'Mês 1'!$AH$75)</f>
        <v>0</v>
      </c>
      <c r="AI98" s="6">
        <f>SUMIFS(Timesheet!$F$13:$F$11461,Timesheet!$A$13:$A$11461,'Mês 1'!AC98,Timesheet!$C$13:$C$11461,'Mês 1'!$AI$75)</f>
        <v>0</v>
      </c>
      <c r="AJ98" s="6">
        <f>SUMIFS(Timesheet!$F$13:$F$11461,Timesheet!$A$13:$A$11461,'Mês 1'!AC98,Timesheet!$C$13:$C$11461,'Mês 1'!AJ$75)</f>
        <v>0</v>
      </c>
      <c r="AK98" s="6">
        <f>SUMIFS(Timesheet!$F$13:$F$11461,Timesheet!$A$13:$A$11461,'Mês 1'!AC98,Timesheet!$C$13:$C$11461,'Mês 1'!$AK$75)</f>
        <v>0</v>
      </c>
      <c r="AL98" s="6">
        <f>SUMIFS(Timesheet!$F$13:$F$11461,Timesheet!$A$13:$A$11461,'Mês 1'!AC98,Timesheet!$C$13:$C$11461,'Mês 1'!$AL$75)</f>
        <v>0</v>
      </c>
      <c r="AM98" s="6">
        <f t="shared" si="17"/>
        <v>0</v>
      </c>
      <c r="AN98" s="6">
        <f t="array" ref="AN98">MIN(IF(Timesheet!$A$13:$A$11483='Mês 1'!AC98,Timesheet!$D$13:$D$11483))</f>
        <v>0</v>
      </c>
      <c r="AO98" s="6">
        <f t="array" ref="AO98">MAX(IF(Timesheet!$A$13:$A$11483='Mês 1'!AC98,Timesheet!$E$13:$E$11483))</f>
        <v>0</v>
      </c>
      <c r="AQ98" s="1">
        <v>45222</v>
      </c>
      <c r="AR98" s="6">
        <f>SUMIFS(Timesheet!$F$13:$F$11461,Timesheet!$A$13:$A$11461,'Mês 1'!AQ98,Timesheet!$C$13:$C$11461,'Mês 1'!$AR$75)</f>
        <v>0</v>
      </c>
      <c r="AS98" s="6">
        <f>SUMIFS(Timesheet!$F$13:$F$11461,Timesheet!$A$13:$A$11461,'Mês 1'!AQ98,Timesheet!$C$13:$C$11461,'Mês 1'!$AS$75)</f>
        <v>0</v>
      </c>
      <c r="AT98" s="6">
        <f>SUMIFS(Timesheet!$F$13:$F$11461,Timesheet!$A$13:$A$11461,'Mês 1'!AQ98,Timesheet!$C$13:$C$11461,'Mês 1'!$AT$75)</f>
        <v>0</v>
      </c>
      <c r="AU98" s="6">
        <f>SUMIFS(Timesheet!$F$13:$F$11461,Timesheet!$A$13:$A$11461,'Mês 1'!AQ98,Timesheet!$C$13:$C$11461,'Mês 1'!$AU$75)</f>
        <v>0</v>
      </c>
      <c r="AV98" s="6">
        <f>SUMIFS(Timesheet!$F$13:$F$11461,Timesheet!$A$13:$A$11461,'Mês 1'!AQ98,Timesheet!$C$13:$C$11461,'Mês 1'!$AV$75)</f>
        <v>0</v>
      </c>
      <c r="AW98" s="6">
        <f>SUMIFS(Timesheet!$F$13:$F$11461,Timesheet!$A$13:$A$11461,'Mês 1'!AQ98,Timesheet!$C$13:$C$11461,'Mês 1'!$AW$75)</f>
        <v>0</v>
      </c>
      <c r="AX98" s="6">
        <f>SUMIFS(Timesheet!$F$13:$F$11461,Timesheet!$A$13:$A$11461,'Mês 1'!AQ98,Timesheet!$C$13:$C$11461,'Mês 1'!$AX$75)</f>
        <v>0</v>
      </c>
      <c r="AY98" s="6">
        <f>SUMIFS(Timesheet!$F$13:$F$11461,Timesheet!$A$13:$A$11461,'Mês 1'!AQ98,Timesheet!$C$13:$C$11461,'Mês 1'!$AY$75)</f>
        <v>0</v>
      </c>
      <c r="AZ98" s="6">
        <f>SUMIFS(Timesheet!$F$13:$F$11461,Timesheet!$A$13:$A$11461,'Mês 1'!AQ98,Timesheet!$C$13:$C$11461,'Mês 1'!$AZ$75)</f>
        <v>0</v>
      </c>
      <c r="BA98" s="6">
        <f t="shared" si="18"/>
        <v>0</v>
      </c>
      <c r="BB98" s="6">
        <f t="array" ref="BB98">MIN(IF(Timesheet!$A$13:$A$11483='Mês 1'!AQ98,Timesheet!$D$13:$D$11483))</f>
        <v>0</v>
      </c>
      <c r="BC98" s="6">
        <f t="array" ref="BC98">MAX(IF(Timesheet!$A$13:$A$11483='Mês 1'!AQ98,Timesheet!$E$13:$E$11483))</f>
        <v>0</v>
      </c>
      <c r="BE98" s="1">
        <v>45283</v>
      </c>
      <c r="BF98" s="6">
        <f>SUMIFS(Timesheet!$F$13:$F$11461,Timesheet!$A$13:$A$11461,'Mês 1'!BE98,Timesheet!$C$13:$C$11461,'Mês 1'!$BF$75)</f>
        <v>0</v>
      </c>
      <c r="BG98" s="6">
        <f>SUMIFS(Timesheet!$F$13:$F$11461,Timesheet!$A$13:$A$11461,'Mês 1'!BE98,Timesheet!$C$13:$C$11461,'Mês 1'!$BG$75)</f>
        <v>0</v>
      </c>
      <c r="BH98" s="6">
        <f>SUMIFS(Timesheet!$F$13:$F$11461,Timesheet!$A$13:$A$11461,'Mês 1'!BE98,Timesheet!$C$13:$C$11461,'Mês 1'!$BH$75)</f>
        <v>0</v>
      </c>
      <c r="BI98" s="6">
        <f>SUMIFS(Timesheet!$F$13:$F$11461,Timesheet!$A$13:$A$11461,'Mês 1'!BE98,Timesheet!$C$13:$C$11461,'Mês 1'!$BI$75)</f>
        <v>0</v>
      </c>
      <c r="BJ98" s="6">
        <f>SUMIFS(Timesheet!$F$13:$F$11461,Timesheet!$A$13:$A$11461,'Mês 1'!BE98,Timesheet!$C$13:$C$11461,'Mês 1'!$BJ$75)</f>
        <v>0</v>
      </c>
      <c r="BK98" s="6">
        <f>SUMIFS(Timesheet!$F$13:$F$11461,Timesheet!$A$13:$A$11461,'Mês 1'!BE98,Timesheet!$C$13:$C$11461,'Mês 1'!$BK$75)</f>
        <v>0</v>
      </c>
      <c r="BL98" s="6">
        <f>SUMIFS(Timesheet!$F$13:$F$11461,Timesheet!$A$13:$A$11461,'Mês 1'!BE98,Timesheet!$C$13:$C$11461,'Mês 1'!$BL$75)</f>
        <v>0</v>
      </c>
      <c r="BM98" s="6">
        <f>SUMIFS(Timesheet!$F$13:$F$11461,Timesheet!$A$13:$A$11461,'Mês 1'!BE98,Timesheet!$C$13:$C$11461,'Mês 1'!$BM$75)</f>
        <v>0</v>
      </c>
      <c r="BN98" s="6">
        <f>SUMIFS(Timesheet!$F$13:$F$11461,Timesheet!$A$13:$A$11461,'Mês 1'!BE98,Timesheet!$C$13:$C$11461,'Mês 1'!$BN$75)</f>
        <v>0</v>
      </c>
      <c r="BO98" s="6">
        <f t="shared" si="19"/>
        <v>0</v>
      </c>
      <c r="BP98" s="6">
        <f t="array" ref="BP98">MIN(IF(Timesheet!$A$13:$A$11483='Mês 1'!BE98,Timesheet!$D$13:$D$11483))</f>
        <v>0</v>
      </c>
      <c r="BQ98" s="6">
        <f t="array" ref="BQ98">MAX(IF(Timesheet!$A$13:$A$11483='Mês 1'!BE98,Timesheet!$E$13:$E$11483))</f>
        <v>0</v>
      </c>
    </row>
    <row r="99" spans="1:69" x14ac:dyDescent="0.25">
      <c r="A99" s="1">
        <v>45040</v>
      </c>
      <c r="B99" s="6">
        <f>SUMIFS(Timesheet!$F$13:$F$11461,Timesheet!$A$13:$A$11461,'Mês 1'!A99,Timesheet!$C$13:$C$11461,'Mês 1'!$B$75)</f>
        <v>0</v>
      </c>
      <c r="C99" s="6">
        <f>SUMIFS(Timesheet!$F$13:$F$11461,Timesheet!$A$13:$A$11461,'Mês 1'!A99,Timesheet!$C$13:$C$11461,'Mês 1'!$C$75)</f>
        <v>0</v>
      </c>
      <c r="D99" s="6">
        <f>SUMIFS(Timesheet!$F$13:$F$11461,Timesheet!$A$13:$A$11461,'Mês 1'!A99,Timesheet!$C$13:$C$11461,'Mês 1'!$D$75)</f>
        <v>0</v>
      </c>
      <c r="E99" s="6">
        <f>SUMIFS(Timesheet!$F$13:$F$11461,Timesheet!$A$13:$A$11461,'Mês 1'!A99,Timesheet!$C$13:$C$11461,'Mês 1'!$E$75)</f>
        <v>0</v>
      </c>
      <c r="F99" s="6">
        <f>SUMIFS(Timesheet!$F$13:$F$11461,Timesheet!$A$13:$A$11461,'Mês 1'!A99,Timesheet!$C$13:$C$11461,'Mês 1'!$F$75)</f>
        <v>0</v>
      </c>
      <c r="G99" s="6">
        <f>SUMIFS(Timesheet!$F$13:$F$11461,Timesheet!$A$13:$A$11461,'Mês 1'!A99,Timesheet!$C$13:$C$11461,'Mês 1'!$G$75)</f>
        <v>0</v>
      </c>
      <c r="H99" s="6">
        <f>SUMIFS(Timesheet!$F$13:$F$11461,Timesheet!$A$13:$A$11461,'Mês 1'!A99,Timesheet!$C$13:$C$11461,'Mês 1'!$H$75)</f>
        <v>0</v>
      </c>
      <c r="I99" s="6">
        <f>SUMIFS(Timesheet!$F$13:$F$11461,Timesheet!$A$13:$A$11461,'Mês 1'!A99,Timesheet!$C$13:$C$11461,'Mês 1'!$I$75)</f>
        <v>0</v>
      </c>
      <c r="J99" s="6">
        <f>SUMIFS(Timesheet!$F$13:$F$11461,Timesheet!$A$13:$A$11461,'Mês 1'!A99,Timesheet!$C$13:$C$11461,'Mês 1'!$J$75)</f>
        <v>0</v>
      </c>
      <c r="K99" s="6">
        <f t="shared" si="15"/>
        <v>0</v>
      </c>
      <c r="L99" s="6">
        <f t="array" ref="L99">MIN(IF(Timesheet!$A$13:$A$11483='Mês 1'!A99,Timesheet!$D$13:$D$11483))</f>
        <v>0</v>
      </c>
      <c r="M99" s="6">
        <f t="array" ref="M99">MAX(IF(Timesheet!$A$13:$A$11483='Mês 1'!A99,Timesheet!$E$13:$E$11483))</f>
        <v>0</v>
      </c>
      <c r="O99" s="1">
        <v>45101</v>
      </c>
      <c r="P99" s="6">
        <f>SUMIFS(Timesheet!$F$13:$F$11461,Timesheet!$A$13:$A$11461,'Mês 1'!O99,Timesheet!$C$13:$C$11461,'Mês 1'!$P$75)</f>
        <v>0</v>
      </c>
      <c r="Q99" s="6">
        <f>SUMIFS(Timesheet!$F$13:$F$11461,Timesheet!$A$13:$A$11461,'Mês 1'!O99,Timesheet!$C$13:$C$11461,'Mês 1'!$Q$75)</f>
        <v>0</v>
      </c>
      <c r="R99" s="6">
        <f>SUMIFS(Timesheet!$F$13:$F$11461,Timesheet!$A$13:$A$11461,'Mês 1'!O99,Timesheet!$C$13:$C$11461,'Mês 1'!$R$75)</f>
        <v>0</v>
      </c>
      <c r="S99" s="6">
        <f>SUMIFS(Timesheet!$F$13:$F$11461,Timesheet!$A$13:$A$11461,'Mês 1'!O99,Timesheet!$C$13:$C$11461,'Mês 1'!$S$75)</f>
        <v>0</v>
      </c>
      <c r="T99" s="6">
        <f>SUMIFS(Timesheet!$F$13:$F$11461,Timesheet!$A$13:$A$11461,'Mês 1'!O99,Timesheet!$C$13:$C$11461,'Mês 1'!$T$75)</f>
        <v>0</v>
      </c>
      <c r="U99" s="6">
        <f>SUMIFS(Timesheet!$F$13:$F$11461,Timesheet!$A$13:$A$11461,'Mês 1'!O99,Timesheet!$C$13:$C$11461,'Mês 1'!$U$75)</f>
        <v>0</v>
      </c>
      <c r="V99" s="6">
        <f>SUMIFS(Timesheet!$F$13:$F$11461,Timesheet!$A$13:$A$11461,'Mês 1'!O99,Timesheet!$C$13:$C$11461,'Mês 1'!$V$75)</f>
        <v>0</v>
      </c>
      <c r="W99" s="6">
        <f>SUMIFS(Timesheet!$F$13:$F$11461,Timesheet!$A$13:$A$11461,'Mês 1'!O99,Timesheet!$C$13:$C$11461,'Mês 1'!$W$75)</f>
        <v>0</v>
      </c>
      <c r="X99" s="6">
        <f>SUMIFS(Timesheet!$F$13:$F$11461,Timesheet!$A$13:$A$11461,'Mês 1'!O99,Timesheet!$C$13:$C$11461,'Mês 1'!$X$75)</f>
        <v>0</v>
      </c>
      <c r="Y99" s="6">
        <f t="shared" si="16"/>
        <v>0</v>
      </c>
      <c r="Z99" s="6">
        <f t="array" ref="Z99">MIN(IF(Timesheet!$A$13:$A$11483='Mês 1'!O99,Timesheet!$D$13:$D$11483))</f>
        <v>0</v>
      </c>
      <c r="AA99" s="6">
        <f t="array" ref="AA99">MAX(IF(Timesheet!$A$13:$A$11483='Mês 1'!O99,Timesheet!$E$13:$E$11483))</f>
        <v>0</v>
      </c>
      <c r="AC99" s="1">
        <v>45162</v>
      </c>
      <c r="AD99" s="6">
        <f>SUMIFS(Timesheet!$F$13:$F$11461,Timesheet!$A$13:$A$11461,'Mês 1'!AC99,Timesheet!$C$13:$C$11461,'Mês 1'!$AD$75)</f>
        <v>0</v>
      </c>
      <c r="AE99" s="6">
        <f>SUMIFS(Timesheet!$F$13:$F$11461,Timesheet!$A$13:$A$11461,'Mês 1'!AC99,Timesheet!$C$13:$C$11461,'Mês 1'!$AE$75)</f>
        <v>0</v>
      </c>
      <c r="AF99" s="6">
        <f>SUMIFS(Timesheet!$F$13:$F$11461,Timesheet!$A$13:$A$11461,'Mês 1'!AC99,Timesheet!$C$13:$C$11461,'Mês 1'!$AF$75)</f>
        <v>0</v>
      </c>
      <c r="AG99" s="6">
        <f>SUMIFS(Timesheet!$F$13:$F$11461,Timesheet!$A$13:$A$11461,'Mês 1'!AC99,Timesheet!$C$13:$C$11461,'Mês 1'!$AG$75)</f>
        <v>0</v>
      </c>
      <c r="AH99" s="6">
        <f>SUMIFS(Timesheet!$F$13:$F$11461,Timesheet!$A$13:$A$11461,'Mês 1'!AC99,Timesheet!$C$13:$C$11461,'Mês 1'!$AH$75)</f>
        <v>0</v>
      </c>
      <c r="AI99" s="6">
        <f>SUMIFS(Timesheet!$F$13:$F$11461,Timesheet!$A$13:$A$11461,'Mês 1'!AC99,Timesheet!$C$13:$C$11461,'Mês 1'!$AI$75)</f>
        <v>0</v>
      </c>
      <c r="AJ99" s="6">
        <f>SUMIFS(Timesheet!$F$13:$F$11461,Timesheet!$A$13:$A$11461,'Mês 1'!AC99,Timesheet!$C$13:$C$11461,'Mês 1'!AJ$75)</f>
        <v>0</v>
      </c>
      <c r="AK99" s="6">
        <f>SUMIFS(Timesheet!$F$13:$F$11461,Timesheet!$A$13:$A$11461,'Mês 1'!AC99,Timesheet!$C$13:$C$11461,'Mês 1'!$AK$75)</f>
        <v>0</v>
      </c>
      <c r="AL99" s="6">
        <f>SUMIFS(Timesheet!$F$13:$F$11461,Timesheet!$A$13:$A$11461,'Mês 1'!AC99,Timesheet!$C$13:$C$11461,'Mês 1'!$AL$75)</f>
        <v>0</v>
      </c>
      <c r="AM99" s="6">
        <f t="shared" si="17"/>
        <v>0</v>
      </c>
      <c r="AN99" s="6">
        <f t="array" ref="AN99">MIN(IF(Timesheet!$A$13:$A$11483='Mês 1'!AC99,Timesheet!$D$13:$D$11483))</f>
        <v>0</v>
      </c>
      <c r="AO99" s="6">
        <f t="array" ref="AO99">MAX(IF(Timesheet!$A$13:$A$11483='Mês 1'!AC99,Timesheet!$E$13:$E$11483))</f>
        <v>0</v>
      </c>
      <c r="AQ99" s="1">
        <v>45223</v>
      </c>
      <c r="AR99" s="6">
        <f>SUMIFS(Timesheet!$F$13:$F$11461,Timesheet!$A$13:$A$11461,'Mês 1'!AQ99,Timesheet!$C$13:$C$11461,'Mês 1'!$AR$75)</f>
        <v>0</v>
      </c>
      <c r="AS99" s="6">
        <f>SUMIFS(Timesheet!$F$13:$F$11461,Timesheet!$A$13:$A$11461,'Mês 1'!AQ99,Timesheet!$C$13:$C$11461,'Mês 1'!$AS$75)</f>
        <v>0</v>
      </c>
      <c r="AT99" s="6">
        <f>SUMIFS(Timesheet!$F$13:$F$11461,Timesheet!$A$13:$A$11461,'Mês 1'!AQ99,Timesheet!$C$13:$C$11461,'Mês 1'!$AT$75)</f>
        <v>0</v>
      </c>
      <c r="AU99" s="6">
        <f>SUMIFS(Timesheet!$F$13:$F$11461,Timesheet!$A$13:$A$11461,'Mês 1'!AQ99,Timesheet!$C$13:$C$11461,'Mês 1'!$AU$75)</f>
        <v>0</v>
      </c>
      <c r="AV99" s="6">
        <f>SUMIFS(Timesheet!$F$13:$F$11461,Timesheet!$A$13:$A$11461,'Mês 1'!AQ99,Timesheet!$C$13:$C$11461,'Mês 1'!$AV$75)</f>
        <v>0</v>
      </c>
      <c r="AW99" s="6">
        <f>SUMIFS(Timesheet!$F$13:$F$11461,Timesheet!$A$13:$A$11461,'Mês 1'!AQ99,Timesheet!$C$13:$C$11461,'Mês 1'!$AW$75)</f>
        <v>0</v>
      </c>
      <c r="AX99" s="6">
        <f>SUMIFS(Timesheet!$F$13:$F$11461,Timesheet!$A$13:$A$11461,'Mês 1'!AQ99,Timesheet!$C$13:$C$11461,'Mês 1'!$AX$75)</f>
        <v>0</v>
      </c>
      <c r="AY99" s="6">
        <f>SUMIFS(Timesheet!$F$13:$F$11461,Timesheet!$A$13:$A$11461,'Mês 1'!AQ99,Timesheet!$C$13:$C$11461,'Mês 1'!$AY$75)</f>
        <v>0</v>
      </c>
      <c r="AZ99" s="6">
        <f>SUMIFS(Timesheet!$F$13:$F$11461,Timesheet!$A$13:$A$11461,'Mês 1'!AQ99,Timesheet!$C$13:$C$11461,'Mês 1'!$AZ$75)</f>
        <v>0</v>
      </c>
      <c r="BA99" s="6">
        <f t="shared" si="18"/>
        <v>0</v>
      </c>
      <c r="BB99" s="6">
        <f t="array" ref="BB99">MIN(IF(Timesheet!$A$13:$A$11483='Mês 1'!AQ99,Timesheet!$D$13:$D$11483))</f>
        <v>0</v>
      </c>
      <c r="BC99" s="6">
        <f t="array" ref="BC99">MAX(IF(Timesheet!$A$13:$A$11483='Mês 1'!AQ99,Timesheet!$E$13:$E$11483))</f>
        <v>0</v>
      </c>
      <c r="BE99" s="1">
        <v>45284</v>
      </c>
      <c r="BF99" s="6">
        <f>SUMIFS(Timesheet!$F$13:$F$11461,Timesheet!$A$13:$A$11461,'Mês 1'!BE99,Timesheet!$C$13:$C$11461,'Mês 1'!$BF$75)</f>
        <v>0</v>
      </c>
      <c r="BG99" s="6">
        <f>SUMIFS(Timesheet!$F$13:$F$11461,Timesheet!$A$13:$A$11461,'Mês 1'!BE99,Timesheet!$C$13:$C$11461,'Mês 1'!$BG$75)</f>
        <v>0</v>
      </c>
      <c r="BH99" s="6">
        <f>SUMIFS(Timesheet!$F$13:$F$11461,Timesheet!$A$13:$A$11461,'Mês 1'!BE99,Timesheet!$C$13:$C$11461,'Mês 1'!$BH$75)</f>
        <v>0</v>
      </c>
      <c r="BI99" s="6">
        <f>SUMIFS(Timesheet!$F$13:$F$11461,Timesheet!$A$13:$A$11461,'Mês 1'!BE99,Timesheet!$C$13:$C$11461,'Mês 1'!$BI$75)</f>
        <v>0</v>
      </c>
      <c r="BJ99" s="6">
        <f>SUMIFS(Timesheet!$F$13:$F$11461,Timesheet!$A$13:$A$11461,'Mês 1'!BE99,Timesheet!$C$13:$C$11461,'Mês 1'!$BJ$75)</f>
        <v>0</v>
      </c>
      <c r="BK99" s="6">
        <f>SUMIFS(Timesheet!$F$13:$F$11461,Timesheet!$A$13:$A$11461,'Mês 1'!BE99,Timesheet!$C$13:$C$11461,'Mês 1'!$BK$75)</f>
        <v>0</v>
      </c>
      <c r="BL99" s="6">
        <f>SUMIFS(Timesheet!$F$13:$F$11461,Timesheet!$A$13:$A$11461,'Mês 1'!BE99,Timesheet!$C$13:$C$11461,'Mês 1'!$BL$75)</f>
        <v>0</v>
      </c>
      <c r="BM99" s="6">
        <f>SUMIFS(Timesheet!$F$13:$F$11461,Timesheet!$A$13:$A$11461,'Mês 1'!BE99,Timesheet!$C$13:$C$11461,'Mês 1'!$BM$75)</f>
        <v>0</v>
      </c>
      <c r="BN99" s="6">
        <f>SUMIFS(Timesheet!$F$13:$F$11461,Timesheet!$A$13:$A$11461,'Mês 1'!BE99,Timesheet!$C$13:$C$11461,'Mês 1'!$BN$75)</f>
        <v>0</v>
      </c>
      <c r="BO99" s="6">
        <f t="shared" si="19"/>
        <v>0</v>
      </c>
      <c r="BP99" s="6">
        <f t="array" ref="BP99">MIN(IF(Timesheet!$A$13:$A$11483='Mês 1'!BE99,Timesheet!$D$13:$D$11483))</f>
        <v>0</v>
      </c>
      <c r="BQ99" s="6">
        <f t="array" ref="BQ99">MAX(IF(Timesheet!$A$13:$A$11483='Mês 1'!BE99,Timesheet!$E$13:$E$11483))</f>
        <v>0</v>
      </c>
    </row>
    <row r="100" spans="1:69" x14ac:dyDescent="0.25">
      <c r="A100" s="1">
        <v>45041</v>
      </c>
      <c r="B100" s="6">
        <f>SUMIFS(Timesheet!$F$13:$F$11461,Timesheet!$A$13:$A$11461,'Mês 1'!A100,Timesheet!$C$13:$C$11461,'Mês 1'!$B$75)</f>
        <v>0</v>
      </c>
      <c r="C100" s="6">
        <f>SUMIFS(Timesheet!$F$13:$F$11461,Timesheet!$A$13:$A$11461,'Mês 1'!A100,Timesheet!$C$13:$C$11461,'Mês 1'!$C$75)</f>
        <v>0</v>
      </c>
      <c r="D100" s="6">
        <f>SUMIFS(Timesheet!$F$13:$F$11461,Timesheet!$A$13:$A$11461,'Mês 1'!A100,Timesheet!$C$13:$C$11461,'Mês 1'!$D$75)</f>
        <v>0</v>
      </c>
      <c r="E100" s="6">
        <f>SUMIFS(Timesheet!$F$13:$F$11461,Timesheet!$A$13:$A$11461,'Mês 1'!A100,Timesheet!$C$13:$C$11461,'Mês 1'!$E$75)</f>
        <v>0</v>
      </c>
      <c r="F100" s="6">
        <f>SUMIFS(Timesheet!$F$13:$F$11461,Timesheet!$A$13:$A$11461,'Mês 1'!A100,Timesheet!$C$13:$C$11461,'Mês 1'!$F$75)</f>
        <v>0</v>
      </c>
      <c r="G100" s="6">
        <f>SUMIFS(Timesheet!$F$13:$F$11461,Timesheet!$A$13:$A$11461,'Mês 1'!A100,Timesheet!$C$13:$C$11461,'Mês 1'!$G$75)</f>
        <v>0</v>
      </c>
      <c r="H100" s="6">
        <f>SUMIFS(Timesheet!$F$13:$F$11461,Timesheet!$A$13:$A$11461,'Mês 1'!A100,Timesheet!$C$13:$C$11461,'Mês 1'!$H$75)</f>
        <v>0</v>
      </c>
      <c r="I100" s="6">
        <f>SUMIFS(Timesheet!$F$13:$F$11461,Timesheet!$A$13:$A$11461,'Mês 1'!A100,Timesheet!$C$13:$C$11461,'Mês 1'!$I$75)</f>
        <v>0</v>
      </c>
      <c r="J100" s="6">
        <f>SUMIFS(Timesheet!$F$13:$F$11461,Timesheet!$A$13:$A$11461,'Mês 1'!A100,Timesheet!$C$13:$C$11461,'Mês 1'!$J$75)</f>
        <v>0</v>
      </c>
      <c r="K100" s="6">
        <f t="shared" si="15"/>
        <v>0</v>
      </c>
      <c r="L100" s="6">
        <f t="array" ref="L100">MIN(IF(Timesheet!$A$13:$A$11483='Mês 1'!A100,Timesheet!$D$13:$D$11483))</f>
        <v>0</v>
      </c>
      <c r="M100" s="6">
        <f t="array" ref="M100">MAX(IF(Timesheet!$A$13:$A$11483='Mês 1'!A100,Timesheet!$E$13:$E$11483))</f>
        <v>0</v>
      </c>
      <c r="O100" s="1">
        <v>45102</v>
      </c>
      <c r="P100" s="6">
        <f>SUMIFS(Timesheet!$F$13:$F$11461,Timesheet!$A$13:$A$11461,'Mês 1'!O100,Timesheet!$C$13:$C$11461,'Mês 1'!$P$75)</f>
        <v>0</v>
      </c>
      <c r="Q100" s="6">
        <f>SUMIFS(Timesheet!$F$13:$F$11461,Timesheet!$A$13:$A$11461,'Mês 1'!O100,Timesheet!$C$13:$C$11461,'Mês 1'!$Q$75)</f>
        <v>0</v>
      </c>
      <c r="R100" s="6">
        <f>SUMIFS(Timesheet!$F$13:$F$11461,Timesheet!$A$13:$A$11461,'Mês 1'!O100,Timesheet!$C$13:$C$11461,'Mês 1'!$R$75)</f>
        <v>0</v>
      </c>
      <c r="S100" s="6">
        <f>SUMIFS(Timesheet!$F$13:$F$11461,Timesheet!$A$13:$A$11461,'Mês 1'!O100,Timesheet!$C$13:$C$11461,'Mês 1'!$S$75)</f>
        <v>0</v>
      </c>
      <c r="T100" s="6">
        <f>SUMIFS(Timesheet!$F$13:$F$11461,Timesheet!$A$13:$A$11461,'Mês 1'!O100,Timesheet!$C$13:$C$11461,'Mês 1'!$T$75)</f>
        <v>0</v>
      </c>
      <c r="U100" s="6">
        <f>SUMIFS(Timesheet!$F$13:$F$11461,Timesheet!$A$13:$A$11461,'Mês 1'!O100,Timesheet!$C$13:$C$11461,'Mês 1'!$U$75)</f>
        <v>0</v>
      </c>
      <c r="V100" s="6">
        <f>SUMIFS(Timesheet!$F$13:$F$11461,Timesheet!$A$13:$A$11461,'Mês 1'!O100,Timesheet!$C$13:$C$11461,'Mês 1'!$V$75)</f>
        <v>0</v>
      </c>
      <c r="W100" s="6">
        <f>SUMIFS(Timesheet!$F$13:$F$11461,Timesheet!$A$13:$A$11461,'Mês 1'!O100,Timesheet!$C$13:$C$11461,'Mês 1'!$W$75)</f>
        <v>0</v>
      </c>
      <c r="X100" s="6">
        <f>SUMIFS(Timesheet!$F$13:$F$11461,Timesheet!$A$13:$A$11461,'Mês 1'!O100,Timesheet!$C$13:$C$11461,'Mês 1'!$X$75)</f>
        <v>0</v>
      </c>
      <c r="Y100" s="6">
        <f t="shared" si="16"/>
        <v>0</v>
      </c>
      <c r="Z100" s="6">
        <f t="array" ref="Z100">MIN(IF(Timesheet!$A$13:$A$11483='Mês 1'!O100,Timesheet!$D$13:$D$11483))</f>
        <v>0</v>
      </c>
      <c r="AA100" s="6">
        <f t="array" ref="AA100">MAX(IF(Timesheet!$A$13:$A$11483='Mês 1'!O100,Timesheet!$E$13:$E$11483))</f>
        <v>0</v>
      </c>
      <c r="AC100" s="1">
        <v>45163</v>
      </c>
      <c r="AD100" s="6">
        <f>SUMIFS(Timesheet!$F$13:$F$11461,Timesheet!$A$13:$A$11461,'Mês 1'!AC100,Timesheet!$C$13:$C$11461,'Mês 1'!$AD$75)</f>
        <v>0</v>
      </c>
      <c r="AE100" s="6">
        <f>SUMIFS(Timesheet!$F$13:$F$11461,Timesheet!$A$13:$A$11461,'Mês 1'!AC100,Timesheet!$C$13:$C$11461,'Mês 1'!$AE$75)</f>
        <v>0</v>
      </c>
      <c r="AF100" s="6">
        <f>SUMIFS(Timesheet!$F$13:$F$11461,Timesheet!$A$13:$A$11461,'Mês 1'!AC100,Timesheet!$C$13:$C$11461,'Mês 1'!$AF$75)</f>
        <v>0</v>
      </c>
      <c r="AG100" s="6">
        <f>SUMIFS(Timesheet!$F$13:$F$11461,Timesheet!$A$13:$A$11461,'Mês 1'!AC100,Timesheet!$C$13:$C$11461,'Mês 1'!$AG$75)</f>
        <v>0</v>
      </c>
      <c r="AH100" s="6">
        <f>SUMIFS(Timesheet!$F$13:$F$11461,Timesheet!$A$13:$A$11461,'Mês 1'!AC100,Timesheet!$C$13:$C$11461,'Mês 1'!$AH$75)</f>
        <v>0</v>
      </c>
      <c r="AI100" s="6">
        <f>SUMIFS(Timesheet!$F$13:$F$11461,Timesheet!$A$13:$A$11461,'Mês 1'!AC100,Timesheet!$C$13:$C$11461,'Mês 1'!$AI$75)</f>
        <v>0</v>
      </c>
      <c r="AJ100" s="6">
        <f>SUMIFS(Timesheet!$F$13:$F$11461,Timesheet!$A$13:$A$11461,'Mês 1'!AC100,Timesheet!$C$13:$C$11461,'Mês 1'!AJ$75)</f>
        <v>0</v>
      </c>
      <c r="AK100" s="6">
        <f>SUMIFS(Timesheet!$F$13:$F$11461,Timesheet!$A$13:$A$11461,'Mês 1'!AC100,Timesheet!$C$13:$C$11461,'Mês 1'!$AK$75)</f>
        <v>0</v>
      </c>
      <c r="AL100" s="6">
        <f>SUMIFS(Timesheet!$F$13:$F$11461,Timesheet!$A$13:$A$11461,'Mês 1'!AC100,Timesheet!$C$13:$C$11461,'Mês 1'!$AL$75)</f>
        <v>0</v>
      </c>
      <c r="AM100" s="6">
        <f t="shared" si="17"/>
        <v>0</v>
      </c>
      <c r="AN100" s="6">
        <f t="array" ref="AN100">MIN(IF(Timesheet!$A$13:$A$11483='Mês 1'!AC100,Timesheet!$D$13:$D$11483))</f>
        <v>0</v>
      </c>
      <c r="AO100" s="6">
        <f t="array" ref="AO100">MAX(IF(Timesheet!$A$13:$A$11483='Mês 1'!AC100,Timesheet!$E$13:$E$11483))</f>
        <v>0</v>
      </c>
      <c r="AQ100" s="1">
        <v>45224</v>
      </c>
      <c r="AR100" s="6">
        <f>SUMIFS(Timesheet!$F$13:$F$11461,Timesheet!$A$13:$A$11461,'Mês 1'!AQ100,Timesheet!$C$13:$C$11461,'Mês 1'!$AR$75)</f>
        <v>0</v>
      </c>
      <c r="AS100" s="6">
        <f>SUMIFS(Timesheet!$F$13:$F$11461,Timesheet!$A$13:$A$11461,'Mês 1'!AQ100,Timesheet!$C$13:$C$11461,'Mês 1'!$AS$75)</f>
        <v>0</v>
      </c>
      <c r="AT100" s="6">
        <f>SUMIFS(Timesheet!$F$13:$F$11461,Timesheet!$A$13:$A$11461,'Mês 1'!AQ100,Timesheet!$C$13:$C$11461,'Mês 1'!$AT$75)</f>
        <v>0</v>
      </c>
      <c r="AU100" s="6">
        <f>SUMIFS(Timesheet!$F$13:$F$11461,Timesheet!$A$13:$A$11461,'Mês 1'!AQ100,Timesheet!$C$13:$C$11461,'Mês 1'!$AU$75)</f>
        <v>0</v>
      </c>
      <c r="AV100" s="6">
        <f>SUMIFS(Timesheet!$F$13:$F$11461,Timesheet!$A$13:$A$11461,'Mês 1'!AQ100,Timesheet!$C$13:$C$11461,'Mês 1'!$AV$75)</f>
        <v>0</v>
      </c>
      <c r="AW100" s="6">
        <f>SUMIFS(Timesheet!$F$13:$F$11461,Timesheet!$A$13:$A$11461,'Mês 1'!AQ100,Timesheet!$C$13:$C$11461,'Mês 1'!$AW$75)</f>
        <v>0</v>
      </c>
      <c r="AX100" s="6">
        <f>SUMIFS(Timesheet!$F$13:$F$11461,Timesheet!$A$13:$A$11461,'Mês 1'!AQ100,Timesheet!$C$13:$C$11461,'Mês 1'!$AX$75)</f>
        <v>0</v>
      </c>
      <c r="AY100" s="6">
        <f>SUMIFS(Timesheet!$F$13:$F$11461,Timesheet!$A$13:$A$11461,'Mês 1'!AQ100,Timesheet!$C$13:$C$11461,'Mês 1'!$AY$75)</f>
        <v>0</v>
      </c>
      <c r="AZ100" s="6">
        <f>SUMIFS(Timesheet!$F$13:$F$11461,Timesheet!$A$13:$A$11461,'Mês 1'!AQ100,Timesheet!$C$13:$C$11461,'Mês 1'!$AZ$75)</f>
        <v>0</v>
      </c>
      <c r="BA100" s="6">
        <f t="shared" si="18"/>
        <v>0</v>
      </c>
      <c r="BB100" s="6">
        <f t="array" ref="BB100">MIN(IF(Timesheet!$A$13:$A$11483='Mês 1'!AQ100,Timesheet!$D$13:$D$11483))</f>
        <v>0</v>
      </c>
      <c r="BC100" s="6">
        <f t="array" ref="BC100">MAX(IF(Timesheet!$A$13:$A$11483='Mês 1'!AQ100,Timesheet!$E$13:$E$11483))</f>
        <v>0</v>
      </c>
      <c r="BE100" s="1">
        <v>45285</v>
      </c>
      <c r="BF100" s="6">
        <f>SUMIFS(Timesheet!$F$13:$F$11461,Timesheet!$A$13:$A$11461,'Mês 1'!BE100,Timesheet!$C$13:$C$11461,'Mês 1'!$BF$75)</f>
        <v>0</v>
      </c>
      <c r="BG100" s="6">
        <f>SUMIFS(Timesheet!$F$13:$F$11461,Timesheet!$A$13:$A$11461,'Mês 1'!BE100,Timesheet!$C$13:$C$11461,'Mês 1'!$BG$75)</f>
        <v>0</v>
      </c>
      <c r="BH100" s="6">
        <f>SUMIFS(Timesheet!$F$13:$F$11461,Timesheet!$A$13:$A$11461,'Mês 1'!BE100,Timesheet!$C$13:$C$11461,'Mês 1'!$BH$75)</f>
        <v>0</v>
      </c>
      <c r="BI100" s="6">
        <f>SUMIFS(Timesheet!$F$13:$F$11461,Timesheet!$A$13:$A$11461,'Mês 1'!BE100,Timesheet!$C$13:$C$11461,'Mês 1'!$BI$75)</f>
        <v>0</v>
      </c>
      <c r="BJ100" s="6">
        <f>SUMIFS(Timesheet!$F$13:$F$11461,Timesheet!$A$13:$A$11461,'Mês 1'!BE100,Timesheet!$C$13:$C$11461,'Mês 1'!$BJ$75)</f>
        <v>0</v>
      </c>
      <c r="BK100" s="6">
        <f>SUMIFS(Timesheet!$F$13:$F$11461,Timesheet!$A$13:$A$11461,'Mês 1'!BE100,Timesheet!$C$13:$C$11461,'Mês 1'!$BK$75)</f>
        <v>0</v>
      </c>
      <c r="BL100" s="6">
        <f>SUMIFS(Timesheet!$F$13:$F$11461,Timesheet!$A$13:$A$11461,'Mês 1'!BE100,Timesheet!$C$13:$C$11461,'Mês 1'!$BL$75)</f>
        <v>0</v>
      </c>
      <c r="BM100" s="6">
        <f>SUMIFS(Timesheet!$F$13:$F$11461,Timesheet!$A$13:$A$11461,'Mês 1'!BE100,Timesheet!$C$13:$C$11461,'Mês 1'!$BM$75)</f>
        <v>0</v>
      </c>
      <c r="BN100" s="6">
        <f>SUMIFS(Timesheet!$F$13:$F$11461,Timesheet!$A$13:$A$11461,'Mês 1'!BE100,Timesheet!$C$13:$C$11461,'Mês 1'!$BN$75)</f>
        <v>0</v>
      </c>
      <c r="BO100" s="6">
        <f t="shared" si="19"/>
        <v>0</v>
      </c>
      <c r="BP100" s="6">
        <f t="array" ref="BP100">MIN(IF(Timesheet!$A$13:$A$11483='Mês 1'!BE100,Timesheet!$D$13:$D$11483))</f>
        <v>0</v>
      </c>
      <c r="BQ100" s="6">
        <f t="array" ref="BQ100">MAX(IF(Timesheet!$A$13:$A$11483='Mês 1'!BE100,Timesheet!$E$13:$E$11483))</f>
        <v>0</v>
      </c>
    </row>
    <row r="101" spans="1:69" x14ac:dyDescent="0.25">
      <c r="A101" s="1">
        <v>45042</v>
      </c>
      <c r="B101" s="6">
        <f>SUMIFS(Timesheet!$F$13:$F$11461,Timesheet!$A$13:$A$11461,'Mês 1'!A101,Timesheet!$C$13:$C$11461,'Mês 1'!$B$75)</f>
        <v>0</v>
      </c>
      <c r="C101" s="6">
        <f>SUMIFS(Timesheet!$F$13:$F$11461,Timesheet!$A$13:$A$11461,'Mês 1'!A101,Timesheet!$C$13:$C$11461,'Mês 1'!$C$75)</f>
        <v>0</v>
      </c>
      <c r="D101" s="6">
        <f>SUMIFS(Timesheet!$F$13:$F$11461,Timesheet!$A$13:$A$11461,'Mês 1'!A101,Timesheet!$C$13:$C$11461,'Mês 1'!$D$75)</f>
        <v>0</v>
      </c>
      <c r="E101" s="6">
        <f>SUMIFS(Timesheet!$F$13:$F$11461,Timesheet!$A$13:$A$11461,'Mês 1'!A101,Timesheet!$C$13:$C$11461,'Mês 1'!$E$75)</f>
        <v>0</v>
      </c>
      <c r="F101" s="6">
        <f>SUMIFS(Timesheet!$F$13:$F$11461,Timesheet!$A$13:$A$11461,'Mês 1'!A101,Timesheet!$C$13:$C$11461,'Mês 1'!$F$75)</f>
        <v>0</v>
      </c>
      <c r="G101" s="6">
        <f>SUMIFS(Timesheet!$F$13:$F$11461,Timesheet!$A$13:$A$11461,'Mês 1'!A101,Timesheet!$C$13:$C$11461,'Mês 1'!$G$75)</f>
        <v>0</v>
      </c>
      <c r="H101" s="6">
        <f>SUMIFS(Timesheet!$F$13:$F$11461,Timesheet!$A$13:$A$11461,'Mês 1'!A101,Timesheet!$C$13:$C$11461,'Mês 1'!$H$75)</f>
        <v>0</v>
      </c>
      <c r="I101" s="6">
        <f>SUMIFS(Timesheet!$F$13:$F$11461,Timesheet!$A$13:$A$11461,'Mês 1'!A101,Timesheet!$C$13:$C$11461,'Mês 1'!$I$75)</f>
        <v>0</v>
      </c>
      <c r="J101" s="6">
        <f>SUMIFS(Timesheet!$F$13:$F$11461,Timesheet!$A$13:$A$11461,'Mês 1'!A101,Timesheet!$C$13:$C$11461,'Mês 1'!$J$75)</f>
        <v>0</v>
      </c>
      <c r="K101" s="6">
        <f t="shared" si="15"/>
        <v>0</v>
      </c>
      <c r="L101" s="6">
        <f t="array" ref="L101">MIN(IF(Timesheet!$A$13:$A$11483='Mês 1'!A101,Timesheet!$D$13:$D$11483))</f>
        <v>0</v>
      </c>
      <c r="M101" s="6">
        <f t="array" ref="M101">MAX(IF(Timesheet!$A$13:$A$11483='Mês 1'!A101,Timesheet!$E$13:$E$11483))</f>
        <v>0</v>
      </c>
      <c r="O101" s="1">
        <v>45103</v>
      </c>
      <c r="P101" s="6">
        <f>SUMIFS(Timesheet!$F$13:$F$11461,Timesheet!$A$13:$A$11461,'Mês 1'!O101,Timesheet!$C$13:$C$11461,'Mês 1'!$P$75)</f>
        <v>0</v>
      </c>
      <c r="Q101" s="6">
        <f>SUMIFS(Timesheet!$F$13:$F$11461,Timesheet!$A$13:$A$11461,'Mês 1'!O101,Timesheet!$C$13:$C$11461,'Mês 1'!$Q$75)</f>
        <v>0</v>
      </c>
      <c r="R101" s="6">
        <f>SUMIFS(Timesheet!$F$13:$F$11461,Timesheet!$A$13:$A$11461,'Mês 1'!O101,Timesheet!$C$13:$C$11461,'Mês 1'!$R$75)</f>
        <v>0</v>
      </c>
      <c r="S101" s="6">
        <f>SUMIFS(Timesheet!$F$13:$F$11461,Timesheet!$A$13:$A$11461,'Mês 1'!O101,Timesheet!$C$13:$C$11461,'Mês 1'!$S$75)</f>
        <v>0</v>
      </c>
      <c r="T101" s="6">
        <f>SUMIFS(Timesheet!$F$13:$F$11461,Timesheet!$A$13:$A$11461,'Mês 1'!O101,Timesheet!$C$13:$C$11461,'Mês 1'!$T$75)</f>
        <v>0</v>
      </c>
      <c r="U101" s="6">
        <f>SUMIFS(Timesheet!$F$13:$F$11461,Timesheet!$A$13:$A$11461,'Mês 1'!O101,Timesheet!$C$13:$C$11461,'Mês 1'!$U$75)</f>
        <v>0</v>
      </c>
      <c r="V101" s="6">
        <f>SUMIFS(Timesheet!$F$13:$F$11461,Timesheet!$A$13:$A$11461,'Mês 1'!O101,Timesheet!$C$13:$C$11461,'Mês 1'!$V$75)</f>
        <v>0</v>
      </c>
      <c r="W101" s="6">
        <f>SUMIFS(Timesheet!$F$13:$F$11461,Timesheet!$A$13:$A$11461,'Mês 1'!O101,Timesheet!$C$13:$C$11461,'Mês 1'!$W$75)</f>
        <v>0</v>
      </c>
      <c r="X101" s="6">
        <f>SUMIFS(Timesheet!$F$13:$F$11461,Timesheet!$A$13:$A$11461,'Mês 1'!O101,Timesheet!$C$13:$C$11461,'Mês 1'!$X$75)</f>
        <v>0</v>
      </c>
      <c r="Y101" s="6">
        <f t="shared" si="16"/>
        <v>0</v>
      </c>
      <c r="Z101" s="6">
        <f t="array" ref="Z101">MIN(IF(Timesheet!$A$13:$A$11483='Mês 1'!O101,Timesheet!$D$13:$D$11483))</f>
        <v>0</v>
      </c>
      <c r="AA101" s="6">
        <f t="array" ref="AA101">MAX(IF(Timesheet!$A$13:$A$11483='Mês 1'!O101,Timesheet!$E$13:$E$11483))</f>
        <v>0</v>
      </c>
      <c r="AC101" s="1">
        <v>45164</v>
      </c>
      <c r="AD101" s="6">
        <f>SUMIFS(Timesheet!$F$13:$F$11461,Timesheet!$A$13:$A$11461,'Mês 1'!AC101,Timesheet!$C$13:$C$11461,'Mês 1'!$AD$75)</f>
        <v>0</v>
      </c>
      <c r="AE101" s="6">
        <f>SUMIFS(Timesheet!$F$13:$F$11461,Timesheet!$A$13:$A$11461,'Mês 1'!AC101,Timesheet!$C$13:$C$11461,'Mês 1'!$AE$75)</f>
        <v>0</v>
      </c>
      <c r="AF101" s="6">
        <f>SUMIFS(Timesheet!$F$13:$F$11461,Timesheet!$A$13:$A$11461,'Mês 1'!AC101,Timesheet!$C$13:$C$11461,'Mês 1'!$AF$75)</f>
        <v>0</v>
      </c>
      <c r="AG101" s="6">
        <f>SUMIFS(Timesheet!$F$13:$F$11461,Timesheet!$A$13:$A$11461,'Mês 1'!AC101,Timesheet!$C$13:$C$11461,'Mês 1'!$AG$75)</f>
        <v>0</v>
      </c>
      <c r="AH101" s="6">
        <f>SUMIFS(Timesheet!$F$13:$F$11461,Timesheet!$A$13:$A$11461,'Mês 1'!AC101,Timesheet!$C$13:$C$11461,'Mês 1'!$AH$75)</f>
        <v>0</v>
      </c>
      <c r="AI101" s="6">
        <f>SUMIFS(Timesheet!$F$13:$F$11461,Timesheet!$A$13:$A$11461,'Mês 1'!AC101,Timesheet!$C$13:$C$11461,'Mês 1'!$AI$75)</f>
        <v>0</v>
      </c>
      <c r="AJ101" s="6">
        <f>SUMIFS(Timesheet!$F$13:$F$11461,Timesheet!$A$13:$A$11461,'Mês 1'!AC101,Timesheet!$C$13:$C$11461,'Mês 1'!AJ$75)</f>
        <v>0</v>
      </c>
      <c r="AK101" s="6">
        <f>SUMIFS(Timesheet!$F$13:$F$11461,Timesheet!$A$13:$A$11461,'Mês 1'!AC101,Timesheet!$C$13:$C$11461,'Mês 1'!$AK$75)</f>
        <v>0</v>
      </c>
      <c r="AL101" s="6">
        <f>SUMIFS(Timesheet!$F$13:$F$11461,Timesheet!$A$13:$A$11461,'Mês 1'!AC101,Timesheet!$C$13:$C$11461,'Mês 1'!$AL$75)</f>
        <v>0</v>
      </c>
      <c r="AM101" s="6">
        <f t="shared" si="17"/>
        <v>0</v>
      </c>
      <c r="AN101" s="6">
        <f t="array" ref="AN101">MIN(IF(Timesheet!$A$13:$A$11483='Mês 1'!AC101,Timesheet!$D$13:$D$11483))</f>
        <v>0</v>
      </c>
      <c r="AO101" s="6">
        <f t="array" ref="AO101">MAX(IF(Timesheet!$A$13:$A$11483='Mês 1'!AC101,Timesheet!$E$13:$E$11483))</f>
        <v>0</v>
      </c>
      <c r="AQ101" s="1">
        <v>45225</v>
      </c>
      <c r="AR101" s="6">
        <f>SUMIFS(Timesheet!$F$13:$F$11461,Timesheet!$A$13:$A$11461,'Mês 1'!AQ101,Timesheet!$C$13:$C$11461,'Mês 1'!$AR$75)</f>
        <v>0</v>
      </c>
      <c r="AS101" s="6">
        <f>SUMIFS(Timesheet!$F$13:$F$11461,Timesheet!$A$13:$A$11461,'Mês 1'!AQ101,Timesheet!$C$13:$C$11461,'Mês 1'!$AS$75)</f>
        <v>0</v>
      </c>
      <c r="AT101" s="6">
        <f>SUMIFS(Timesheet!$F$13:$F$11461,Timesheet!$A$13:$A$11461,'Mês 1'!AQ101,Timesheet!$C$13:$C$11461,'Mês 1'!$AT$75)</f>
        <v>0</v>
      </c>
      <c r="AU101" s="6">
        <f>SUMIFS(Timesheet!$F$13:$F$11461,Timesheet!$A$13:$A$11461,'Mês 1'!AQ101,Timesheet!$C$13:$C$11461,'Mês 1'!$AU$75)</f>
        <v>0</v>
      </c>
      <c r="AV101" s="6">
        <f>SUMIFS(Timesheet!$F$13:$F$11461,Timesheet!$A$13:$A$11461,'Mês 1'!AQ101,Timesheet!$C$13:$C$11461,'Mês 1'!$AV$75)</f>
        <v>0</v>
      </c>
      <c r="AW101" s="6">
        <f>SUMIFS(Timesheet!$F$13:$F$11461,Timesheet!$A$13:$A$11461,'Mês 1'!AQ101,Timesheet!$C$13:$C$11461,'Mês 1'!$AW$75)</f>
        <v>0</v>
      </c>
      <c r="AX101" s="6">
        <f>SUMIFS(Timesheet!$F$13:$F$11461,Timesheet!$A$13:$A$11461,'Mês 1'!AQ101,Timesheet!$C$13:$C$11461,'Mês 1'!$AX$75)</f>
        <v>0</v>
      </c>
      <c r="AY101" s="6">
        <f>SUMIFS(Timesheet!$F$13:$F$11461,Timesheet!$A$13:$A$11461,'Mês 1'!AQ101,Timesheet!$C$13:$C$11461,'Mês 1'!$AY$75)</f>
        <v>0</v>
      </c>
      <c r="AZ101" s="6">
        <f>SUMIFS(Timesheet!$F$13:$F$11461,Timesheet!$A$13:$A$11461,'Mês 1'!AQ101,Timesheet!$C$13:$C$11461,'Mês 1'!$AZ$75)</f>
        <v>0</v>
      </c>
      <c r="BA101" s="6">
        <f t="shared" si="18"/>
        <v>0</v>
      </c>
      <c r="BB101" s="6">
        <f t="array" ref="BB101">MIN(IF(Timesheet!$A$13:$A$11483='Mês 1'!AQ101,Timesheet!$D$13:$D$11483))</f>
        <v>0</v>
      </c>
      <c r="BC101" s="6">
        <f t="array" ref="BC101">MAX(IF(Timesheet!$A$13:$A$11483='Mês 1'!AQ101,Timesheet!$E$13:$E$11483))</f>
        <v>0</v>
      </c>
      <c r="BE101" s="1">
        <v>45286</v>
      </c>
      <c r="BF101" s="6">
        <f>SUMIFS(Timesheet!$F$13:$F$11461,Timesheet!$A$13:$A$11461,'Mês 1'!BE101,Timesheet!$C$13:$C$11461,'Mês 1'!$BF$75)</f>
        <v>0</v>
      </c>
      <c r="BG101" s="6">
        <f>SUMIFS(Timesheet!$F$13:$F$11461,Timesheet!$A$13:$A$11461,'Mês 1'!BE101,Timesheet!$C$13:$C$11461,'Mês 1'!$BG$75)</f>
        <v>0</v>
      </c>
      <c r="BH101" s="6">
        <f>SUMIFS(Timesheet!$F$13:$F$11461,Timesheet!$A$13:$A$11461,'Mês 1'!BE101,Timesheet!$C$13:$C$11461,'Mês 1'!$BH$75)</f>
        <v>0</v>
      </c>
      <c r="BI101" s="6">
        <f>SUMIFS(Timesheet!$F$13:$F$11461,Timesheet!$A$13:$A$11461,'Mês 1'!BE101,Timesheet!$C$13:$C$11461,'Mês 1'!$BI$75)</f>
        <v>0</v>
      </c>
      <c r="BJ101" s="6">
        <f>SUMIFS(Timesheet!$F$13:$F$11461,Timesheet!$A$13:$A$11461,'Mês 1'!BE101,Timesheet!$C$13:$C$11461,'Mês 1'!$BJ$75)</f>
        <v>0</v>
      </c>
      <c r="BK101" s="6">
        <f>SUMIFS(Timesheet!$F$13:$F$11461,Timesheet!$A$13:$A$11461,'Mês 1'!BE101,Timesheet!$C$13:$C$11461,'Mês 1'!$BK$75)</f>
        <v>0</v>
      </c>
      <c r="BL101" s="6">
        <f>SUMIFS(Timesheet!$F$13:$F$11461,Timesheet!$A$13:$A$11461,'Mês 1'!BE101,Timesheet!$C$13:$C$11461,'Mês 1'!$BL$75)</f>
        <v>0</v>
      </c>
      <c r="BM101" s="6">
        <f>SUMIFS(Timesheet!$F$13:$F$11461,Timesheet!$A$13:$A$11461,'Mês 1'!BE101,Timesheet!$C$13:$C$11461,'Mês 1'!$BM$75)</f>
        <v>0</v>
      </c>
      <c r="BN101" s="6">
        <f>SUMIFS(Timesheet!$F$13:$F$11461,Timesheet!$A$13:$A$11461,'Mês 1'!BE101,Timesheet!$C$13:$C$11461,'Mês 1'!$BN$75)</f>
        <v>0</v>
      </c>
      <c r="BO101" s="6">
        <f t="shared" si="19"/>
        <v>0</v>
      </c>
      <c r="BP101" s="6">
        <f t="array" ref="BP101">MIN(IF(Timesheet!$A$13:$A$11483='Mês 1'!BE101,Timesheet!$D$13:$D$11483))</f>
        <v>0</v>
      </c>
      <c r="BQ101" s="6">
        <f t="array" ref="BQ101">MAX(IF(Timesheet!$A$13:$A$11483='Mês 1'!BE101,Timesheet!$E$13:$E$11483))</f>
        <v>0</v>
      </c>
    </row>
    <row r="102" spans="1:69" x14ac:dyDescent="0.25">
      <c r="A102" s="1">
        <v>45043</v>
      </c>
      <c r="B102" s="6">
        <f>SUMIFS(Timesheet!$F$13:$F$11461,Timesheet!$A$13:$A$11461,'Mês 1'!A102,Timesheet!$C$13:$C$11461,'Mês 1'!$B$75)</f>
        <v>0</v>
      </c>
      <c r="C102" s="6">
        <f>SUMIFS(Timesheet!$F$13:$F$11461,Timesheet!$A$13:$A$11461,'Mês 1'!A102,Timesheet!$C$13:$C$11461,'Mês 1'!$C$75)</f>
        <v>0</v>
      </c>
      <c r="D102" s="6">
        <f>SUMIFS(Timesheet!$F$13:$F$11461,Timesheet!$A$13:$A$11461,'Mês 1'!A102,Timesheet!$C$13:$C$11461,'Mês 1'!$D$75)</f>
        <v>0</v>
      </c>
      <c r="E102" s="6">
        <f>SUMIFS(Timesheet!$F$13:$F$11461,Timesheet!$A$13:$A$11461,'Mês 1'!A102,Timesheet!$C$13:$C$11461,'Mês 1'!$E$75)</f>
        <v>0</v>
      </c>
      <c r="F102" s="6">
        <f>SUMIFS(Timesheet!$F$13:$F$11461,Timesheet!$A$13:$A$11461,'Mês 1'!A102,Timesheet!$C$13:$C$11461,'Mês 1'!$F$75)</f>
        <v>0</v>
      </c>
      <c r="G102" s="6">
        <f>SUMIFS(Timesheet!$F$13:$F$11461,Timesheet!$A$13:$A$11461,'Mês 1'!A102,Timesheet!$C$13:$C$11461,'Mês 1'!$G$75)</f>
        <v>0</v>
      </c>
      <c r="H102" s="6">
        <f>SUMIFS(Timesheet!$F$13:$F$11461,Timesheet!$A$13:$A$11461,'Mês 1'!A102,Timesheet!$C$13:$C$11461,'Mês 1'!$H$75)</f>
        <v>0</v>
      </c>
      <c r="I102" s="6">
        <f>SUMIFS(Timesheet!$F$13:$F$11461,Timesheet!$A$13:$A$11461,'Mês 1'!A102,Timesheet!$C$13:$C$11461,'Mês 1'!$I$75)</f>
        <v>0</v>
      </c>
      <c r="J102" s="6">
        <f>SUMIFS(Timesheet!$F$13:$F$11461,Timesheet!$A$13:$A$11461,'Mês 1'!A102,Timesheet!$C$13:$C$11461,'Mês 1'!$J$75)</f>
        <v>0</v>
      </c>
      <c r="K102" s="6">
        <f t="shared" si="15"/>
        <v>0</v>
      </c>
      <c r="L102" s="6">
        <f t="array" ref="L102">MIN(IF(Timesheet!$A$13:$A$11483='Mês 1'!A102,Timesheet!$D$13:$D$11483))</f>
        <v>0</v>
      </c>
      <c r="M102" s="6">
        <f t="array" ref="M102">MAX(IF(Timesheet!$A$13:$A$11483='Mês 1'!A102,Timesheet!$E$13:$E$11483))</f>
        <v>0</v>
      </c>
      <c r="O102" s="1">
        <v>45104</v>
      </c>
      <c r="P102" s="6">
        <f>SUMIFS(Timesheet!$F$13:$F$11461,Timesheet!$A$13:$A$11461,'Mês 1'!O102,Timesheet!$C$13:$C$11461,'Mês 1'!$P$75)</f>
        <v>0</v>
      </c>
      <c r="Q102" s="6">
        <f>SUMIFS(Timesheet!$F$13:$F$11461,Timesheet!$A$13:$A$11461,'Mês 1'!O102,Timesheet!$C$13:$C$11461,'Mês 1'!$Q$75)</f>
        <v>0</v>
      </c>
      <c r="R102" s="6">
        <f>SUMIFS(Timesheet!$F$13:$F$11461,Timesheet!$A$13:$A$11461,'Mês 1'!O102,Timesheet!$C$13:$C$11461,'Mês 1'!$R$75)</f>
        <v>0</v>
      </c>
      <c r="S102" s="6">
        <f>SUMIFS(Timesheet!$F$13:$F$11461,Timesheet!$A$13:$A$11461,'Mês 1'!O102,Timesheet!$C$13:$C$11461,'Mês 1'!$S$75)</f>
        <v>0</v>
      </c>
      <c r="T102" s="6">
        <f>SUMIFS(Timesheet!$F$13:$F$11461,Timesheet!$A$13:$A$11461,'Mês 1'!O102,Timesheet!$C$13:$C$11461,'Mês 1'!$T$75)</f>
        <v>0</v>
      </c>
      <c r="U102" s="6">
        <f>SUMIFS(Timesheet!$F$13:$F$11461,Timesheet!$A$13:$A$11461,'Mês 1'!O102,Timesheet!$C$13:$C$11461,'Mês 1'!$U$75)</f>
        <v>0</v>
      </c>
      <c r="V102" s="6">
        <f>SUMIFS(Timesheet!$F$13:$F$11461,Timesheet!$A$13:$A$11461,'Mês 1'!O102,Timesheet!$C$13:$C$11461,'Mês 1'!$V$75)</f>
        <v>0</v>
      </c>
      <c r="W102" s="6">
        <f>SUMIFS(Timesheet!$F$13:$F$11461,Timesheet!$A$13:$A$11461,'Mês 1'!O102,Timesheet!$C$13:$C$11461,'Mês 1'!$W$75)</f>
        <v>0</v>
      </c>
      <c r="X102" s="6">
        <f>SUMIFS(Timesheet!$F$13:$F$11461,Timesheet!$A$13:$A$11461,'Mês 1'!O102,Timesheet!$C$13:$C$11461,'Mês 1'!$X$75)</f>
        <v>0</v>
      </c>
      <c r="Y102" s="6">
        <f t="shared" si="16"/>
        <v>0</v>
      </c>
      <c r="Z102" s="6">
        <f t="array" ref="Z102">MIN(IF(Timesheet!$A$13:$A$11483='Mês 1'!O102,Timesheet!$D$13:$D$11483))</f>
        <v>0</v>
      </c>
      <c r="AA102" s="6">
        <f t="array" ref="AA102">MAX(IF(Timesheet!$A$13:$A$11483='Mês 1'!O102,Timesheet!$E$13:$E$11483))</f>
        <v>0</v>
      </c>
      <c r="AC102" s="1">
        <v>45165</v>
      </c>
      <c r="AD102" s="6">
        <f>SUMIFS(Timesheet!$F$13:$F$11461,Timesheet!$A$13:$A$11461,'Mês 1'!AC102,Timesheet!$C$13:$C$11461,'Mês 1'!$AD$75)</f>
        <v>0</v>
      </c>
      <c r="AE102" s="6">
        <f>SUMIFS(Timesheet!$F$13:$F$11461,Timesheet!$A$13:$A$11461,'Mês 1'!AC102,Timesheet!$C$13:$C$11461,'Mês 1'!$AE$75)</f>
        <v>0</v>
      </c>
      <c r="AF102" s="6">
        <f>SUMIFS(Timesheet!$F$13:$F$11461,Timesheet!$A$13:$A$11461,'Mês 1'!AC102,Timesheet!$C$13:$C$11461,'Mês 1'!$AF$75)</f>
        <v>0</v>
      </c>
      <c r="AG102" s="6">
        <f>SUMIFS(Timesheet!$F$13:$F$11461,Timesheet!$A$13:$A$11461,'Mês 1'!AC102,Timesheet!$C$13:$C$11461,'Mês 1'!$AG$75)</f>
        <v>0</v>
      </c>
      <c r="AH102" s="6">
        <f>SUMIFS(Timesheet!$F$13:$F$11461,Timesheet!$A$13:$A$11461,'Mês 1'!AC102,Timesheet!$C$13:$C$11461,'Mês 1'!$AH$75)</f>
        <v>0</v>
      </c>
      <c r="AI102" s="6">
        <f>SUMIFS(Timesheet!$F$13:$F$11461,Timesheet!$A$13:$A$11461,'Mês 1'!AC102,Timesheet!$C$13:$C$11461,'Mês 1'!$AI$75)</f>
        <v>0</v>
      </c>
      <c r="AJ102" s="6">
        <f>SUMIFS(Timesheet!$F$13:$F$11461,Timesheet!$A$13:$A$11461,'Mês 1'!AC102,Timesheet!$C$13:$C$11461,'Mês 1'!AJ$75)</f>
        <v>0</v>
      </c>
      <c r="AK102" s="6">
        <f>SUMIFS(Timesheet!$F$13:$F$11461,Timesheet!$A$13:$A$11461,'Mês 1'!AC102,Timesheet!$C$13:$C$11461,'Mês 1'!$AK$75)</f>
        <v>0</v>
      </c>
      <c r="AL102" s="6">
        <f>SUMIFS(Timesheet!$F$13:$F$11461,Timesheet!$A$13:$A$11461,'Mês 1'!AC102,Timesheet!$C$13:$C$11461,'Mês 1'!$AL$75)</f>
        <v>0</v>
      </c>
      <c r="AM102" s="6">
        <f t="shared" si="17"/>
        <v>0</v>
      </c>
      <c r="AN102" s="6">
        <f t="array" ref="AN102">MIN(IF(Timesheet!$A$13:$A$11483='Mês 1'!AC102,Timesheet!$D$13:$D$11483))</f>
        <v>0</v>
      </c>
      <c r="AO102" s="6">
        <f t="array" ref="AO102">MAX(IF(Timesheet!$A$13:$A$11483='Mês 1'!AC102,Timesheet!$E$13:$E$11483))</f>
        <v>0</v>
      </c>
      <c r="AQ102" s="1">
        <v>45226</v>
      </c>
      <c r="AR102" s="6">
        <f>SUMIFS(Timesheet!$F$13:$F$11461,Timesheet!$A$13:$A$11461,'Mês 1'!AQ102,Timesheet!$C$13:$C$11461,'Mês 1'!$AR$75)</f>
        <v>0</v>
      </c>
      <c r="AS102" s="6">
        <f>SUMIFS(Timesheet!$F$13:$F$11461,Timesheet!$A$13:$A$11461,'Mês 1'!AQ102,Timesheet!$C$13:$C$11461,'Mês 1'!$AS$75)</f>
        <v>0</v>
      </c>
      <c r="AT102" s="6">
        <f>SUMIFS(Timesheet!$F$13:$F$11461,Timesheet!$A$13:$A$11461,'Mês 1'!AQ102,Timesheet!$C$13:$C$11461,'Mês 1'!$AT$75)</f>
        <v>0</v>
      </c>
      <c r="AU102" s="6">
        <f>SUMIFS(Timesheet!$F$13:$F$11461,Timesheet!$A$13:$A$11461,'Mês 1'!AQ102,Timesheet!$C$13:$C$11461,'Mês 1'!$AU$75)</f>
        <v>0</v>
      </c>
      <c r="AV102" s="6">
        <f>SUMIFS(Timesheet!$F$13:$F$11461,Timesheet!$A$13:$A$11461,'Mês 1'!AQ102,Timesheet!$C$13:$C$11461,'Mês 1'!$AV$75)</f>
        <v>0</v>
      </c>
      <c r="AW102" s="6">
        <f>SUMIFS(Timesheet!$F$13:$F$11461,Timesheet!$A$13:$A$11461,'Mês 1'!AQ102,Timesheet!$C$13:$C$11461,'Mês 1'!$AW$75)</f>
        <v>0</v>
      </c>
      <c r="AX102" s="6">
        <f>SUMIFS(Timesheet!$F$13:$F$11461,Timesheet!$A$13:$A$11461,'Mês 1'!AQ102,Timesheet!$C$13:$C$11461,'Mês 1'!$AX$75)</f>
        <v>0</v>
      </c>
      <c r="AY102" s="6">
        <f>SUMIFS(Timesheet!$F$13:$F$11461,Timesheet!$A$13:$A$11461,'Mês 1'!AQ102,Timesheet!$C$13:$C$11461,'Mês 1'!$AY$75)</f>
        <v>0</v>
      </c>
      <c r="AZ102" s="6">
        <f>SUMIFS(Timesheet!$F$13:$F$11461,Timesheet!$A$13:$A$11461,'Mês 1'!AQ102,Timesheet!$C$13:$C$11461,'Mês 1'!$AZ$75)</f>
        <v>0</v>
      </c>
      <c r="BA102" s="6">
        <f t="shared" si="18"/>
        <v>0</v>
      </c>
      <c r="BB102" s="6">
        <f t="array" ref="BB102">MIN(IF(Timesheet!$A$13:$A$11483='Mês 1'!AQ102,Timesheet!$D$13:$D$11483))</f>
        <v>0</v>
      </c>
      <c r="BC102" s="6">
        <f t="array" ref="BC102">MAX(IF(Timesheet!$A$13:$A$11483='Mês 1'!AQ102,Timesheet!$E$13:$E$11483))</f>
        <v>0</v>
      </c>
      <c r="BE102" s="1">
        <v>45287</v>
      </c>
      <c r="BF102" s="6">
        <f>SUMIFS(Timesheet!$F$13:$F$11461,Timesheet!$A$13:$A$11461,'Mês 1'!BE102,Timesheet!$C$13:$C$11461,'Mês 1'!$BF$75)</f>
        <v>0</v>
      </c>
      <c r="BG102" s="6">
        <f>SUMIFS(Timesheet!$F$13:$F$11461,Timesheet!$A$13:$A$11461,'Mês 1'!BE102,Timesheet!$C$13:$C$11461,'Mês 1'!$BG$75)</f>
        <v>0</v>
      </c>
      <c r="BH102" s="6">
        <f>SUMIFS(Timesheet!$F$13:$F$11461,Timesheet!$A$13:$A$11461,'Mês 1'!BE102,Timesheet!$C$13:$C$11461,'Mês 1'!$BH$75)</f>
        <v>0</v>
      </c>
      <c r="BI102" s="6">
        <f>SUMIFS(Timesheet!$F$13:$F$11461,Timesheet!$A$13:$A$11461,'Mês 1'!BE102,Timesheet!$C$13:$C$11461,'Mês 1'!$BI$75)</f>
        <v>0</v>
      </c>
      <c r="BJ102" s="6">
        <f>SUMIFS(Timesheet!$F$13:$F$11461,Timesheet!$A$13:$A$11461,'Mês 1'!BE102,Timesheet!$C$13:$C$11461,'Mês 1'!$BJ$75)</f>
        <v>0</v>
      </c>
      <c r="BK102" s="6">
        <f>SUMIFS(Timesheet!$F$13:$F$11461,Timesheet!$A$13:$A$11461,'Mês 1'!BE102,Timesheet!$C$13:$C$11461,'Mês 1'!$BK$75)</f>
        <v>0</v>
      </c>
      <c r="BL102" s="6">
        <f>SUMIFS(Timesheet!$F$13:$F$11461,Timesheet!$A$13:$A$11461,'Mês 1'!BE102,Timesheet!$C$13:$C$11461,'Mês 1'!$BL$75)</f>
        <v>0</v>
      </c>
      <c r="BM102" s="6">
        <f>SUMIFS(Timesheet!$F$13:$F$11461,Timesheet!$A$13:$A$11461,'Mês 1'!BE102,Timesheet!$C$13:$C$11461,'Mês 1'!$BM$75)</f>
        <v>0</v>
      </c>
      <c r="BN102" s="6">
        <f>SUMIFS(Timesheet!$F$13:$F$11461,Timesheet!$A$13:$A$11461,'Mês 1'!BE102,Timesheet!$C$13:$C$11461,'Mês 1'!$BN$75)</f>
        <v>0</v>
      </c>
      <c r="BO102" s="6">
        <f t="shared" si="19"/>
        <v>0</v>
      </c>
      <c r="BP102" s="6">
        <f t="array" ref="BP102">MIN(IF(Timesheet!$A$13:$A$11483='Mês 1'!BE102,Timesheet!$D$13:$D$11483))</f>
        <v>0</v>
      </c>
      <c r="BQ102" s="6">
        <f t="array" ref="BQ102">MAX(IF(Timesheet!$A$13:$A$11483='Mês 1'!BE102,Timesheet!$E$13:$E$11483))</f>
        <v>0</v>
      </c>
    </row>
    <row r="103" spans="1:69" x14ac:dyDescent="0.25">
      <c r="A103" s="1">
        <v>45044</v>
      </c>
      <c r="B103" s="6">
        <f>SUMIFS(Timesheet!$F$13:$F$11461,Timesheet!$A$13:$A$11461,'Mês 1'!A103,Timesheet!$C$13:$C$11461,'Mês 1'!$B$75)</f>
        <v>0</v>
      </c>
      <c r="C103" s="6">
        <f>SUMIFS(Timesheet!$F$13:$F$11461,Timesheet!$A$13:$A$11461,'Mês 1'!A103,Timesheet!$C$13:$C$11461,'Mês 1'!$C$75)</f>
        <v>0</v>
      </c>
      <c r="D103" s="6">
        <f>SUMIFS(Timesheet!$F$13:$F$11461,Timesheet!$A$13:$A$11461,'Mês 1'!A103,Timesheet!$C$13:$C$11461,'Mês 1'!$D$75)</f>
        <v>0</v>
      </c>
      <c r="E103" s="6">
        <f>SUMIFS(Timesheet!$F$13:$F$11461,Timesheet!$A$13:$A$11461,'Mês 1'!A103,Timesheet!$C$13:$C$11461,'Mês 1'!$E$75)</f>
        <v>0</v>
      </c>
      <c r="F103" s="6">
        <f>SUMIFS(Timesheet!$F$13:$F$11461,Timesheet!$A$13:$A$11461,'Mês 1'!A103,Timesheet!$C$13:$C$11461,'Mês 1'!$F$75)</f>
        <v>0</v>
      </c>
      <c r="G103" s="6">
        <f>SUMIFS(Timesheet!$F$13:$F$11461,Timesheet!$A$13:$A$11461,'Mês 1'!A103,Timesheet!$C$13:$C$11461,'Mês 1'!$G$75)</f>
        <v>0</v>
      </c>
      <c r="H103" s="6">
        <f>SUMIFS(Timesheet!$F$13:$F$11461,Timesheet!$A$13:$A$11461,'Mês 1'!A103,Timesheet!$C$13:$C$11461,'Mês 1'!$H$75)</f>
        <v>0</v>
      </c>
      <c r="I103" s="6">
        <f>SUMIFS(Timesheet!$F$13:$F$11461,Timesheet!$A$13:$A$11461,'Mês 1'!A103,Timesheet!$C$13:$C$11461,'Mês 1'!$I$75)</f>
        <v>0</v>
      </c>
      <c r="J103" s="6">
        <f>SUMIFS(Timesheet!$F$13:$F$11461,Timesheet!$A$13:$A$11461,'Mês 1'!A103,Timesheet!$C$13:$C$11461,'Mês 1'!$J$75)</f>
        <v>0</v>
      </c>
      <c r="K103" s="6">
        <f t="shared" si="15"/>
        <v>0</v>
      </c>
      <c r="L103" s="6">
        <f t="array" ref="L103">MIN(IF(Timesheet!$A$13:$A$11483='Mês 1'!A103,Timesheet!$D$13:$D$11483))</f>
        <v>0</v>
      </c>
      <c r="M103" s="6">
        <f t="array" ref="M103">MAX(IF(Timesheet!$A$13:$A$11483='Mês 1'!A103,Timesheet!$E$13:$E$11483))</f>
        <v>0</v>
      </c>
      <c r="O103" s="1">
        <v>45105</v>
      </c>
      <c r="P103" s="6">
        <f>SUMIFS(Timesheet!$F$13:$F$11461,Timesheet!$A$13:$A$11461,'Mês 1'!O103,Timesheet!$C$13:$C$11461,'Mês 1'!$P$75)</f>
        <v>0</v>
      </c>
      <c r="Q103" s="6">
        <f>SUMIFS(Timesheet!$F$13:$F$11461,Timesheet!$A$13:$A$11461,'Mês 1'!O103,Timesheet!$C$13:$C$11461,'Mês 1'!$Q$75)</f>
        <v>0</v>
      </c>
      <c r="R103" s="6">
        <f>SUMIFS(Timesheet!$F$13:$F$11461,Timesheet!$A$13:$A$11461,'Mês 1'!O103,Timesheet!$C$13:$C$11461,'Mês 1'!$R$75)</f>
        <v>0</v>
      </c>
      <c r="S103" s="6">
        <f>SUMIFS(Timesheet!$F$13:$F$11461,Timesheet!$A$13:$A$11461,'Mês 1'!O103,Timesheet!$C$13:$C$11461,'Mês 1'!$S$75)</f>
        <v>0</v>
      </c>
      <c r="T103" s="6">
        <f>SUMIFS(Timesheet!$F$13:$F$11461,Timesheet!$A$13:$A$11461,'Mês 1'!O103,Timesheet!$C$13:$C$11461,'Mês 1'!$T$75)</f>
        <v>0</v>
      </c>
      <c r="U103" s="6">
        <f>SUMIFS(Timesheet!$F$13:$F$11461,Timesheet!$A$13:$A$11461,'Mês 1'!O103,Timesheet!$C$13:$C$11461,'Mês 1'!$U$75)</f>
        <v>0</v>
      </c>
      <c r="V103" s="6">
        <f>SUMIFS(Timesheet!$F$13:$F$11461,Timesheet!$A$13:$A$11461,'Mês 1'!O103,Timesheet!$C$13:$C$11461,'Mês 1'!$V$75)</f>
        <v>0</v>
      </c>
      <c r="W103" s="6">
        <f>SUMIFS(Timesheet!$F$13:$F$11461,Timesheet!$A$13:$A$11461,'Mês 1'!O103,Timesheet!$C$13:$C$11461,'Mês 1'!$W$75)</f>
        <v>0</v>
      </c>
      <c r="X103" s="6">
        <f>SUMIFS(Timesheet!$F$13:$F$11461,Timesheet!$A$13:$A$11461,'Mês 1'!O103,Timesheet!$C$13:$C$11461,'Mês 1'!$X$75)</f>
        <v>0</v>
      </c>
      <c r="Y103" s="6">
        <f t="shared" si="16"/>
        <v>0</v>
      </c>
      <c r="Z103" s="6">
        <f t="array" ref="Z103">MIN(IF(Timesheet!$A$13:$A$11483='Mês 1'!O103,Timesheet!$D$13:$D$11483))</f>
        <v>0</v>
      </c>
      <c r="AA103" s="6">
        <f t="array" ref="AA103">MAX(IF(Timesheet!$A$13:$A$11483='Mês 1'!O103,Timesheet!$E$13:$E$11483))</f>
        <v>0</v>
      </c>
      <c r="AC103" s="1">
        <v>45166</v>
      </c>
      <c r="AD103" s="6">
        <f>SUMIFS(Timesheet!$F$13:$F$11461,Timesheet!$A$13:$A$11461,'Mês 1'!AC103,Timesheet!$C$13:$C$11461,'Mês 1'!$AD$75)</f>
        <v>0</v>
      </c>
      <c r="AE103" s="6">
        <f>SUMIFS(Timesheet!$F$13:$F$11461,Timesheet!$A$13:$A$11461,'Mês 1'!AC103,Timesheet!$C$13:$C$11461,'Mês 1'!$AE$75)</f>
        <v>0</v>
      </c>
      <c r="AF103" s="6">
        <f>SUMIFS(Timesheet!$F$13:$F$11461,Timesheet!$A$13:$A$11461,'Mês 1'!AC103,Timesheet!$C$13:$C$11461,'Mês 1'!$AF$75)</f>
        <v>0</v>
      </c>
      <c r="AG103" s="6">
        <f>SUMIFS(Timesheet!$F$13:$F$11461,Timesheet!$A$13:$A$11461,'Mês 1'!AC103,Timesheet!$C$13:$C$11461,'Mês 1'!$AG$75)</f>
        <v>0</v>
      </c>
      <c r="AH103" s="6">
        <f>SUMIFS(Timesheet!$F$13:$F$11461,Timesheet!$A$13:$A$11461,'Mês 1'!AC103,Timesheet!$C$13:$C$11461,'Mês 1'!$AH$75)</f>
        <v>0</v>
      </c>
      <c r="AI103" s="6">
        <f>SUMIFS(Timesheet!$F$13:$F$11461,Timesheet!$A$13:$A$11461,'Mês 1'!AC103,Timesheet!$C$13:$C$11461,'Mês 1'!$AI$75)</f>
        <v>0</v>
      </c>
      <c r="AJ103" s="6">
        <f>SUMIFS(Timesheet!$F$13:$F$11461,Timesheet!$A$13:$A$11461,'Mês 1'!AC103,Timesheet!$C$13:$C$11461,'Mês 1'!AJ$75)</f>
        <v>0</v>
      </c>
      <c r="AK103" s="6">
        <f>SUMIFS(Timesheet!$F$13:$F$11461,Timesheet!$A$13:$A$11461,'Mês 1'!AC103,Timesheet!$C$13:$C$11461,'Mês 1'!$AK$75)</f>
        <v>0</v>
      </c>
      <c r="AL103" s="6">
        <f>SUMIFS(Timesheet!$F$13:$F$11461,Timesheet!$A$13:$A$11461,'Mês 1'!AC103,Timesheet!$C$13:$C$11461,'Mês 1'!$AL$75)</f>
        <v>0</v>
      </c>
      <c r="AM103" s="6">
        <f t="shared" si="17"/>
        <v>0</v>
      </c>
      <c r="AN103" s="6">
        <f t="array" ref="AN103">MIN(IF(Timesheet!$A$13:$A$11483='Mês 1'!AC103,Timesheet!$D$13:$D$11483))</f>
        <v>0</v>
      </c>
      <c r="AO103" s="6">
        <f t="array" ref="AO103">MAX(IF(Timesheet!$A$13:$A$11483='Mês 1'!AC103,Timesheet!$E$13:$E$11483))</f>
        <v>0</v>
      </c>
      <c r="AQ103" s="1">
        <v>45227</v>
      </c>
      <c r="AR103" s="6">
        <f>SUMIFS(Timesheet!$F$13:$F$11461,Timesheet!$A$13:$A$11461,'Mês 1'!AQ103,Timesheet!$C$13:$C$11461,'Mês 1'!$AR$75)</f>
        <v>0</v>
      </c>
      <c r="AS103" s="6">
        <f>SUMIFS(Timesheet!$F$13:$F$11461,Timesheet!$A$13:$A$11461,'Mês 1'!AQ103,Timesheet!$C$13:$C$11461,'Mês 1'!$AS$75)</f>
        <v>0</v>
      </c>
      <c r="AT103" s="6">
        <f>SUMIFS(Timesheet!$F$13:$F$11461,Timesheet!$A$13:$A$11461,'Mês 1'!AQ103,Timesheet!$C$13:$C$11461,'Mês 1'!$AT$75)</f>
        <v>0</v>
      </c>
      <c r="AU103" s="6">
        <f>SUMIFS(Timesheet!$F$13:$F$11461,Timesheet!$A$13:$A$11461,'Mês 1'!AQ103,Timesheet!$C$13:$C$11461,'Mês 1'!$AU$75)</f>
        <v>0</v>
      </c>
      <c r="AV103" s="6">
        <f>SUMIFS(Timesheet!$F$13:$F$11461,Timesheet!$A$13:$A$11461,'Mês 1'!AQ103,Timesheet!$C$13:$C$11461,'Mês 1'!$AV$75)</f>
        <v>0</v>
      </c>
      <c r="AW103" s="6">
        <f>SUMIFS(Timesheet!$F$13:$F$11461,Timesheet!$A$13:$A$11461,'Mês 1'!AQ103,Timesheet!$C$13:$C$11461,'Mês 1'!$AW$75)</f>
        <v>0</v>
      </c>
      <c r="AX103" s="6">
        <f>SUMIFS(Timesheet!$F$13:$F$11461,Timesheet!$A$13:$A$11461,'Mês 1'!AQ103,Timesheet!$C$13:$C$11461,'Mês 1'!$AX$75)</f>
        <v>0</v>
      </c>
      <c r="AY103" s="6">
        <f>SUMIFS(Timesheet!$F$13:$F$11461,Timesheet!$A$13:$A$11461,'Mês 1'!AQ103,Timesheet!$C$13:$C$11461,'Mês 1'!$AY$75)</f>
        <v>0</v>
      </c>
      <c r="AZ103" s="6">
        <f>SUMIFS(Timesheet!$F$13:$F$11461,Timesheet!$A$13:$A$11461,'Mês 1'!AQ103,Timesheet!$C$13:$C$11461,'Mês 1'!$AZ$75)</f>
        <v>0</v>
      </c>
      <c r="BA103" s="6">
        <f t="shared" si="18"/>
        <v>0</v>
      </c>
      <c r="BB103" s="6">
        <f t="array" ref="BB103">MIN(IF(Timesheet!$A$13:$A$11483='Mês 1'!AQ103,Timesheet!$D$13:$D$11483))</f>
        <v>0</v>
      </c>
      <c r="BC103" s="6">
        <f t="array" ref="BC103">MAX(IF(Timesheet!$A$13:$A$11483='Mês 1'!AQ103,Timesheet!$E$13:$E$11483))</f>
        <v>0</v>
      </c>
      <c r="BE103" s="1">
        <v>45288</v>
      </c>
      <c r="BF103" s="6">
        <f>SUMIFS(Timesheet!$F$13:$F$11461,Timesheet!$A$13:$A$11461,'Mês 1'!BE103,Timesheet!$C$13:$C$11461,'Mês 1'!$BF$75)</f>
        <v>0</v>
      </c>
      <c r="BG103" s="6">
        <f>SUMIFS(Timesheet!$F$13:$F$11461,Timesheet!$A$13:$A$11461,'Mês 1'!BE103,Timesheet!$C$13:$C$11461,'Mês 1'!$BG$75)</f>
        <v>0</v>
      </c>
      <c r="BH103" s="6">
        <f>SUMIFS(Timesheet!$F$13:$F$11461,Timesheet!$A$13:$A$11461,'Mês 1'!BE103,Timesheet!$C$13:$C$11461,'Mês 1'!$BH$75)</f>
        <v>0</v>
      </c>
      <c r="BI103" s="6">
        <f>SUMIFS(Timesheet!$F$13:$F$11461,Timesheet!$A$13:$A$11461,'Mês 1'!BE103,Timesheet!$C$13:$C$11461,'Mês 1'!$BI$75)</f>
        <v>0</v>
      </c>
      <c r="BJ103" s="6">
        <f>SUMIFS(Timesheet!$F$13:$F$11461,Timesheet!$A$13:$A$11461,'Mês 1'!BE103,Timesheet!$C$13:$C$11461,'Mês 1'!$BJ$75)</f>
        <v>0</v>
      </c>
      <c r="BK103" s="6">
        <f>SUMIFS(Timesheet!$F$13:$F$11461,Timesheet!$A$13:$A$11461,'Mês 1'!BE103,Timesheet!$C$13:$C$11461,'Mês 1'!$BK$75)</f>
        <v>0</v>
      </c>
      <c r="BL103" s="6">
        <f>SUMIFS(Timesheet!$F$13:$F$11461,Timesheet!$A$13:$A$11461,'Mês 1'!BE103,Timesheet!$C$13:$C$11461,'Mês 1'!$BL$75)</f>
        <v>0</v>
      </c>
      <c r="BM103" s="6">
        <f>SUMIFS(Timesheet!$F$13:$F$11461,Timesheet!$A$13:$A$11461,'Mês 1'!BE103,Timesheet!$C$13:$C$11461,'Mês 1'!$BM$75)</f>
        <v>0</v>
      </c>
      <c r="BN103" s="6">
        <f>SUMIFS(Timesheet!$F$13:$F$11461,Timesheet!$A$13:$A$11461,'Mês 1'!BE103,Timesheet!$C$13:$C$11461,'Mês 1'!$BN$75)</f>
        <v>0</v>
      </c>
      <c r="BO103" s="6">
        <f t="shared" si="19"/>
        <v>0</v>
      </c>
      <c r="BP103" s="6">
        <f t="array" ref="BP103">MIN(IF(Timesheet!$A$13:$A$11483='Mês 1'!BE103,Timesheet!$D$13:$D$11483))</f>
        <v>0</v>
      </c>
      <c r="BQ103" s="6">
        <f t="array" ref="BQ103">MAX(IF(Timesheet!$A$13:$A$11483='Mês 1'!BE103,Timesheet!$E$13:$E$11483))</f>
        <v>0</v>
      </c>
    </row>
    <row r="104" spans="1:69" x14ac:dyDescent="0.25">
      <c r="A104" s="1">
        <v>45045</v>
      </c>
      <c r="B104" s="6">
        <f>SUMIFS(Timesheet!$F$13:$F$11461,Timesheet!$A$13:$A$11461,'Mês 1'!A104,Timesheet!$C$13:$C$11461,'Mês 1'!$B$75)</f>
        <v>0</v>
      </c>
      <c r="C104" s="6">
        <f>SUMIFS(Timesheet!$F$13:$F$11461,Timesheet!$A$13:$A$11461,'Mês 1'!A104,Timesheet!$C$13:$C$11461,'Mês 1'!$C$75)</f>
        <v>0</v>
      </c>
      <c r="D104" s="6">
        <f>SUMIFS(Timesheet!$F$13:$F$11461,Timesheet!$A$13:$A$11461,'Mês 1'!A104,Timesheet!$C$13:$C$11461,'Mês 1'!$D$75)</f>
        <v>0</v>
      </c>
      <c r="E104" s="6">
        <f>SUMIFS(Timesheet!$F$13:$F$11461,Timesheet!$A$13:$A$11461,'Mês 1'!A104,Timesheet!$C$13:$C$11461,'Mês 1'!$E$75)</f>
        <v>0</v>
      </c>
      <c r="F104" s="6">
        <f>SUMIFS(Timesheet!$F$13:$F$11461,Timesheet!$A$13:$A$11461,'Mês 1'!A104,Timesheet!$C$13:$C$11461,'Mês 1'!$F$75)</f>
        <v>0</v>
      </c>
      <c r="G104" s="6">
        <f>SUMIFS(Timesheet!$F$13:$F$11461,Timesheet!$A$13:$A$11461,'Mês 1'!A104,Timesheet!$C$13:$C$11461,'Mês 1'!$G$75)</f>
        <v>0</v>
      </c>
      <c r="H104" s="6">
        <f>SUMIFS(Timesheet!$F$13:$F$11461,Timesheet!$A$13:$A$11461,'Mês 1'!A104,Timesheet!$C$13:$C$11461,'Mês 1'!$H$75)</f>
        <v>0</v>
      </c>
      <c r="I104" s="6">
        <f>SUMIFS(Timesheet!$F$13:$F$11461,Timesheet!$A$13:$A$11461,'Mês 1'!A104,Timesheet!$C$13:$C$11461,'Mês 1'!$I$75)</f>
        <v>0</v>
      </c>
      <c r="J104" s="6">
        <f>SUMIFS(Timesheet!$F$13:$F$11461,Timesheet!$A$13:$A$11461,'Mês 1'!A104,Timesheet!$C$13:$C$11461,'Mês 1'!$J$75)</f>
        <v>0</v>
      </c>
      <c r="K104" s="6">
        <f t="shared" si="15"/>
        <v>0</v>
      </c>
      <c r="L104" s="6">
        <f t="array" ref="L104">MIN(IF(Timesheet!$A$13:$A$11483='Mês 1'!A104,Timesheet!$D$13:$D$11483))</f>
        <v>0</v>
      </c>
      <c r="M104" s="6">
        <f t="array" ref="M104">MAX(IF(Timesheet!$A$13:$A$11483='Mês 1'!A104,Timesheet!$E$13:$E$11483))</f>
        <v>0</v>
      </c>
      <c r="O104" s="1">
        <v>45106</v>
      </c>
      <c r="P104" s="6">
        <f>SUMIFS(Timesheet!$F$13:$F$11461,Timesheet!$A$13:$A$11461,'Mês 1'!O104,Timesheet!$C$13:$C$11461,'Mês 1'!$P$75)</f>
        <v>0</v>
      </c>
      <c r="Q104" s="6">
        <f>SUMIFS(Timesheet!$F$13:$F$11461,Timesheet!$A$13:$A$11461,'Mês 1'!O104,Timesheet!$C$13:$C$11461,'Mês 1'!$Q$75)</f>
        <v>0</v>
      </c>
      <c r="R104" s="6">
        <f>SUMIFS(Timesheet!$F$13:$F$11461,Timesheet!$A$13:$A$11461,'Mês 1'!O104,Timesheet!$C$13:$C$11461,'Mês 1'!$R$75)</f>
        <v>0</v>
      </c>
      <c r="S104" s="6">
        <f>SUMIFS(Timesheet!$F$13:$F$11461,Timesheet!$A$13:$A$11461,'Mês 1'!O104,Timesheet!$C$13:$C$11461,'Mês 1'!$S$75)</f>
        <v>0</v>
      </c>
      <c r="T104" s="6">
        <f>SUMIFS(Timesheet!$F$13:$F$11461,Timesheet!$A$13:$A$11461,'Mês 1'!O104,Timesheet!$C$13:$C$11461,'Mês 1'!$T$75)</f>
        <v>0</v>
      </c>
      <c r="U104" s="6">
        <f>SUMIFS(Timesheet!$F$13:$F$11461,Timesheet!$A$13:$A$11461,'Mês 1'!O104,Timesheet!$C$13:$C$11461,'Mês 1'!$U$75)</f>
        <v>0</v>
      </c>
      <c r="V104" s="6">
        <f>SUMIFS(Timesheet!$F$13:$F$11461,Timesheet!$A$13:$A$11461,'Mês 1'!O104,Timesheet!$C$13:$C$11461,'Mês 1'!$V$75)</f>
        <v>0</v>
      </c>
      <c r="W104" s="6">
        <f>SUMIFS(Timesheet!$F$13:$F$11461,Timesheet!$A$13:$A$11461,'Mês 1'!O104,Timesheet!$C$13:$C$11461,'Mês 1'!$W$75)</f>
        <v>0</v>
      </c>
      <c r="X104" s="6">
        <f>SUMIFS(Timesheet!$F$13:$F$11461,Timesheet!$A$13:$A$11461,'Mês 1'!O104,Timesheet!$C$13:$C$11461,'Mês 1'!$X$75)</f>
        <v>0</v>
      </c>
      <c r="Y104" s="6">
        <f t="shared" si="16"/>
        <v>0</v>
      </c>
      <c r="Z104" s="6">
        <f t="array" ref="Z104">MIN(IF(Timesheet!$A$13:$A$11483='Mês 1'!O104,Timesheet!$D$13:$D$11483))</f>
        <v>0</v>
      </c>
      <c r="AA104" s="6">
        <f t="array" ref="AA104">MAX(IF(Timesheet!$A$13:$A$11483='Mês 1'!O104,Timesheet!$E$13:$E$11483))</f>
        <v>0</v>
      </c>
      <c r="AC104" s="1">
        <v>45167</v>
      </c>
      <c r="AD104" s="6">
        <f>SUMIFS(Timesheet!$F$13:$F$11461,Timesheet!$A$13:$A$11461,'Mês 1'!AC104,Timesheet!$C$13:$C$11461,'Mês 1'!$AD$75)</f>
        <v>0</v>
      </c>
      <c r="AE104" s="6">
        <f>SUMIFS(Timesheet!$F$13:$F$11461,Timesheet!$A$13:$A$11461,'Mês 1'!AC104,Timesheet!$C$13:$C$11461,'Mês 1'!$AE$75)</f>
        <v>0</v>
      </c>
      <c r="AF104" s="6">
        <f>SUMIFS(Timesheet!$F$13:$F$11461,Timesheet!$A$13:$A$11461,'Mês 1'!AC104,Timesheet!$C$13:$C$11461,'Mês 1'!$AF$75)</f>
        <v>0</v>
      </c>
      <c r="AG104" s="6">
        <f>SUMIFS(Timesheet!$F$13:$F$11461,Timesheet!$A$13:$A$11461,'Mês 1'!AC104,Timesheet!$C$13:$C$11461,'Mês 1'!$AG$75)</f>
        <v>0</v>
      </c>
      <c r="AH104" s="6">
        <f>SUMIFS(Timesheet!$F$13:$F$11461,Timesheet!$A$13:$A$11461,'Mês 1'!AC104,Timesheet!$C$13:$C$11461,'Mês 1'!$AH$75)</f>
        <v>0</v>
      </c>
      <c r="AI104" s="6">
        <f>SUMIFS(Timesheet!$F$13:$F$11461,Timesheet!$A$13:$A$11461,'Mês 1'!AC104,Timesheet!$C$13:$C$11461,'Mês 1'!$AI$75)</f>
        <v>0</v>
      </c>
      <c r="AJ104" s="6">
        <f>SUMIFS(Timesheet!$F$13:$F$11461,Timesheet!$A$13:$A$11461,'Mês 1'!AC104,Timesheet!$C$13:$C$11461,'Mês 1'!AJ$75)</f>
        <v>0</v>
      </c>
      <c r="AK104" s="6">
        <f>SUMIFS(Timesheet!$F$13:$F$11461,Timesheet!$A$13:$A$11461,'Mês 1'!AC104,Timesheet!$C$13:$C$11461,'Mês 1'!$AK$75)</f>
        <v>0</v>
      </c>
      <c r="AL104" s="6">
        <f>SUMIFS(Timesheet!$F$13:$F$11461,Timesheet!$A$13:$A$11461,'Mês 1'!AC104,Timesheet!$C$13:$C$11461,'Mês 1'!$AL$75)</f>
        <v>0</v>
      </c>
      <c r="AM104" s="6">
        <f t="shared" si="17"/>
        <v>0</v>
      </c>
      <c r="AN104" s="6">
        <f t="array" ref="AN104">MIN(IF(Timesheet!$A$13:$A$11483='Mês 1'!AC104,Timesheet!$D$13:$D$11483))</f>
        <v>0</v>
      </c>
      <c r="AO104" s="6">
        <f t="array" ref="AO104">MAX(IF(Timesheet!$A$13:$A$11483='Mês 1'!AC104,Timesheet!$E$13:$E$11483))</f>
        <v>0</v>
      </c>
      <c r="AQ104" s="1">
        <v>45228</v>
      </c>
      <c r="AR104" s="6">
        <f>SUMIFS(Timesheet!$F$13:$F$11461,Timesheet!$A$13:$A$11461,'Mês 1'!AQ104,Timesheet!$C$13:$C$11461,'Mês 1'!$AR$75)</f>
        <v>0</v>
      </c>
      <c r="AS104" s="6">
        <f>SUMIFS(Timesheet!$F$13:$F$11461,Timesheet!$A$13:$A$11461,'Mês 1'!AQ104,Timesheet!$C$13:$C$11461,'Mês 1'!$AS$75)</f>
        <v>0</v>
      </c>
      <c r="AT104" s="6">
        <f>SUMIFS(Timesheet!$F$13:$F$11461,Timesheet!$A$13:$A$11461,'Mês 1'!AQ104,Timesheet!$C$13:$C$11461,'Mês 1'!$AT$75)</f>
        <v>0</v>
      </c>
      <c r="AU104" s="6">
        <f>SUMIFS(Timesheet!$F$13:$F$11461,Timesheet!$A$13:$A$11461,'Mês 1'!AQ104,Timesheet!$C$13:$C$11461,'Mês 1'!$AU$75)</f>
        <v>0</v>
      </c>
      <c r="AV104" s="6">
        <f>SUMIFS(Timesheet!$F$13:$F$11461,Timesheet!$A$13:$A$11461,'Mês 1'!AQ104,Timesheet!$C$13:$C$11461,'Mês 1'!$AV$75)</f>
        <v>0</v>
      </c>
      <c r="AW104" s="6">
        <f>SUMIFS(Timesheet!$F$13:$F$11461,Timesheet!$A$13:$A$11461,'Mês 1'!AQ104,Timesheet!$C$13:$C$11461,'Mês 1'!$AW$75)</f>
        <v>0</v>
      </c>
      <c r="AX104" s="6">
        <f>SUMIFS(Timesheet!$F$13:$F$11461,Timesheet!$A$13:$A$11461,'Mês 1'!AQ104,Timesheet!$C$13:$C$11461,'Mês 1'!$AX$75)</f>
        <v>0</v>
      </c>
      <c r="AY104" s="6">
        <f>SUMIFS(Timesheet!$F$13:$F$11461,Timesheet!$A$13:$A$11461,'Mês 1'!AQ104,Timesheet!$C$13:$C$11461,'Mês 1'!$AY$75)</f>
        <v>0</v>
      </c>
      <c r="AZ104" s="6">
        <f>SUMIFS(Timesheet!$F$13:$F$11461,Timesheet!$A$13:$A$11461,'Mês 1'!AQ104,Timesheet!$C$13:$C$11461,'Mês 1'!$AZ$75)</f>
        <v>0</v>
      </c>
      <c r="BA104" s="6">
        <f t="shared" si="18"/>
        <v>0</v>
      </c>
      <c r="BB104" s="6">
        <f t="array" ref="BB104">MIN(IF(Timesheet!$A$13:$A$11483='Mês 1'!AQ104,Timesheet!$D$13:$D$11483))</f>
        <v>0</v>
      </c>
      <c r="BC104" s="6">
        <f t="array" ref="BC104">MAX(IF(Timesheet!$A$13:$A$11483='Mês 1'!AQ104,Timesheet!$E$13:$E$11483))</f>
        <v>0</v>
      </c>
      <c r="BE104" s="1">
        <v>45289</v>
      </c>
      <c r="BF104" s="6">
        <f>SUMIFS(Timesheet!$F$13:$F$11461,Timesheet!$A$13:$A$11461,'Mês 1'!BE104,Timesheet!$C$13:$C$11461,'Mês 1'!$BF$75)</f>
        <v>0</v>
      </c>
      <c r="BG104" s="6">
        <f>SUMIFS(Timesheet!$F$13:$F$11461,Timesheet!$A$13:$A$11461,'Mês 1'!BE104,Timesheet!$C$13:$C$11461,'Mês 1'!$BG$75)</f>
        <v>0</v>
      </c>
      <c r="BH104" s="6">
        <f>SUMIFS(Timesheet!$F$13:$F$11461,Timesheet!$A$13:$A$11461,'Mês 1'!BE104,Timesheet!$C$13:$C$11461,'Mês 1'!$BH$75)</f>
        <v>0</v>
      </c>
      <c r="BI104" s="6">
        <f>SUMIFS(Timesheet!$F$13:$F$11461,Timesheet!$A$13:$A$11461,'Mês 1'!BE104,Timesheet!$C$13:$C$11461,'Mês 1'!$BI$75)</f>
        <v>0</v>
      </c>
      <c r="BJ104" s="6">
        <f>SUMIFS(Timesheet!$F$13:$F$11461,Timesheet!$A$13:$A$11461,'Mês 1'!BE104,Timesheet!$C$13:$C$11461,'Mês 1'!$BJ$75)</f>
        <v>0</v>
      </c>
      <c r="BK104" s="6">
        <f>SUMIFS(Timesheet!$F$13:$F$11461,Timesheet!$A$13:$A$11461,'Mês 1'!BE104,Timesheet!$C$13:$C$11461,'Mês 1'!$BK$75)</f>
        <v>0</v>
      </c>
      <c r="BL104" s="6">
        <f>SUMIFS(Timesheet!$F$13:$F$11461,Timesheet!$A$13:$A$11461,'Mês 1'!BE104,Timesheet!$C$13:$C$11461,'Mês 1'!$BL$75)</f>
        <v>0</v>
      </c>
      <c r="BM104" s="6">
        <f>SUMIFS(Timesheet!$F$13:$F$11461,Timesheet!$A$13:$A$11461,'Mês 1'!BE104,Timesheet!$C$13:$C$11461,'Mês 1'!$BM$75)</f>
        <v>0</v>
      </c>
      <c r="BN104" s="6">
        <f>SUMIFS(Timesheet!$F$13:$F$11461,Timesheet!$A$13:$A$11461,'Mês 1'!BE104,Timesheet!$C$13:$C$11461,'Mês 1'!$BN$75)</f>
        <v>0</v>
      </c>
      <c r="BO104" s="6">
        <f t="shared" si="19"/>
        <v>0</v>
      </c>
      <c r="BP104" s="6">
        <f t="array" ref="BP104">MIN(IF(Timesheet!$A$13:$A$11483='Mês 1'!BE104,Timesheet!$D$13:$D$11483))</f>
        <v>0</v>
      </c>
      <c r="BQ104" s="6">
        <f t="array" ref="BQ104">MAX(IF(Timesheet!$A$13:$A$11483='Mês 1'!BE104,Timesheet!$E$13:$E$11483))</f>
        <v>0</v>
      </c>
    </row>
    <row r="105" spans="1:69" x14ac:dyDescent="0.25">
      <c r="A105" s="1">
        <v>45046</v>
      </c>
      <c r="B105" s="6">
        <f>SUMIFS(Timesheet!$F$13:$F$11461,Timesheet!$A$13:$A$11461,'Mês 1'!A105,Timesheet!$C$13:$C$11461,'Mês 1'!$B$75)</f>
        <v>0</v>
      </c>
      <c r="C105" s="6">
        <f>SUMIFS(Timesheet!$F$13:$F$11461,Timesheet!$A$13:$A$11461,'Mês 1'!A105,Timesheet!$C$13:$C$11461,'Mês 1'!$C$75)</f>
        <v>0</v>
      </c>
      <c r="D105" s="6">
        <f>SUMIFS(Timesheet!$F$13:$F$11461,Timesheet!$A$13:$A$11461,'Mês 1'!A105,Timesheet!$C$13:$C$11461,'Mês 1'!$D$75)</f>
        <v>0</v>
      </c>
      <c r="E105" s="6">
        <f>SUMIFS(Timesheet!$F$13:$F$11461,Timesheet!$A$13:$A$11461,'Mês 1'!A105,Timesheet!$C$13:$C$11461,'Mês 1'!$E$75)</f>
        <v>0</v>
      </c>
      <c r="F105" s="6">
        <f>SUMIFS(Timesheet!$F$13:$F$11461,Timesheet!$A$13:$A$11461,'Mês 1'!A105,Timesheet!$C$13:$C$11461,'Mês 1'!$F$75)</f>
        <v>0</v>
      </c>
      <c r="G105" s="6">
        <f>SUMIFS(Timesheet!$F$13:$F$11461,Timesheet!$A$13:$A$11461,'Mês 1'!A105,Timesheet!$C$13:$C$11461,'Mês 1'!$G$75)</f>
        <v>0</v>
      </c>
      <c r="H105" s="6">
        <f>SUMIFS(Timesheet!$F$13:$F$11461,Timesheet!$A$13:$A$11461,'Mês 1'!A105,Timesheet!$C$13:$C$11461,'Mês 1'!$H$75)</f>
        <v>0</v>
      </c>
      <c r="I105" s="6">
        <f>SUMIFS(Timesheet!$F$13:$F$11461,Timesheet!$A$13:$A$11461,'Mês 1'!A105,Timesheet!$C$13:$C$11461,'Mês 1'!$I$75)</f>
        <v>0</v>
      </c>
      <c r="J105" s="6">
        <f>SUMIFS(Timesheet!$F$13:$F$11461,Timesheet!$A$13:$A$11461,'Mês 1'!A105,Timesheet!$C$13:$C$11461,'Mês 1'!$J$75)</f>
        <v>0</v>
      </c>
      <c r="K105" s="6">
        <f t="shared" si="15"/>
        <v>0</v>
      </c>
      <c r="L105" s="6">
        <f t="array" ref="L105">MIN(IF(Timesheet!$A$13:$A$11483='Mês 1'!A105,Timesheet!$D$13:$D$11483))</f>
        <v>0</v>
      </c>
      <c r="M105" s="6">
        <f t="array" ref="M105">MAX(IF(Timesheet!$A$13:$A$11483='Mês 1'!A105,Timesheet!$E$13:$E$11483))</f>
        <v>0</v>
      </c>
      <c r="O105" s="1">
        <v>45107</v>
      </c>
      <c r="P105" s="6">
        <f>SUMIFS(Timesheet!$F$13:$F$11461,Timesheet!$A$13:$A$11461,'Mês 1'!O105,Timesheet!$C$13:$C$11461,'Mês 1'!$P$75)</f>
        <v>0</v>
      </c>
      <c r="Q105" s="6">
        <f>SUMIFS(Timesheet!$F$13:$F$11461,Timesheet!$A$13:$A$11461,'Mês 1'!O105,Timesheet!$C$13:$C$11461,'Mês 1'!$Q$75)</f>
        <v>0</v>
      </c>
      <c r="R105" s="6">
        <f>SUMIFS(Timesheet!$F$13:$F$11461,Timesheet!$A$13:$A$11461,'Mês 1'!O105,Timesheet!$C$13:$C$11461,'Mês 1'!$R$75)</f>
        <v>0</v>
      </c>
      <c r="S105" s="6">
        <f>SUMIFS(Timesheet!$F$13:$F$11461,Timesheet!$A$13:$A$11461,'Mês 1'!O105,Timesheet!$C$13:$C$11461,'Mês 1'!$S$75)</f>
        <v>0</v>
      </c>
      <c r="T105" s="6">
        <f>SUMIFS(Timesheet!$F$13:$F$11461,Timesheet!$A$13:$A$11461,'Mês 1'!O105,Timesheet!$C$13:$C$11461,'Mês 1'!$T$75)</f>
        <v>0</v>
      </c>
      <c r="U105" s="6">
        <f>SUMIFS(Timesheet!$F$13:$F$11461,Timesheet!$A$13:$A$11461,'Mês 1'!O105,Timesheet!$C$13:$C$11461,'Mês 1'!$U$75)</f>
        <v>0</v>
      </c>
      <c r="V105" s="6">
        <f>SUMIFS(Timesheet!$F$13:$F$11461,Timesheet!$A$13:$A$11461,'Mês 1'!O105,Timesheet!$C$13:$C$11461,'Mês 1'!$V$75)</f>
        <v>0</v>
      </c>
      <c r="W105" s="6">
        <f>SUMIFS(Timesheet!$F$13:$F$11461,Timesheet!$A$13:$A$11461,'Mês 1'!O105,Timesheet!$C$13:$C$11461,'Mês 1'!$W$75)</f>
        <v>0</v>
      </c>
      <c r="X105" s="6">
        <f>SUMIFS(Timesheet!$F$13:$F$11461,Timesheet!$A$13:$A$11461,'Mês 1'!O105,Timesheet!$C$13:$C$11461,'Mês 1'!$X$75)</f>
        <v>0</v>
      </c>
      <c r="Y105" s="6">
        <f t="shared" si="16"/>
        <v>0</v>
      </c>
      <c r="Z105" s="6">
        <f t="array" ref="Z105">MIN(IF(Timesheet!$A$13:$A$11483='Mês 1'!O105,Timesheet!$D$13:$D$11483))</f>
        <v>0</v>
      </c>
      <c r="AA105" s="6">
        <f t="array" ref="AA105">MAX(IF(Timesheet!$A$13:$A$11483='Mês 1'!O105,Timesheet!$E$13:$E$11483))</f>
        <v>0</v>
      </c>
      <c r="AC105" s="1">
        <v>45168</v>
      </c>
      <c r="AD105" s="6">
        <f>SUMIFS(Timesheet!$F$13:$F$11461,Timesheet!$A$13:$A$11461,'Mês 1'!AC105,Timesheet!$C$13:$C$11461,'Mês 1'!$AD$75)</f>
        <v>0</v>
      </c>
      <c r="AE105" s="6">
        <f>SUMIFS(Timesheet!$F$13:$F$11461,Timesheet!$A$13:$A$11461,'Mês 1'!AC105,Timesheet!$C$13:$C$11461,'Mês 1'!$AE$75)</f>
        <v>0</v>
      </c>
      <c r="AF105" s="6">
        <f>SUMIFS(Timesheet!$F$13:$F$11461,Timesheet!$A$13:$A$11461,'Mês 1'!AC105,Timesheet!$C$13:$C$11461,'Mês 1'!$AF$75)</f>
        <v>0</v>
      </c>
      <c r="AG105" s="6">
        <f>SUMIFS(Timesheet!$F$13:$F$11461,Timesheet!$A$13:$A$11461,'Mês 1'!AC105,Timesheet!$C$13:$C$11461,'Mês 1'!$AG$75)</f>
        <v>0</v>
      </c>
      <c r="AH105" s="6">
        <f>SUMIFS(Timesheet!$F$13:$F$11461,Timesheet!$A$13:$A$11461,'Mês 1'!AC105,Timesheet!$C$13:$C$11461,'Mês 1'!$AH$75)</f>
        <v>0</v>
      </c>
      <c r="AI105" s="6">
        <f>SUMIFS(Timesheet!$F$13:$F$11461,Timesheet!$A$13:$A$11461,'Mês 1'!AC105,Timesheet!$C$13:$C$11461,'Mês 1'!$AI$75)</f>
        <v>0</v>
      </c>
      <c r="AJ105" s="6">
        <f>SUMIFS(Timesheet!$F$13:$F$11461,Timesheet!$A$13:$A$11461,'Mês 1'!AC105,Timesheet!$C$13:$C$11461,'Mês 1'!AJ$75)</f>
        <v>0</v>
      </c>
      <c r="AK105" s="6">
        <f>SUMIFS(Timesheet!$F$13:$F$11461,Timesheet!$A$13:$A$11461,'Mês 1'!AC105,Timesheet!$C$13:$C$11461,'Mês 1'!$AK$75)</f>
        <v>0</v>
      </c>
      <c r="AL105" s="6">
        <f>SUMIFS(Timesheet!$F$13:$F$11461,Timesheet!$A$13:$A$11461,'Mês 1'!AC105,Timesheet!$C$13:$C$11461,'Mês 1'!$AL$75)</f>
        <v>0</v>
      </c>
      <c r="AM105" s="6">
        <f t="shared" si="17"/>
        <v>0</v>
      </c>
      <c r="AN105" s="6">
        <f t="array" ref="AN105">MIN(IF(Timesheet!$A$13:$A$11483='Mês 1'!AC105,Timesheet!$D$13:$D$11483))</f>
        <v>0</v>
      </c>
      <c r="AO105" s="6">
        <f t="array" ref="AO105">MAX(IF(Timesheet!$A$13:$A$11483='Mês 1'!AC105,Timesheet!$E$13:$E$11483))</f>
        <v>0</v>
      </c>
      <c r="AQ105" s="1">
        <v>45229</v>
      </c>
      <c r="AR105" s="6">
        <f>SUMIFS(Timesheet!$F$13:$F$11461,Timesheet!$A$13:$A$11461,'Mês 1'!AQ105,Timesheet!$C$13:$C$11461,'Mês 1'!$AR$75)</f>
        <v>0</v>
      </c>
      <c r="AS105" s="6">
        <f>SUMIFS(Timesheet!$F$13:$F$11461,Timesheet!$A$13:$A$11461,'Mês 1'!AQ105,Timesheet!$C$13:$C$11461,'Mês 1'!$AS$75)</f>
        <v>0</v>
      </c>
      <c r="AT105" s="6">
        <f>SUMIFS(Timesheet!$F$13:$F$11461,Timesheet!$A$13:$A$11461,'Mês 1'!AQ105,Timesheet!$C$13:$C$11461,'Mês 1'!$AT$75)</f>
        <v>0</v>
      </c>
      <c r="AU105" s="6">
        <f>SUMIFS(Timesheet!$F$13:$F$11461,Timesheet!$A$13:$A$11461,'Mês 1'!AQ105,Timesheet!$C$13:$C$11461,'Mês 1'!$AU$75)</f>
        <v>0</v>
      </c>
      <c r="AV105" s="6">
        <f>SUMIFS(Timesheet!$F$13:$F$11461,Timesheet!$A$13:$A$11461,'Mês 1'!AQ105,Timesheet!$C$13:$C$11461,'Mês 1'!$AV$75)</f>
        <v>0</v>
      </c>
      <c r="AW105" s="6">
        <f>SUMIFS(Timesheet!$F$13:$F$11461,Timesheet!$A$13:$A$11461,'Mês 1'!AQ105,Timesheet!$C$13:$C$11461,'Mês 1'!$AW$75)</f>
        <v>0</v>
      </c>
      <c r="AX105" s="6">
        <f>SUMIFS(Timesheet!$F$13:$F$11461,Timesheet!$A$13:$A$11461,'Mês 1'!AQ105,Timesheet!$C$13:$C$11461,'Mês 1'!$AX$75)</f>
        <v>0</v>
      </c>
      <c r="AY105" s="6">
        <f>SUMIFS(Timesheet!$F$13:$F$11461,Timesheet!$A$13:$A$11461,'Mês 1'!AQ105,Timesheet!$C$13:$C$11461,'Mês 1'!$AY$75)</f>
        <v>0</v>
      </c>
      <c r="AZ105" s="6">
        <f>SUMIFS(Timesheet!$F$13:$F$11461,Timesheet!$A$13:$A$11461,'Mês 1'!AQ105,Timesheet!$C$13:$C$11461,'Mês 1'!$AZ$75)</f>
        <v>0</v>
      </c>
      <c r="BA105" s="6">
        <f t="shared" si="18"/>
        <v>0</v>
      </c>
      <c r="BB105" s="6">
        <f t="array" ref="BB105">MIN(IF(Timesheet!$A$13:$A$11483='Mês 1'!AQ105,Timesheet!$D$13:$D$11483))</f>
        <v>0</v>
      </c>
      <c r="BC105" s="6">
        <f t="array" ref="BC105">MAX(IF(Timesheet!$A$13:$A$11483='Mês 1'!AQ105,Timesheet!$E$13:$E$11483))</f>
        <v>0</v>
      </c>
      <c r="BE105" s="1">
        <v>45290</v>
      </c>
      <c r="BF105" s="6">
        <f>SUMIFS(Timesheet!$F$13:$F$11461,Timesheet!$A$13:$A$11461,'Mês 1'!BE105,Timesheet!$C$13:$C$11461,'Mês 1'!$BF$75)</f>
        <v>0</v>
      </c>
      <c r="BG105" s="6">
        <f>SUMIFS(Timesheet!$F$13:$F$11461,Timesheet!$A$13:$A$11461,'Mês 1'!BE105,Timesheet!$C$13:$C$11461,'Mês 1'!$BG$75)</f>
        <v>0</v>
      </c>
      <c r="BH105" s="6">
        <f>SUMIFS(Timesheet!$F$13:$F$11461,Timesheet!$A$13:$A$11461,'Mês 1'!BE105,Timesheet!$C$13:$C$11461,'Mês 1'!$BH$75)</f>
        <v>0</v>
      </c>
      <c r="BI105" s="6">
        <f>SUMIFS(Timesheet!$F$13:$F$11461,Timesheet!$A$13:$A$11461,'Mês 1'!BE105,Timesheet!$C$13:$C$11461,'Mês 1'!$BI$75)</f>
        <v>0</v>
      </c>
      <c r="BJ105" s="6">
        <f>SUMIFS(Timesheet!$F$13:$F$11461,Timesheet!$A$13:$A$11461,'Mês 1'!BE105,Timesheet!$C$13:$C$11461,'Mês 1'!$BJ$75)</f>
        <v>0</v>
      </c>
      <c r="BK105" s="6">
        <f>SUMIFS(Timesheet!$F$13:$F$11461,Timesheet!$A$13:$A$11461,'Mês 1'!BE105,Timesheet!$C$13:$C$11461,'Mês 1'!$BK$75)</f>
        <v>0</v>
      </c>
      <c r="BL105" s="6">
        <f>SUMIFS(Timesheet!$F$13:$F$11461,Timesheet!$A$13:$A$11461,'Mês 1'!BE105,Timesheet!$C$13:$C$11461,'Mês 1'!$BL$75)</f>
        <v>0</v>
      </c>
      <c r="BM105" s="6">
        <f>SUMIFS(Timesheet!$F$13:$F$11461,Timesheet!$A$13:$A$11461,'Mês 1'!BE105,Timesheet!$C$13:$C$11461,'Mês 1'!$BM$75)</f>
        <v>0</v>
      </c>
      <c r="BN105" s="6">
        <f>SUMIFS(Timesheet!$F$13:$F$11461,Timesheet!$A$13:$A$11461,'Mês 1'!BE105,Timesheet!$C$13:$C$11461,'Mês 1'!$BN$75)</f>
        <v>0</v>
      </c>
      <c r="BO105" s="6">
        <f t="shared" si="19"/>
        <v>0</v>
      </c>
      <c r="BP105" s="6">
        <f t="array" ref="BP105">MIN(IF(Timesheet!$A$13:$A$11483='Mês 1'!BE105,Timesheet!$D$13:$D$11483))</f>
        <v>0</v>
      </c>
      <c r="BQ105" s="6">
        <f t="array" ref="BQ105">MAX(IF(Timesheet!$A$13:$A$11483='Mês 1'!BE105,Timesheet!$E$13:$E$11483))</f>
        <v>0</v>
      </c>
    </row>
    <row r="106" spans="1:69" x14ac:dyDescent="0.25">
      <c r="A106" s="4" t="s">
        <v>12</v>
      </c>
      <c r="B106" s="7">
        <f t="shared" ref="B106:J106" si="20">+SUM(B76:B105)</f>
        <v>0.19791666666666663</v>
      </c>
      <c r="C106" s="7">
        <f t="shared" si="20"/>
        <v>0.31875000000000003</v>
      </c>
      <c r="D106" s="7">
        <f t="shared" si="20"/>
        <v>0</v>
      </c>
      <c r="E106" s="7">
        <f t="shared" si="20"/>
        <v>0</v>
      </c>
      <c r="F106" s="7">
        <f t="shared" si="20"/>
        <v>0</v>
      </c>
      <c r="G106" s="7">
        <f t="shared" si="20"/>
        <v>0</v>
      </c>
      <c r="H106" s="7">
        <f t="shared" si="20"/>
        <v>0.22916666666666657</v>
      </c>
      <c r="I106" s="7">
        <f t="shared" si="20"/>
        <v>0.50000000000000011</v>
      </c>
      <c r="J106" s="7">
        <f t="shared" si="20"/>
        <v>0</v>
      </c>
      <c r="K106" s="7">
        <f>+SUM(K76:K105)</f>
        <v>1.2458333333333333</v>
      </c>
      <c r="L106" s="7">
        <f>AVERAGEIF(L76:L105, "&gt;0")</f>
        <v>0.43379629629629629</v>
      </c>
      <c r="M106" s="7">
        <f>AVERAGEIF(M76:M105, "&gt;0")</f>
        <v>0.65150462962962974</v>
      </c>
      <c r="O106" s="4" t="s">
        <v>12</v>
      </c>
      <c r="P106" s="7">
        <f t="shared" ref="P106:Y106" si="21">+SUM(P76:P105)</f>
        <v>0</v>
      </c>
      <c r="Q106" s="7">
        <f t="shared" si="21"/>
        <v>0</v>
      </c>
      <c r="R106" s="7">
        <f t="shared" si="21"/>
        <v>0</v>
      </c>
      <c r="S106" s="7">
        <f t="shared" si="21"/>
        <v>0</v>
      </c>
      <c r="T106" s="7">
        <f t="shared" si="21"/>
        <v>0</v>
      </c>
      <c r="U106" s="7">
        <f t="shared" si="21"/>
        <v>0</v>
      </c>
      <c r="V106" s="7">
        <f t="shared" si="21"/>
        <v>0</v>
      </c>
      <c r="W106" s="7">
        <f t="shared" si="21"/>
        <v>0</v>
      </c>
      <c r="X106" s="7">
        <f t="shared" si="21"/>
        <v>0</v>
      </c>
      <c r="Y106" s="7">
        <f t="shared" si="21"/>
        <v>0</v>
      </c>
      <c r="Z106" s="7" t="e">
        <f>AVERAGEIF(Z76:Z105, "&gt;0")</f>
        <v>#DIV/0!</v>
      </c>
      <c r="AA106" s="7" t="e">
        <f>AVERAGEIF(AA76:AA105, "&gt;0")</f>
        <v>#DIV/0!</v>
      </c>
      <c r="AC106" s="1">
        <v>45169</v>
      </c>
      <c r="AD106" s="6">
        <f>SUMIFS(Timesheet!$F$13:$F$11461,Timesheet!$A$13:$A$11461,'Mês 1'!AC106,Timesheet!$C$13:$C$11461,'Mês 1'!$AD$75)</f>
        <v>0</v>
      </c>
      <c r="AE106" s="6">
        <f>SUMIFS(Timesheet!$F$13:$F$11461,Timesheet!$A$13:$A$11461,'Mês 1'!AC106,Timesheet!$C$13:$C$11461,'Mês 1'!$AE$75)</f>
        <v>0</v>
      </c>
      <c r="AF106" s="6">
        <f>SUMIFS(Timesheet!$F$13:$F$11461,Timesheet!$A$13:$A$11461,'Mês 1'!AC106,Timesheet!$C$13:$C$11461,'Mês 1'!$AF$75)</f>
        <v>0</v>
      </c>
      <c r="AG106" s="6">
        <f>SUMIFS(Timesheet!$F$13:$F$11461,Timesheet!$A$13:$A$11461,'Mês 1'!AC106,Timesheet!$C$13:$C$11461,'Mês 1'!$AG$75)</f>
        <v>0</v>
      </c>
      <c r="AH106" s="6">
        <f>SUMIFS(Timesheet!$F$13:$F$11461,Timesheet!$A$13:$A$11461,'Mês 1'!AC106,Timesheet!$C$13:$C$11461,'Mês 1'!$AH$75)</f>
        <v>0</v>
      </c>
      <c r="AI106" s="6">
        <f>SUMIFS(Timesheet!$F$13:$F$11461,Timesheet!$A$13:$A$11461,'Mês 1'!AC106,Timesheet!$C$13:$C$11461,'Mês 1'!$AI$75)</f>
        <v>0</v>
      </c>
      <c r="AJ106" s="6">
        <f>SUMIFS(Timesheet!$F$13:$F$11461,Timesheet!$A$13:$A$11461,'Mês 1'!AC106,Timesheet!$C$13:$C$11461,'Mês 1'!AJ$75)</f>
        <v>0</v>
      </c>
      <c r="AK106" s="6">
        <f>SUMIFS(Timesheet!$F$13:$F$11461,Timesheet!$A$13:$A$11461,'Mês 1'!AC106,Timesheet!$C$13:$C$11461,'Mês 1'!$AK$75)</f>
        <v>0</v>
      </c>
      <c r="AL106" s="6">
        <f>SUMIFS(Timesheet!$F$13:$F$11461,Timesheet!$A$13:$A$11461,'Mês 1'!AC106,Timesheet!$C$13:$C$11461,'Mês 1'!$AL$75)</f>
        <v>0</v>
      </c>
      <c r="AM106" s="6">
        <f t="shared" si="17"/>
        <v>0</v>
      </c>
      <c r="AN106" s="6">
        <f t="array" ref="AN106">MIN(IF(Timesheet!$A$13:$A$11483='Mês 1'!AC106,Timesheet!$D$13:$D$11483))</f>
        <v>0</v>
      </c>
      <c r="AO106" s="6">
        <f t="array" ref="AO106">MAX(IF(Timesheet!$A$13:$A$11483='Mês 1'!AC106,Timesheet!$E$13:$E$11483))</f>
        <v>0</v>
      </c>
      <c r="AQ106" s="1">
        <v>45230</v>
      </c>
      <c r="AR106" s="6">
        <f>SUMIFS(Timesheet!$F$13:$F$11461,Timesheet!$A$13:$A$11461,'Mês 1'!AQ106,Timesheet!$C$13:$C$11461,'Mês 1'!$AR$75)</f>
        <v>0</v>
      </c>
      <c r="AS106" s="6">
        <f>SUMIFS(Timesheet!$F$13:$F$11461,Timesheet!$A$13:$A$11461,'Mês 1'!AQ106,Timesheet!$C$13:$C$11461,'Mês 1'!$AS$75)</f>
        <v>0</v>
      </c>
      <c r="AT106" s="6">
        <f>SUMIFS(Timesheet!$F$13:$F$11461,Timesheet!$A$13:$A$11461,'Mês 1'!AQ106,Timesheet!$C$13:$C$11461,'Mês 1'!$AT$75)</f>
        <v>0</v>
      </c>
      <c r="AU106" s="6">
        <f>SUMIFS(Timesheet!$F$13:$F$11461,Timesheet!$A$13:$A$11461,'Mês 1'!AQ106,Timesheet!$C$13:$C$11461,'Mês 1'!$AU$75)</f>
        <v>0</v>
      </c>
      <c r="AV106" s="6">
        <f>SUMIFS(Timesheet!$F$13:$F$11461,Timesheet!$A$13:$A$11461,'Mês 1'!AQ106,Timesheet!$C$13:$C$11461,'Mês 1'!$AV$75)</f>
        <v>0</v>
      </c>
      <c r="AW106" s="6">
        <f>SUMIFS(Timesheet!$F$13:$F$11461,Timesheet!$A$13:$A$11461,'Mês 1'!AQ106,Timesheet!$C$13:$C$11461,'Mês 1'!$AW$75)</f>
        <v>0</v>
      </c>
      <c r="AX106" s="6">
        <f>SUMIFS(Timesheet!$F$13:$F$11461,Timesheet!$A$13:$A$11461,'Mês 1'!AQ106,Timesheet!$C$13:$C$11461,'Mês 1'!$AX$75)</f>
        <v>0</v>
      </c>
      <c r="AY106" s="6">
        <f>SUMIFS(Timesheet!$F$13:$F$11461,Timesheet!$A$13:$A$11461,'Mês 1'!AQ106,Timesheet!$C$13:$C$11461,'Mês 1'!$AY$75)</f>
        <v>0</v>
      </c>
      <c r="AZ106" s="6">
        <f>SUMIFS(Timesheet!$F$13:$F$11461,Timesheet!$A$13:$A$11461,'Mês 1'!AQ106,Timesheet!$C$13:$C$11461,'Mês 1'!$AZ$75)</f>
        <v>0</v>
      </c>
      <c r="BA106" s="6">
        <f t="shared" si="18"/>
        <v>0</v>
      </c>
      <c r="BB106" s="6">
        <f t="array" ref="BB106">MIN(IF(Timesheet!$A$13:$A$11483='Mês 1'!AQ106,Timesheet!$D$13:$D$11483))</f>
        <v>0</v>
      </c>
      <c r="BC106" s="6">
        <f t="array" ref="BC106">MAX(IF(Timesheet!$A$13:$A$11483='Mês 1'!AQ106,Timesheet!$E$13:$E$11483))</f>
        <v>0</v>
      </c>
      <c r="BE106" s="1">
        <v>45291</v>
      </c>
      <c r="BF106" s="6">
        <f>SUMIFS(Timesheet!$F$13:$F$11461,Timesheet!$A$13:$A$11461,'Mês 1'!BE106,Timesheet!$C$13:$C$11461,'Mês 1'!$BF$75)</f>
        <v>0</v>
      </c>
      <c r="BG106" s="6">
        <f>SUMIFS(Timesheet!$F$13:$F$11461,Timesheet!$A$13:$A$11461,'Mês 1'!BE106,Timesheet!$C$13:$C$11461,'Mês 1'!$BG$75)</f>
        <v>0</v>
      </c>
      <c r="BH106" s="6">
        <f>SUMIFS(Timesheet!$F$13:$F$11461,Timesheet!$A$13:$A$11461,'Mês 1'!BE106,Timesheet!$C$13:$C$11461,'Mês 1'!$BH$75)</f>
        <v>0</v>
      </c>
      <c r="BI106" s="6">
        <f>SUMIFS(Timesheet!$F$13:$F$11461,Timesheet!$A$13:$A$11461,'Mês 1'!BE106,Timesheet!$C$13:$C$11461,'Mês 1'!$BI$75)</f>
        <v>0</v>
      </c>
      <c r="BJ106" s="6">
        <f>SUMIFS(Timesheet!$F$13:$F$11461,Timesheet!$A$13:$A$11461,'Mês 1'!BE106,Timesheet!$C$13:$C$11461,'Mês 1'!$BJ$75)</f>
        <v>0</v>
      </c>
      <c r="BK106" s="6">
        <f>SUMIFS(Timesheet!$F$13:$F$11461,Timesheet!$A$13:$A$11461,'Mês 1'!BE106,Timesheet!$C$13:$C$11461,'Mês 1'!$BK$75)</f>
        <v>0</v>
      </c>
      <c r="BL106" s="6">
        <f>SUMIFS(Timesheet!$F$13:$F$11461,Timesheet!$A$13:$A$11461,'Mês 1'!BE106,Timesheet!$C$13:$C$11461,'Mês 1'!$BL$75)</f>
        <v>0</v>
      </c>
      <c r="BM106" s="6">
        <f>SUMIFS(Timesheet!$F$13:$F$11461,Timesheet!$A$13:$A$11461,'Mês 1'!BE106,Timesheet!$C$13:$C$11461,'Mês 1'!$BM$75)</f>
        <v>0</v>
      </c>
      <c r="BN106" s="6">
        <f>SUMIFS(Timesheet!$F$13:$F$11461,Timesheet!$A$13:$A$11461,'Mês 1'!BE106,Timesheet!$C$13:$C$11461,'Mês 1'!$BN$75)</f>
        <v>0</v>
      </c>
      <c r="BO106" s="6">
        <f t="shared" si="19"/>
        <v>0</v>
      </c>
      <c r="BP106" s="6">
        <f t="array" ref="BP106">MIN(IF(Timesheet!$A$13:$A$11483='Mês 1'!BE106,Timesheet!$D$13:$D$11483))</f>
        <v>0</v>
      </c>
      <c r="BQ106" s="6">
        <f t="array" ref="BQ106">MAX(IF(Timesheet!$A$13:$A$11483='Mês 1'!BE106,Timesheet!$E$13:$E$11483))</f>
        <v>0</v>
      </c>
    </row>
    <row r="107" spans="1:69" x14ac:dyDescent="0.25">
      <c r="AC107" s="4" t="s">
        <v>12</v>
      </c>
      <c r="AD107" s="7">
        <f t="shared" ref="AD107:AI107" si="22">+SUM(AD76:AD106)</f>
        <v>0</v>
      </c>
      <c r="AE107" s="7">
        <f t="shared" si="22"/>
        <v>0</v>
      </c>
      <c r="AF107" s="7">
        <f t="shared" si="22"/>
        <v>0</v>
      </c>
      <c r="AG107" s="7">
        <f t="shared" si="22"/>
        <v>0</v>
      </c>
      <c r="AH107" s="7">
        <f t="shared" si="22"/>
        <v>0</v>
      </c>
      <c r="AI107" s="7">
        <f t="shared" si="22"/>
        <v>0</v>
      </c>
      <c r="AJ107" s="7">
        <f t="shared" ref="AJ107:AL107" si="23">+SUM(AJ76:AJ106)</f>
        <v>0</v>
      </c>
      <c r="AK107" s="7">
        <f t="shared" si="23"/>
        <v>0</v>
      </c>
      <c r="AL107" s="7">
        <f t="shared" si="23"/>
        <v>0</v>
      </c>
      <c r="AM107" s="7">
        <f>+SUM(AM76:AM106)</f>
        <v>0</v>
      </c>
      <c r="AN107" s="7" t="e">
        <f>AVERAGEIF(AN76:AN106, "&gt;0")</f>
        <v>#DIV/0!</v>
      </c>
      <c r="AO107" s="7" t="e">
        <f>AVERAGEIF(AO76:AO106, "&gt;0")</f>
        <v>#DIV/0!</v>
      </c>
      <c r="AQ107" s="4" t="s">
        <v>12</v>
      </c>
      <c r="AR107" s="7">
        <f t="shared" ref="AR107:AW107" si="24">+SUM(AR76:AR106)</f>
        <v>0</v>
      </c>
      <c r="AS107" s="7">
        <f t="shared" si="24"/>
        <v>0</v>
      </c>
      <c r="AT107" s="7">
        <f t="shared" si="24"/>
        <v>0</v>
      </c>
      <c r="AU107" s="7">
        <f t="shared" si="24"/>
        <v>0</v>
      </c>
      <c r="AV107" s="7">
        <f t="shared" si="24"/>
        <v>0</v>
      </c>
      <c r="AW107" s="7">
        <f t="shared" si="24"/>
        <v>0</v>
      </c>
      <c r="AX107" s="7">
        <f t="shared" ref="AX107:AZ107" si="25">+SUM(AX76:AX106)</f>
        <v>0</v>
      </c>
      <c r="AY107" s="7">
        <f t="shared" si="25"/>
        <v>0</v>
      </c>
      <c r="AZ107" s="7">
        <f t="shared" si="25"/>
        <v>0</v>
      </c>
      <c r="BA107" s="7">
        <f>+SUM(BA76:BA106)</f>
        <v>0</v>
      </c>
      <c r="BB107" s="7" t="e">
        <f>AVERAGEIF(BB76:BB106, "&gt;0")</f>
        <v>#DIV/0!</v>
      </c>
      <c r="BC107" s="7" t="e">
        <f>AVERAGEIF(BC76:BC106, "&gt;0")</f>
        <v>#DIV/0!</v>
      </c>
      <c r="BE107" s="4" t="s">
        <v>12</v>
      </c>
      <c r="BF107" s="7">
        <f t="shared" ref="BF107:BK107" si="26">+SUM(BF76:BF106)</f>
        <v>0</v>
      </c>
      <c r="BG107" s="7">
        <f t="shared" si="26"/>
        <v>0</v>
      </c>
      <c r="BH107" s="7">
        <f t="shared" si="26"/>
        <v>0</v>
      </c>
      <c r="BI107" s="7">
        <f t="shared" si="26"/>
        <v>0</v>
      </c>
      <c r="BJ107" s="7">
        <f t="shared" si="26"/>
        <v>0</v>
      </c>
      <c r="BK107" s="7">
        <f t="shared" si="26"/>
        <v>0</v>
      </c>
      <c r="BL107" s="7">
        <f t="shared" ref="BL107:BN107" si="27">+SUM(BL76:BL106)</f>
        <v>0</v>
      </c>
      <c r="BM107" s="7">
        <f t="shared" si="27"/>
        <v>0</v>
      </c>
      <c r="BN107" s="7">
        <f t="shared" si="27"/>
        <v>0</v>
      </c>
      <c r="BO107" s="7">
        <f>+SUM(BO76:BO106)</f>
        <v>0</v>
      </c>
      <c r="BP107" s="7" t="e">
        <f>AVERAGEIF(BP77:BP106, "&gt;0")</f>
        <v>#DIV/0!</v>
      </c>
      <c r="BQ107" s="7" t="e">
        <f>AVERAGEIF(BQ77:BQ106, "&gt;0")</f>
        <v>#DIV/0!</v>
      </c>
    </row>
    <row r="109" spans="1:69" x14ac:dyDescent="0.25">
      <c r="A109" t="s">
        <v>48</v>
      </c>
      <c r="B109" t="s">
        <v>37</v>
      </c>
      <c r="D109" t="s">
        <v>48</v>
      </c>
      <c r="E109" t="s">
        <v>37</v>
      </c>
      <c r="G109" t="s">
        <v>48</v>
      </c>
      <c r="H109" t="s">
        <v>37</v>
      </c>
      <c r="J109" t="s">
        <v>48</v>
      </c>
      <c r="K109" t="s">
        <v>35</v>
      </c>
      <c r="M109" t="s">
        <v>48</v>
      </c>
      <c r="N109" t="s">
        <v>34</v>
      </c>
      <c r="P109" t="s">
        <v>48</v>
      </c>
      <c r="Q109" t="s">
        <v>34</v>
      </c>
      <c r="S109" t="s">
        <v>58</v>
      </c>
    </row>
    <row r="110" spans="1:69" x14ac:dyDescent="0.25">
      <c r="A110" s="8" t="s">
        <v>19</v>
      </c>
      <c r="B110" s="4" t="s">
        <v>57</v>
      </c>
      <c r="D110" s="8" t="s">
        <v>19</v>
      </c>
      <c r="E110" s="4" t="s">
        <v>57</v>
      </c>
      <c r="G110" s="8" t="s">
        <v>19</v>
      </c>
      <c r="H110" s="4" t="s">
        <v>57</v>
      </c>
      <c r="J110" s="8" t="s">
        <v>19</v>
      </c>
      <c r="K110" s="4" t="s">
        <v>57</v>
      </c>
      <c r="M110" s="8" t="s">
        <v>19</v>
      </c>
      <c r="N110" s="4" t="s">
        <v>57</v>
      </c>
      <c r="P110" s="8" t="s">
        <v>19</v>
      </c>
      <c r="Q110" s="4" t="s">
        <v>57</v>
      </c>
      <c r="S110" s="8" t="s">
        <v>59</v>
      </c>
      <c r="T110" s="8" t="s">
        <v>57</v>
      </c>
    </row>
    <row r="111" spans="1:69" x14ac:dyDescent="0.25">
      <c r="A111" s="1">
        <v>44929</v>
      </c>
      <c r="B111" s="6">
        <f>SUMIFS(Timesheet!$F$13:$F$11483,Timesheet!$A$13:$A$11483,'Mês 1'!A111)</f>
        <v>0</v>
      </c>
      <c r="D111" s="1">
        <v>44936</v>
      </c>
      <c r="E111" s="6">
        <f>SUMIFS(Timesheet!$F$13:$F$11483,Timesheet!$A$13:$A$11483,'Mês 1'!D111)</f>
        <v>0</v>
      </c>
      <c r="G111" s="1">
        <v>44943</v>
      </c>
      <c r="H111" s="6">
        <f>SUMIFS(Timesheet!$F$13:$F$11483,Timesheet!$A$13:$A$11483,'Mês 1'!G111)</f>
        <v>0</v>
      </c>
      <c r="J111" s="1">
        <v>45006</v>
      </c>
      <c r="K111" s="6">
        <f>SUMIFS(Timesheet!$F$13:$F$11483,Timesheet!$A$13:$A$11483,'Mês 1'!J111)</f>
        <v>0</v>
      </c>
      <c r="M111" s="1">
        <v>45013</v>
      </c>
      <c r="N111" s="6">
        <f>SUMIFS(Timesheet!$F$13:$F$11483,Timesheet!$A$13:$A$11483,'Mês 1'!M111)</f>
        <v>0</v>
      </c>
      <c r="P111" s="1">
        <v>45020</v>
      </c>
      <c r="Q111" s="6">
        <f>SUMIFS(Timesheet!$F$13:$F$11483,Timesheet!$A$13:$A$11483,'Mês 1'!P111)</f>
        <v>0.20138888888888884</v>
      </c>
      <c r="S111" s="1">
        <v>44933</v>
      </c>
      <c r="T111" s="2">
        <f>B116</f>
        <v>0</v>
      </c>
    </row>
    <row r="112" spans="1:69" x14ac:dyDescent="0.25">
      <c r="A112" s="1">
        <v>44930</v>
      </c>
      <c r="B112" s="6">
        <f>SUMIFS(Timesheet!$F$13:$F$11483,Timesheet!$A$13:$A$11483,'Mês 1'!A112)</f>
        <v>0</v>
      </c>
      <c r="D112" s="1">
        <v>44937</v>
      </c>
      <c r="E112" s="6">
        <f>SUMIFS(Timesheet!$F$13:$F$11483,Timesheet!$A$13:$A$11483,'Mês 1'!D112)</f>
        <v>0</v>
      </c>
      <c r="G112" s="1">
        <v>44944</v>
      </c>
      <c r="H112" s="6">
        <f>SUMIFS(Timesheet!$F$13:$F$11483,Timesheet!$A$13:$A$11483,'Mês 1'!G112)</f>
        <v>0</v>
      </c>
      <c r="J112" s="1">
        <v>45007</v>
      </c>
      <c r="K112" s="6">
        <f>SUMIFS(Timesheet!$F$13:$F$11483,Timesheet!$A$13:$A$11483,'Mês 1'!J112)</f>
        <v>0</v>
      </c>
      <c r="M112" s="1">
        <v>45014</v>
      </c>
      <c r="N112" s="6">
        <f>SUMIFS(Timesheet!$F$13:$F$11483,Timesheet!$A$13:$A$11483,'Mês 1'!M112)</f>
        <v>0</v>
      </c>
      <c r="P112" s="1">
        <v>45021</v>
      </c>
      <c r="Q112" s="6">
        <f>SUMIFS(Timesheet!$F$13:$F$11483,Timesheet!$A$13:$A$11483,'Mês 1'!P112)</f>
        <v>4.2361111111111072E-2</v>
      </c>
      <c r="S112" s="1">
        <v>44940</v>
      </c>
      <c r="T112" s="2">
        <f>E116</f>
        <v>0</v>
      </c>
    </row>
    <row r="113" spans="1:20" x14ac:dyDescent="0.25">
      <c r="A113" s="1">
        <v>44931</v>
      </c>
      <c r="B113" s="6">
        <f>SUMIFS(Timesheet!$F$13:$F$11483,Timesheet!$A$13:$A$11483,'Mês 1'!A113)</f>
        <v>0</v>
      </c>
      <c r="D113" s="1">
        <v>44938</v>
      </c>
      <c r="E113" s="6">
        <f>SUMIFS(Timesheet!$F$13:$F$11483,Timesheet!$A$13:$A$11483,'Mês 1'!D113)</f>
        <v>0</v>
      </c>
      <c r="G113" s="1">
        <v>44945</v>
      </c>
      <c r="H113" s="6">
        <f>SUMIFS(Timesheet!$F$13:$F$11483,Timesheet!$A$13:$A$11483,'Mês 1'!G113)</f>
        <v>0</v>
      </c>
      <c r="J113" s="1">
        <v>45008</v>
      </c>
      <c r="K113" s="6">
        <f>SUMIFS(Timesheet!$F$13:$F$11483,Timesheet!$A$13:$A$11483,'Mês 1'!J113)</f>
        <v>0</v>
      </c>
      <c r="M113" s="1">
        <v>45015</v>
      </c>
      <c r="N113" s="6">
        <f>SUMIFS(Timesheet!$F$13:$F$11483,Timesheet!$A$13:$A$11483,'Mês 1'!M113)</f>
        <v>0</v>
      </c>
      <c r="P113" s="1">
        <v>45022</v>
      </c>
      <c r="Q113" s="6">
        <f>SUMIFS(Timesheet!$F$13:$F$11483,Timesheet!$A$13:$A$11483,'Mês 1'!P113)</f>
        <v>0.29305555555555562</v>
      </c>
      <c r="S113" s="1">
        <v>44947</v>
      </c>
      <c r="T113" s="2">
        <f>H116</f>
        <v>0</v>
      </c>
    </row>
    <row r="114" spans="1:20" x14ac:dyDescent="0.25">
      <c r="A114" s="1">
        <v>44932</v>
      </c>
      <c r="B114" s="6">
        <f>SUMIFS(Timesheet!$F$13:$F$11483,Timesheet!$A$13:$A$11483,'Mês 1'!A114)</f>
        <v>0</v>
      </c>
      <c r="D114" s="1">
        <v>44939</v>
      </c>
      <c r="E114" s="6">
        <f>SUMIFS(Timesheet!$F$13:$F$11483,Timesheet!$A$13:$A$11483,'Mês 1'!D114)</f>
        <v>0</v>
      </c>
      <c r="G114" s="1">
        <v>44946</v>
      </c>
      <c r="H114" s="6">
        <f>SUMIFS(Timesheet!$F$13:$F$11483,Timesheet!$A$13:$A$11483,'Mês 1'!G114)</f>
        <v>0</v>
      </c>
      <c r="J114" s="1">
        <v>45009</v>
      </c>
      <c r="K114" s="6">
        <f>SUMIFS(Timesheet!$F$13:$F$11483,Timesheet!$A$13:$A$11483,'Mês 1'!J114)</f>
        <v>0</v>
      </c>
      <c r="M114" s="1">
        <v>45016</v>
      </c>
      <c r="N114" s="6">
        <f>SUMIFS(Timesheet!$F$13:$F$11483,Timesheet!$A$13:$A$11483,'Mês 1'!M114)</f>
        <v>0</v>
      </c>
      <c r="P114" s="1">
        <v>45023</v>
      </c>
      <c r="Q114" s="6">
        <f>SUMIFS(Timesheet!$F$13:$F$11483,Timesheet!$A$13:$A$11483,'Mês 1'!P114)</f>
        <v>0</v>
      </c>
      <c r="S114" s="1">
        <v>44954</v>
      </c>
      <c r="T114" s="2">
        <f>B125</f>
        <v>0</v>
      </c>
    </row>
    <row r="115" spans="1:20" x14ac:dyDescent="0.25">
      <c r="A115" s="1">
        <v>44933</v>
      </c>
      <c r="B115" s="6">
        <f>SUMIFS(Timesheet!$F$13:$F$11483,Timesheet!$A$13:$A$11483,'Mês 1'!A115)</f>
        <v>0</v>
      </c>
      <c r="D115" s="1">
        <v>44940</v>
      </c>
      <c r="E115" s="6">
        <f>SUMIFS(Timesheet!$F$13:$F$11483,Timesheet!$A$13:$A$11483,'Mês 1'!D115)</f>
        <v>0</v>
      </c>
      <c r="G115" s="1">
        <v>44947</v>
      </c>
      <c r="H115" s="6">
        <f>SUMIFS(Timesheet!$F$13:$F$11483,Timesheet!$A$13:$A$11483,'Mês 1'!G115)</f>
        <v>0</v>
      </c>
      <c r="J115" s="1">
        <v>45010</v>
      </c>
      <c r="K115" s="6">
        <f>SUMIFS(Timesheet!$F$13:$F$11483,Timesheet!$A$13:$A$11483,'Mês 1'!J115)</f>
        <v>0</v>
      </c>
      <c r="M115" s="1">
        <v>45017</v>
      </c>
      <c r="N115" s="6">
        <f>SUMIFS(Timesheet!$F$13:$F$11483,Timesheet!$A$13:$A$11483,'Mês 1'!M115)</f>
        <v>0</v>
      </c>
      <c r="P115" s="1">
        <v>45024</v>
      </c>
      <c r="Q115" s="6">
        <f>SUMIFS(Timesheet!$F$13:$F$11483,Timesheet!$A$13:$A$11483,'Mês 1'!P115)</f>
        <v>0</v>
      </c>
      <c r="S115" s="1">
        <v>44961</v>
      </c>
      <c r="T115" s="2">
        <f>E125</f>
        <v>0</v>
      </c>
    </row>
    <row r="116" spans="1:20" x14ac:dyDescent="0.25">
      <c r="A116" s="4" t="s">
        <v>12</v>
      </c>
      <c r="B116" s="9">
        <f>SUM(B111:B115)</f>
        <v>0</v>
      </c>
      <c r="D116" s="4" t="s">
        <v>12</v>
      </c>
      <c r="E116" s="9">
        <f>SUM(E111:E115)</f>
        <v>0</v>
      </c>
      <c r="G116" s="4" t="s">
        <v>12</v>
      </c>
      <c r="H116" s="9">
        <f>SUM(H111:H115)</f>
        <v>0</v>
      </c>
      <c r="J116" s="4" t="s">
        <v>12</v>
      </c>
      <c r="K116" s="9">
        <f>SUM(K111:K115)</f>
        <v>0</v>
      </c>
      <c r="M116" s="4" t="s">
        <v>12</v>
      </c>
      <c r="N116" s="9">
        <f>SUM(N111:N115)</f>
        <v>0</v>
      </c>
      <c r="P116" s="4" t="s">
        <v>12</v>
      </c>
      <c r="Q116" s="9">
        <f>SUM(Q111:Q115)</f>
        <v>0.53680555555555554</v>
      </c>
      <c r="S116" s="1">
        <v>44968</v>
      </c>
      <c r="T116" s="2">
        <f>H125</f>
        <v>0</v>
      </c>
    </row>
    <row r="117" spans="1:20" x14ac:dyDescent="0.25">
      <c r="S117" s="1">
        <v>44975</v>
      </c>
      <c r="T117" s="2">
        <f>B134</f>
        <v>0</v>
      </c>
    </row>
    <row r="118" spans="1:20" x14ac:dyDescent="0.25">
      <c r="A118" t="s">
        <v>48</v>
      </c>
      <c r="B118" t="s">
        <v>37</v>
      </c>
      <c r="D118" t="s">
        <v>48</v>
      </c>
      <c r="E118" t="s">
        <v>36</v>
      </c>
      <c r="G118" t="s">
        <v>48</v>
      </c>
      <c r="H118" t="s">
        <v>36</v>
      </c>
      <c r="J118" t="s">
        <v>48</v>
      </c>
      <c r="K118" t="s">
        <v>34</v>
      </c>
      <c r="M118" t="s">
        <v>48</v>
      </c>
      <c r="N118" t="s">
        <v>34</v>
      </c>
      <c r="P118" t="s">
        <v>48</v>
      </c>
      <c r="Q118" t="s">
        <v>34</v>
      </c>
      <c r="S118" s="1">
        <v>44982</v>
      </c>
      <c r="T118" s="2">
        <f>H134</f>
        <v>0</v>
      </c>
    </row>
    <row r="119" spans="1:20" x14ac:dyDescent="0.25">
      <c r="A119" s="8" t="s">
        <v>19</v>
      </c>
      <c r="B119" s="4" t="s">
        <v>57</v>
      </c>
      <c r="D119" s="8" t="s">
        <v>19</v>
      </c>
      <c r="E119" s="4" t="s">
        <v>57</v>
      </c>
      <c r="G119" s="8" t="s">
        <v>19</v>
      </c>
      <c r="H119" s="4" t="s">
        <v>57</v>
      </c>
      <c r="J119" s="8" t="s">
        <v>19</v>
      </c>
      <c r="K119" s="4" t="s">
        <v>57</v>
      </c>
      <c r="M119" s="8" t="s">
        <v>19</v>
      </c>
      <c r="N119" s="4" t="s">
        <v>57</v>
      </c>
      <c r="P119" s="8" t="s">
        <v>19</v>
      </c>
      <c r="Q119" s="4" t="s">
        <v>57</v>
      </c>
      <c r="S119" s="1">
        <v>44989</v>
      </c>
      <c r="T119" s="2">
        <f>B143</f>
        <v>0</v>
      </c>
    </row>
    <row r="120" spans="1:20" x14ac:dyDescent="0.25">
      <c r="A120" s="1">
        <v>44950</v>
      </c>
      <c r="B120" s="6">
        <f>SUMIFS(Timesheet!$F$13:$F$11483,Timesheet!$A$13:$A$11483,'Mês 1'!A120)</f>
        <v>0</v>
      </c>
      <c r="D120" s="1">
        <v>44957</v>
      </c>
      <c r="E120" s="6">
        <f>SUMIFS(Timesheet!$F$13:$F$11483,Timesheet!$A$13:$A$11483,'Mês 1'!D120)</f>
        <v>0</v>
      </c>
      <c r="G120" s="1">
        <v>44964</v>
      </c>
      <c r="H120" s="6">
        <f>SUMIFS(Timesheet!$F$13:$F$11483,Timesheet!$A$13:$A$11483,'Mês 1'!G120)</f>
        <v>0</v>
      </c>
      <c r="J120" s="1">
        <v>45027</v>
      </c>
      <c r="K120" s="6">
        <f>SUMIFS(Timesheet!$F$13:$F$11483,Timesheet!$A$13:$A$11483,'Mês 1'!J120)</f>
        <v>0</v>
      </c>
      <c r="M120" s="1">
        <v>45034</v>
      </c>
      <c r="N120" s="6">
        <f>SUMIFS(Timesheet!$F$13:$F$11483,Timesheet!$A$13:$A$11483,'Mês 1'!M120)</f>
        <v>0</v>
      </c>
      <c r="P120" s="1">
        <v>45041</v>
      </c>
      <c r="Q120" s="6">
        <f>SUMIFS(Timesheet!$F$13:$F$11483,Timesheet!$A$13:$A$11483,'Mês 1'!P120)</f>
        <v>0</v>
      </c>
      <c r="S120" s="1">
        <v>44996</v>
      </c>
      <c r="T120" s="2">
        <f>E143</f>
        <v>0</v>
      </c>
    </row>
    <row r="121" spans="1:20" x14ac:dyDescent="0.25">
      <c r="A121" s="1">
        <v>44951</v>
      </c>
      <c r="B121" s="6">
        <f>SUMIFS(Timesheet!$F$13:$F$11483,Timesheet!$A$13:$A$11483,'Mês 1'!A121)</f>
        <v>0</v>
      </c>
      <c r="D121" s="1">
        <v>44958</v>
      </c>
      <c r="E121" s="6">
        <f>SUMIFS(Timesheet!$F$13:$F$11483,Timesheet!$A$13:$A$11483,'Mês 1'!D121)</f>
        <v>0</v>
      </c>
      <c r="G121" s="1">
        <v>44965</v>
      </c>
      <c r="H121" s="6">
        <f>SUMIFS(Timesheet!$F$13:$F$11483,Timesheet!$A$13:$A$11483,'Mês 1'!G121)</f>
        <v>0</v>
      </c>
      <c r="J121" s="1">
        <v>45028</v>
      </c>
      <c r="K121" s="6">
        <f>SUMIFS(Timesheet!$F$13:$F$11483,Timesheet!$A$13:$A$11483,'Mês 1'!J121)</f>
        <v>0</v>
      </c>
      <c r="M121" s="1">
        <v>45035</v>
      </c>
      <c r="N121" s="6">
        <f>SUMIFS(Timesheet!$F$13:$F$11483,Timesheet!$A$13:$A$11483,'Mês 1'!M121)</f>
        <v>0</v>
      </c>
      <c r="P121" s="1">
        <v>45042</v>
      </c>
      <c r="Q121" s="6">
        <f>SUMIFS(Timesheet!$F$13:$F$11483,Timesheet!$A$13:$A$11483,'Mês 1'!P121)</f>
        <v>0</v>
      </c>
      <c r="S121" s="1">
        <v>45003</v>
      </c>
      <c r="T121" s="2">
        <f>H143</f>
        <v>0</v>
      </c>
    </row>
    <row r="122" spans="1:20" x14ac:dyDescent="0.25">
      <c r="A122" s="1">
        <v>44952</v>
      </c>
      <c r="B122" s="6">
        <f>SUMIFS(Timesheet!$F$13:$F$11483,Timesheet!$A$13:$A$11483,'Mês 1'!A122)</f>
        <v>0</v>
      </c>
      <c r="D122" s="1">
        <v>44959</v>
      </c>
      <c r="E122" s="6">
        <f>SUMIFS(Timesheet!$F$13:$F$11483,Timesheet!$A$13:$A$11483,'Mês 1'!D122)</f>
        <v>0</v>
      </c>
      <c r="G122" s="1">
        <v>44966</v>
      </c>
      <c r="H122" s="6">
        <f>SUMIFS(Timesheet!$F$13:$F$11483,Timesheet!$A$13:$A$11483,'Mês 1'!G122)</f>
        <v>0</v>
      </c>
      <c r="J122" s="1">
        <v>45029</v>
      </c>
      <c r="K122" s="6">
        <f>SUMIFS(Timesheet!$F$13:$F$11483,Timesheet!$A$13:$A$11483,'Mês 1'!J122)</f>
        <v>4.861111111111116E-2</v>
      </c>
      <c r="M122" s="1">
        <v>45036</v>
      </c>
      <c r="N122" s="6">
        <f>SUMIFS(Timesheet!$F$13:$F$11483,Timesheet!$A$13:$A$11483,'Mês 1'!M122)</f>
        <v>0</v>
      </c>
      <c r="P122" s="1">
        <v>45043</v>
      </c>
      <c r="Q122" s="6">
        <f>SUMIFS(Timesheet!$F$13:$F$11483,Timesheet!$A$13:$A$11483,'Mês 1'!P122)</f>
        <v>0</v>
      </c>
      <c r="S122" s="1">
        <v>45010</v>
      </c>
      <c r="T122" s="2">
        <f>K116</f>
        <v>0</v>
      </c>
    </row>
    <row r="123" spans="1:20" x14ac:dyDescent="0.25">
      <c r="A123" s="1">
        <v>44953</v>
      </c>
      <c r="B123" s="6">
        <f>SUMIFS(Timesheet!$F$13:$F$11483,Timesheet!$A$13:$A$11483,'Mês 1'!A123)</f>
        <v>0</v>
      </c>
      <c r="D123" s="1">
        <v>44960</v>
      </c>
      <c r="E123" s="6">
        <f>SUMIFS(Timesheet!$F$13:$F$11483,Timesheet!$A$13:$A$11483,'Mês 1'!D123)</f>
        <v>0</v>
      </c>
      <c r="G123" s="1">
        <v>44967</v>
      </c>
      <c r="H123" s="6">
        <f>SUMIFS(Timesheet!$F$13:$F$11483,Timesheet!$A$13:$A$11483,'Mês 1'!G123)</f>
        <v>0</v>
      </c>
      <c r="J123" s="1">
        <v>45030</v>
      </c>
      <c r="K123" s="6">
        <f>SUMIFS(Timesheet!$F$13:$F$11483,Timesheet!$A$13:$A$11483,'Mês 1'!J123)</f>
        <v>0.3</v>
      </c>
      <c r="M123" s="1">
        <v>45037</v>
      </c>
      <c r="N123" s="6">
        <f>SUMIFS(Timesheet!$F$13:$F$11483,Timesheet!$A$13:$A$11483,'Mês 1'!M123)</f>
        <v>0</v>
      </c>
      <c r="P123" s="1">
        <v>45044</v>
      </c>
      <c r="Q123" s="6">
        <f>SUMIFS(Timesheet!$F$13:$F$11483,Timesheet!$A$13:$A$11483,'Mês 1'!P123)</f>
        <v>0</v>
      </c>
      <c r="S123" s="1">
        <v>45017</v>
      </c>
      <c r="T123" s="2">
        <f>N116</f>
        <v>0</v>
      </c>
    </row>
    <row r="124" spans="1:20" x14ac:dyDescent="0.25">
      <c r="A124" s="1">
        <v>44954</v>
      </c>
      <c r="B124" s="6">
        <f>SUMIFS(Timesheet!$F$13:$F$11483,Timesheet!$A$13:$A$11483,'Mês 1'!A124)</f>
        <v>0</v>
      </c>
      <c r="D124" s="1">
        <v>44961</v>
      </c>
      <c r="E124" s="6">
        <f>SUMIFS(Timesheet!$F$13:$F$11483,Timesheet!$A$13:$A$11483,'Mês 1'!D124)</f>
        <v>0</v>
      </c>
      <c r="G124" s="1">
        <v>44968</v>
      </c>
      <c r="H124" s="6">
        <f>SUMIFS(Timesheet!$F$13:$F$11483,Timesheet!$A$13:$A$11483,'Mês 1'!G124)</f>
        <v>0</v>
      </c>
      <c r="J124" s="1">
        <v>45031</v>
      </c>
      <c r="K124" s="6">
        <f>SUMIFS(Timesheet!$F$13:$F$11483,Timesheet!$A$13:$A$11483,'Mês 1'!J124)</f>
        <v>0</v>
      </c>
      <c r="M124" s="1">
        <v>45038</v>
      </c>
      <c r="N124" s="6">
        <f>SUMIFS(Timesheet!$F$13:$F$11483,Timesheet!$A$13:$A$11483,'Mês 1'!M124)</f>
        <v>0</v>
      </c>
      <c r="P124" s="1">
        <v>45045</v>
      </c>
      <c r="Q124" s="6">
        <f>SUMIFS(Timesheet!$F$13:$F$11483,Timesheet!$A$13:$A$11483,'Mês 1'!P124)</f>
        <v>0</v>
      </c>
      <c r="S124" s="1">
        <v>45024</v>
      </c>
      <c r="T124" s="2">
        <f>Q116</f>
        <v>0.53680555555555554</v>
      </c>
    </row>
    <row r="125" spans="1:20" x14ac:dyDescent="0.25">
      <c r="A125" s="4" t="s">
        <v>12</v>
      </c>
      <c r="B125" s="9">
        <f>SUM(B120:B124)</f>
        <v>0</v>
      </c>
      <c r="D125" s="4" t="s">
        <v>12</v>
      </c>
      <c r="E125" s="9">
        <f>SUM(E120:E124)</f>
        <v>0</v>
      </c>
      <c r="G125" s="4" t="s">
        <v>12</v>
      </c>
      <c r="H125" s="9">
        <f>SUM(H120:H124)</f>
        <v>0</v>
      </c>
      <c r="J125" s="4" t="s">
        <v>12</v>
      </c>
      <c r="K125" s="9">
        <f>SUM(K120:K124)</f>
        <v>0.34861111111111115</v>
      </c>
      <c r="M125" s="4" t="s">
        <v>12</v>
      </c>
      <c r="N125" s="9">
        <f>SUM(N120:N124)</f>
        <v>0</v>
      </c>
      <c r="P125" s="4" t="s">
        <v>12</v>
      </c>
      <c r="Q125" s="9">
        <f>SUM(Q120:Q124)</f>
        <v>0</v>
      </c>
      <c r="S125" s="1">
        <v>45031</v>
      </c>
      <c r="T125" s="2">
        <f>K125</f>
        <v>0.34861111111111115</v>
      </c>
    </row>
    <row r="126" spans="1:20" x14ac:dyDescent="0.25">
      <c r="S126" s="1">
        <v>45038</v>
      </c>
      <c r="T126" s="2">
        <f>N125</f>
        <v>0</v>
      </c>
    </row>
    <row r="127" spans="1:20" x14ac:dyDescent="0.25">
      <c r="A127" t="s">
        <v>48</v>
      </c>
      <c r="B127" t="s">
        <v>36</v>
      </c>
      <c r="D127" s="89" t="s">
        <v>48</v>
      </c>
      <c r="E127" s="89" t="s">
        <v>36</v>
      </c>
      <c r="G127" t="s">
        <v>48</v>
      </c>
      <c r="H127" t="s">
        <v>36</v>
      </c>
      <c r="J127" t="s">
        <v>48</v>
      </c>
      <c r="K127" t="s">
        <v>33</v>
      </c>
      <c r="M127" t="s">
        <v>48</v>
      </c>
      <c r="N127" t="s">
        <v>33</v>
      </c>
      <c r="P127" t="s">
        <v>48</v>
      </c>
      <c r="Q127" t="s">
        <v>33</v>
      </c>
      <c r="S127" s="1">
        <v>45045</v>
      </c>
      <c r="T127" s="2">
        <f>Q125</f>
        <v>0</v>
      </c>
    </row>
    <row r="128" spans="1:20" x14ac:dyDescent="0.25">
      <c r="A128" s="8" t="s">
        <v>19</v>
      </c>
      <c r="B128" s="4" t="s">
        <v>57</v>
      </c>
      <c r="D128" s="90" t="s">
        <v>19</v>
      </c>
      <c r="E128" s="91" t="s">
        <v>57</v>
      </c>
      <c r="G128" s="8" t="s">
        <v>19</v>
      </c>
      <c r="H128" s="4" t="s">
        <v>57</v>
      </c>
      <c r="J128" s="8" t="s">
        <v>19</v>
      </c>
      <c r="K128" s="4" t="s">
        <v>57</v>
      </c>
      <c r="M128" s="8" t="s">
        <v>19</v>
      </c>
      <c r="N128" s="4" t="s">
        <v>57</v>
      </c>
      <c r="P128" s="8" t="s">
        <v>19</v>
      </c>
      <c r="Q128" s="4" t="s">
        <v>57</v>
      </c>
      <c r="S128" s="1">
        <v>45052</v>
      </c>
      <c r="T128" s="2">
        <f>K134</f>
        <v>0</v>
      </c>
    </row>
    <row r="129" spans="1:20" x14ac:dyDescent="0.25">
      <c r="A129" s="1">
        <v>44971</v>
      </c>
      <c r="B129" s="6">
        <f>SUMIFS(Timesheet!$F$13:$F$11483,Timesheet!$A$13:$A$11483,'Mês 1'!A129)</f>
        <v>0</v>
      </c>
      <c r="D129" s="92">
        <v>44242</v>
      </c>
      <c r="E129" s="93">
        <f>SUMIFS(Timesheet!$F$13:$F$11483,Timesheet!$A$13:$A$11483,'Mês 1'!D129)</f>
        <v>0</v>
      </c>
      <c r="G129" s="1">
        <v>44978</v>
      </c>
      <c r="H129" s="6">
        <f>SUMIFS(Timesheet!$F$13:$F$11483,Timesheet!$A$13:$A$11483,'Mês 1'!G129)</f>
        <v>0</v>
      </c>
      <c r="J129" s="1">
        <v>45048</v>
      </c>
      <c r="K129" s="6">
        <f>SUMIFS(Timesheet!$F$13:$F$11483,Timesheet!$A$13:$A$11483,'Mês 1'!J129)</f>
        <v>0</v>
      </c>
      <c r="M129" s="1">
        <v>45055</v>
      </c>
      <c r="N129" s="6">
        <f>SUMIFS(Timesheet!$F$13:$F$11483,Timesheet!$A$13:$A$11483,'Mês 1'!M129)</f>
        <v>0</v>
      </c>
      <c r="P129" s="1">
        <v>45062</v>
      </c>
      <c r="Q129" s="6">
        <f>SUMIFS(Timesheet!$F$13:$F$11483,Timesheet!$A$13:$A$11483,'Mês 1'!P129)</f>
        <v>0</v>
      </c>
      <c r="S129" s="1">
        <v>45059</v>
      </c>
      <c r="T129" s="2">
        <f>N134</f>
        <v>0</v>
      </c>
    </row>
    <row r="130" spans="1:20" x14ac:dyDescent="0.25">
      <c r="A130" s="1">
        <v>44972</v>
      </c>
      <c r="B130" s="6">
        <f>SUMIFS(Timesheet!$F$13:$F$11483,Timesheet!$A$13:$A$11483,'Mês 1'!A130)</f>
        <v>0</v>
      </c>
      <c r="D130" s="92">
        <v>44243</v>
      </c>
      <c r="E130" s="93">
        <f>SUMIFS(Timesheet!$F$13:$F$11483,Timesheet!$A$13:$A$11483,'Mês 1'!D130)</f>
        <v>0</v>
      </c>
      <c r="G130" s="1">
        <v>44979</v>
      </c>
      <c r="H130" s="6">
        <f>SUMIFS(Timesheet!$F$13:$F$11483,Timesheet!$A$13:$A$11483,'Mês 1'!G130)</f>
        <v>0</v>
      </c>
      <c r="J130" s="1">
        <v>45049</v>
      </c>
      <c r="K130" s="6">
        <f>SUMIFS(Timesheet!$F$13:$F$11483,Timesheet!$A$13:$A$11483,'Mês 1'!J130)</f>
        <v>0</v>
      </c>
      <c r="M130" s="1">
        <v>45056</v>
      </c>
      <c r="N130" s="6">
        <f>SUMIFS(Timesheet!$F$13:$F$11483,Timesheet!$A$13:$A$11483,'Mês 1'!M130)</f>
        <v>0</v>
      </c>
      <c r="P130" s="1">
        <v>45063</v>
      </c>
      <c r="Q130" s="6">
        <f>SUMIFS(Timesheet!$F$13:$F$11483,Timesheet!$A$13:$A$11483,'Mês 1'!P130)</f>
        <v>0</v>
      </c>
      <c r="S130" s="1">
        <v>45066</v>
      </c>
      <c r="T130" s="2">
        <f>Q134</f>
        <v>0</v>
      </c>
    </row>
    <row r="131" spans="1:20" x14ac:dyDescent="0.25">
      <c r="A131" s="1">
        <v>44973</v>
      </c>
      <c r="B131" s="6">
        <f>SUMIFS(Timesheet!$F$13:$F$11483,Timesheet!$A$13:$A$11483,'Mês 1'!A131)</f>
        <v>0</v>
      </c>
      <c r="D131" s="92">
        <v>44244</v>
      </c>
      <c r="E131" s="93">
        <f>SUMIFS(Timesheet!$F$13:$F$11483,Timesheet!$A$13:$A$11483,'Mês 1'!D131)</f>
        <v>0</v>
      </c>
      <c r="G131" s="1">
        <v>44980</v>
      </c>
      <c r="H131" s="6">
        <f>SUMIFS(Timesheet!$F$13:$F$11483,Timesheet!$A$13:$A$11483,'Mês 1'!G131)</f>
        <v>0</v>
      </c>
      <c r="J131" s="1">
        <v>45050</v>
      </c>
      <c r="K131" s="6">
        <f>SUMIFS(Timesheet!$F$13:$F$11483,Timesheet!$A$13:$A$11483,'Mês 1'!J131)</f>
        <v>0</v>
      </c>
      <c r="M131" s="1">
        <v>45057</v>
      </c>
      <c r="N131" s="6">
        <f>SUMIFS(Timesheet!$F$13:$F$11483,Timesheet!$A$13:$A$11483,'Mês 1'!M131)</f>
        <v>0</v>
      </c>
      <c r="P131" s="1">
        <v>45064</v>
      </c>
      <c r="Q131" s="6">
        <f>SUMIFS(Timesheet!$F$13:$F$11483,Timesheet!$A$13:$A$11483,'Mês 1'!P131)</f>
        <v>0</v>
      </c>
      <c r="S131" s="1">
        <v>45073</v>
      </c>
      <c r="T131" s="2">
        <f>K143</f>
        <v>0</v>
      </c>
    </row>
    <row r="132" spans="1:20" x14ac:dyDescent="0.25">
      <c r="A132" s="1">
        <v>44974</v>
      </c>
      <c r="B132" s="6">
        <f>SUMIFS(Timesheet!$F$13:$F$11483,Timesheet!$A$13:$A$11483,'Mês 1'!A132)</f>
        <v>0</v>
      </c>
      <c r="D132" s="92">
        <v>44245</v>
      </c>
      <c r="E132" s="93">
        <f>SUMIFS(Timesheet!$F$13:$F$11483,Timesheet!$A$13:$A$11483,'Mês 1'!D132)</f>
        <v>0</v>
      </c>
      <c r="G132" s="1">
        <v>44981</v>
      </c>
      <c r="H132" s="6">
        <f>SUMIFS(Timesheet!$F$13:$F$11483,Timesheet!$A$13:$A$11483,'Mês 1'!G132)</f>
        <v>0</v>
      </c>
      <c r="J132" s="1">
        <v>45051</v>
      </c>
      <c r="K132" s="6">
        <f>SUMIFS(Timesheet!$F$13:$F$11483,Timesheet!$A$13:$A$11483,'Mês 1'!J132)</f>
        <v>0</v>
      </c>
      <c r="M132" s="1">
        <v>45058</v>
      </c>
      <c r="N132" s="6">
        <f>SUMIFS(Timesheet!$F$13:$F$11483,Timesheet!$A$13:$A$11483,'Mês 1'!M132)</f>
        <v>0</v>
      </c>
      <c r="P132" s="1">
        <v>45065</v>
      </c>
      <c r="Q132" s="6">
        <f>SUMIFS(Timesheet!$F$13:$F$11483,Timesheet!$A$13:$A$11483,'Mês 1'!P132)</f>
        <v>0</v>
      </c>
      <c r="S132" s="1">
        <v>45080</v>
      </c>
      <c r="T132" s="2">
        <f>N143</f>
        <v>0</v>
      </c>
    </row>
    <row r="133" spans="1:20" x14ac:dyDescent="0.25">
      <c r="A133" s="1">
        <v>44975</v>
      </c>
      <c r="B133" s="6">
        <f>SUMIFS(Timesheet!$F$13:$F$11483,Timesheet!$A$13:$A$11483,'Mês 1'!A133)</f>
        <v>0</v>
      </c>
      <c r="D133" s="92">
        <v>44246</v>
      </c>
      <c r="E133" s="93">
        <f>SUMIFS(Timesheet!$F$13:$F$11483,Timesheet!$A$13:$A$11483,'Mês 1'!D133)</f>
        <v>0</v>
      </c>
      <c r="G133" s="1">
        <v>44982</v>
      </c>
      <c r="H133" s="6">
        <f>SUMIFS(Timesheet!$F$13:$F$11483,Timesheet!$A$13:$A$11483,'Mês 1'!G133)</f>
        <v>0</v>
      </c>
      <c r="J133" s="1">
        <v>45052</v>
      </c>
      <c r="K133" s="6">
        <f>SUMIFS(Timesheet!$F$13:$F$11483,Timesheet!$A$13:$A$11483,'Mês 1'!J133)</f>
        <v>0</v>
      </c>
      <c r="M133" s="1">
        <v>45059</v>
      </c>
      <c r="N133" s="6">
        <f>SUMIFS(Timesheet!$F$13:$F$11483,Timesheet!$A$13:$A$11483,'Mês 1'!M133)</f>
        <v>0</v>
      </c>
      <c r="P133" s="1">
        <v>45066</v>
      </c>
      <c r="Q133" s="6">
        <f>SUMIFS(Timesheet!$F$13:$F$11483,Timesheet!$A$13:$A$11483,'Mês 1'!P133)</f>
        <v>0</v>
      </c>
      <c r="S133" s="1">
        <v>45087</v>
      </c>
      <c r="T133" s="2">
        <f>Q143</f>
        <v>0</v>
      </c>
    </row>
    <row r="134" spans="1:20" x14ac:dyDescent="0.25">
      <c r="A134" s="4" t="s">
        <v>12</v>
      </c>
      <c r="B134" s="9">
        <f>SUM(B129:B133)</f>
        <v>0</v>
      </c>
      <c r="D134" s="91" t="s">
        <v>12</v>
      </c>
      <c r="E134" s="94">
        <f>SUM(E129:E133)</f>
        <v>0</v>
      </c>
      <c r="G134" s="4" t="s">
        <v>12</v>
      </c>
      <c r="H134" s="9">
        <f>SUM(H129:H133)</f>
        <v>0</v>
      </c>
      <c r="J134" s="4" t="s">
        <v>12</v>
      </c>
      <c r="K134" s="9">
        <f>SUM(K129:K133)</f>
        <v>0</v>
      </c>
      <c r="M134" s="4" t="s">
        <v>12</v>
      </c>
      <c r="N134" s="9">
        <f>SUM(N129:N133)</f>
        <v>0</v>
      </c>
      <c r="P134" s="4" t="s">
        <v>12</v>
      </c>
      <c r="Q134" s="9">
        <f>SUM(Q129:Q133)</f>
        <v>0</v>
      </c>
      <c r="S134" s="1">
        <v>45094</v>
      </c>
      <c r="T134" s="2">
        <f>B152</f>
        <v>0</v>
      </c>
    </row>
    <row r="135" spans="1:20" x14ac:dyDescent="0.25">
      <c r="B135" s="9"/>
      <c r="E135" s="9"/>
      <c r="K135" s="9"/>
      <c r="S135" s="1">
        <v>45101</v>
      </c>
      <c r="T135" s="2">
        <f>E152</f>
        <v>0</v>
      </c>
    </row>
    <row r="136" spans="1:20" x14ac:dyDescent="0.25">
      <c r="A136" t="s">
        <v>48</v>
      </c>
      <c r="B136" t="s">
        <v>35</v>
      </c>
      <c r="D136" t="s">
        <v>48</v>
      </c>
      <c r="E136" t="s">
        <v>35</v>
      </c>
      <c r="G136" t="s">
        <v>48</v>
      </c>
      <c r="H136" t="s">
        <v>35</v>
      </c>
      <c r="J136" t="s">
        <v>48</v>
      </c>
      <c r="K136" t="s">
        <v>33</v>
      </c>
      <c r="M136" t="s">
        <v>48</v>
      </c>
      <c r="N136" t="s">
        <v>32</v>
      </c>
      <c r="P136" t="s">
        <v>48</v>
      </c>
      <c r="Q136" t="s">
        <v>32</v>
      </c>
      <c r="S136" s="1">
        <v>45108</v>
      </c>
      <c r="T136" s="2">
        <f>H152</f>
        <v>0</v>
      </c>
    </row>
    <row r="137" spans="1:20" x14ac:dyDescent="0.25">
      <c r="A137" s="8" t="s">
        <v>19</v>
      </c>
      <c r="B137" s="4" t="s">
        <v>57</v>
      </c>
      <c r="D137" s="8" t="s">
        <v>19</v>
      </c>
      <c r="E137" s="4" t="s">
        <v>57</v>
      </c>
      <c r="G137" s="8" t="s">
        <v>19</v>
      </c>
      <c r="H137" s="4" t="s">
        <v>57</v>
      </c>
      <c r="J137" s="8" t="s">
        <v>19</v>
      </c>
      <c r="K137" s="4" t="s">
        <v>57</v>
      </c>
      <c r="M137" s="8" t="s">
        <v>19</v>
      </c>
      <c r="N137" s="4" t="s">
        <v>57</v>
      </c>
      <c r="P137" s="8" t="s">
        <v>19</v>
      </c>
      <c r="Q137" s="4" t="s">
        <v>57</v>
      </c>
      <c r="S137" s="1">
        <v>45115</v>
      </c>
      <c r="T137" s="2">
        <f>K152</f>
        <v>0</v>
      </c>
    </row>
    <row r="138" spans="1:20" x14ac:dyDescent="0.25">
      <c r="A138" s="1">
        <v>44985</v>
      </c>
      <c r="B138" s="6">
        <f>SUMIFS(Timesheet!$F$13:$F$11483,Timesheet!$A$13:$A$11483,'Mês 1'!A138)</f>
        <v>0</v>
      </c>
      <c r="D138" s="1">
        <v>44992</v>
      </c>
      <c r="E138" s="6">
        <f>SUMIFS(Timesheet!$F$13:$F$11483,Timesheet!$A$13:$A$11483,'Mês 1'!D138)</f>
        <v>0</v>
      </c>
      <c r="G138" s="1">
        <v>44999</v>
      </c>
      <c r="H138" s="6">
        <f>SUMIFS(Timesheet!$F$13:$F$11483,Timesheet!$A$13:$A$11483,'Mês 1'!G138)</f>
        <v>0</v>
      </c>
      <c r="J138" s="1">
        <v>45069</v>
      </c>
      <c r="K138" s="6">
        <f>SUMIFS(Timesheet!$F$13:$F$11483,Timesheet!$A$13:$A$11483,'Mês 1'!J138)</f>
        <v>0</v>
      </c>
      <c r="M138" s="1">
        <v>45076</v>
      </c>
      <c r="N138" s="6">
        <f>SUMIFS(Timesheet!$F$13:$F$11483,Timesheet!$A$13:$A$11483,'Mês 1'!M138)</f>
        <v>0</v>
      </c>
      <c r="P138" s="1">
        <v>45083</v>
      </c>
      <c r="Q138" s="6">
        <f>SUMIFS(Timesheet!$F$13:$F$11483,Timesheet!$A$13:$A$11483,'Mês 1'!P138)</f>
        <v>0</v>
      </c>
      <c r="S138" s="1">
        <v>45122</v>
      </c>
      <c r="T138" s="2">
        <f>N152</f>
        <v>0</v>
      </c>
    </row>
    <row r="139" spans="1:20" x14ac:dyDescent="0.25">
      <c r="A139" s="1">
        <v>44986</v>
      </c>
      <c r="B139" s="6">
        <f>SUMIFS(Timesheet!$F$13:$F$11483,Timesheet!$A$13:$A$11483,'Mês 1'!A139)</f>
        <v>0</v>
      </c>
      <c r="D139" s="1">
        <v>44993</v>
      </c>
      <c r="E139" s="6">
        <f>SUMIFS(Timesheet!$F$13:$F$11483,Timesheet!$A$13:$A$11483,'Mês 1'!D139)</f>
        <v>0</v>
      </c>
      <c r="G139" s="1">
        <v>45000</v>
      </c>
      <c r="H139" s="6">
        <f>SUMIFS(Timesheet!$F$13:$F$11483,Timesheet!$A$13:$A$11483,'Mês 1'!G139)</f>
        <v>0</v>
      </c>
      <c r="J139" s="1">
        <v>45070</v>
      </c>
      <c r="K139" s="6">
        <f>SUMIFS(Timesheet!$F$13:$F$11483,Timesheet!$A$13:$A$11483,'Mês 1'!J139)</f>
        <v>0</v>
      </c>
      <c r="M139" s="1">
        <v>45077</v>
      </c>
      <c r="N139" s="6">
        <f>SUMIFS(Timesheet!$F$13:$F$11483,Timesheet!$A$13:$A$11483,'Mês 1'!M139)</f>
        <v>0</v>
      </c>
      <c r="P139" s="1">
        <v>45084</v>
      </c>
      <c r="Q139" s="6">
        <f>SUMIFS(Timesheet!$F$13:$F$11483,Timesheet!$A$13:$A$11483,'Mês 1'!P139)</f>
        <v>0</v>
      </c>
      <c r="S139" s="1">
        <v>45129</v>
      </c>
      <c r="T139" s="2">
        <f>Q152</f>
        <v>0</v>
      </c>
    </row>
    <row r="140" spans="1:20" x14ac:dyDescent="0.25">
      <c r="A140" s="1">
        <v>44987</v>
      </c>
      <c r="B140" s="6">
        <f>SUMIFS(Timesheet!$F$13:$F$11483,Timesheet!$A$13:$A$11483,'Mês 1'!A140)</f>
        <v>0</v>
      </c>
      <c r="D140" s="1">
        <v>44994</v>
      </c>
      <c r="E140" s="6">
        <f>SUMIFS(Timesheet!$F$13:$F$11483,Timesheet!$A$13:$A$11483,'Mês 1'!D140)</f>
        <v>0</v>
      </c>
      <c r="G140" s="1">
        <v>45001</v>
      </c>
      <c r="H140" s="6">
        <f>SUMIFS(Timesheet!$F$13:$F$11483,Timesheet!$A$13:$A$11483,'Mês 1'!G140)</f>
        <v>0</v>
      </c>
      <c r="J140" s="1">
        <v>45071</v>
      </c>
      <c r="K140" s="6">
        <f>SUMIFS(Timesheet!$F$13:$F$11483,Timesheet!$A$13:$A$11483,'Mês 1'!J140)</f>
        <v>0</v>
      </c>
      <c r="M140" s="1">
        <v>45078</v>
      </c>
      <c r="N140" s="6">
        <f>SUMIFS(Timesheet!$F$13:$F$11483,Timesheet!$A$13:$A$11483,'Mês 1'!M140)</f>
        <v>0</v>
      </c>
      <c r="P140" s="1">
        <v>45085</v>
      </c>
      <c r="Q140" s="6">
        <f>SUMIFS(Timesheet!$F$13:$F$11483,Timesheet!$A$13:$A$11483,'Mês 1'!P140)</f>
        <v>0</v>
      </c>
      <c r="S140" s="1">
        <v>45136</v>
      </c>
      <c r="T140" s="2">
        <f>B161</f>
        <v>0</v>
      </c>
    </row>
    <row r="141" spans="1:20" x14ac:dyDescent="0.25">
      <c r="A141" s="1">
        <v>44988</v>
      </c>
      <c r="B141" s="6">
        <f>SUMIFS(Timesheet!$F$13:$F$11483,Timesheet!$A$13:$A$11483,'Mês 1'!A141)</f>
        <v>0</v>
      </c>
      <c r="D141" s="1">
        <v>44995</v>
      </c>
      <c r="E141" s="6">
        <f>SUMIFS(Timesheet!$F$13:$F$11483,Timesheet!$A$13:$A$11483,'Mês 1'!D141)</f>
        <v>0</v>
      </c>
      <c r="G141" s="1">
        <v>45002</v>
      </c>
      <c r="H141" s="6">
        <f>SUMIFS(Timesheet!$F$13:$F$11483,Timesheet!$A$13:$A$11483,'Mês 1'!G141)</f>
        <v>0</v>
      </c>
      <c r="J141" s="1">
        <v>45072</v>
      </c>
      <c r="K141" s="6">
        <f>SUMIFS(Timesheet!$F$13:$F$11483,Timesheet!$A$13:$A$11483,'Mês 1'!J141)</f>
        <v>0</v>
      </c>
      <c r="M141" s="1">
        <v>45079</v>
      </c>
      <c r="N141" s="6">
        <f>SUMIFS(Timesheet!$F$13:$F$11483,Timesheet!$A$13:$A$11483,'Mês 1'!M141)</f>
        <v>0</v>
      </c>
      <c r="P141" s="1">
        <v>45086</v>
      </c>
      <c r="Q141" s="6">
        <f>SUMIFS(Timesheet!$F$13:$F$11483,Timesheet!$A$13:$A$11483,'Mês 1'!P141)</f>
        <v>0</v>
      </c>
      <c r="S141" s="1">
        <v>45143</v>
      </c>
      <c r="T141" s="2">
        <f>E161</f>
        <v>0</v>
      </c>
    </row>
    <row r="142" spans="1:20" x14ac:dyDescent="0.25">
      <c r="A142" s="1">
        <v>44989</v>
      </c>
      <c r="B142" s="6">
        <f>SUMIFS(Timesheet!$F$13:$F$11483,Timesheet!$A$13:$A$11483,'Mês 1'!A142)</f>
        <v>0</v>
      </c>
      <c r="D142" s="1">
        <v>44996</v>
      </c>
      <c r="E142" s="6">
        <f>SUMIFS(Timesheet!$F$13:$F$11483,Timesheet!$A$13:$A$11483,'Mês 1'!D142)</f>
        <v>0</v>
      </c>
      <c r="G142" s="1">
        <v>45003</v>
      </c>
      <c r="H142" s="6">
        <f>SUMIFS(Timesheet!$F$13:$F$11483,Timesheet!$A$13:$A$11483,'Mês 1'!G142)</f>
        <v>0</v>
      </c>
      <c r="J142" s="1">
        <v>45073</v>
      </c>
      <c r="K142" s="6">
        <f>SUMIFS(Timesheet!$F$13:$F$11483,Timesheet!$A$13:$A$11483,'Mês 1'!J142)</f>
        <v>0</v>
      </c>
      <c r="M142" s="1">
        <v>45080</v>
      </c>
      <c r="N142" s="6">
        <f>SUMIFS(Timesheet!$F$13:$F$11483,Timesheet!$A$13:$A$11483,'Mês 1'!M142)</f>
        <v>0</v>
      </c>
      <c r="P142" s="1">
        <v>45087</v>
      </c>
      <c r="Q142" s="6">
        <f>SUMIFS(Timesheet!$F$13:$F$11483,Timesheet!$A$13:$A$11483,'Mês 1'!P142)</f>
        <v>0</v>
      </c>
      <c r="S142" s="1">
        <v>45150</v>
      </c>
      <c r="T142" s="2">
        <f>H161</f>
        <v>0</v>
      </c>
    </row>
    <row r="143" spans="1:20" x14ac:dyDescent="0.25">
      <c r="A143" s="4" t="s">
        <v>12</v>
      </c>
      <c r="B143" s="9">
        <f>SUM(B138:B142)</f>
        <v>0</v>
      </c>
      <c r="D143" s="4" t="s">
        <v>12</v>
      </c>
      <c r="E143" s="9">
        <f>SUM(E138:E142)</f>
        <v>0</v>
      </c>
      <c r="G143" s="4" t="s">
        <v>12</v>
      </c>
      <c r="H143" s="9">
        <f>SUM(H138:H142)</f>
        <v>0</v>
      </c>
      <c r="J143" s="4" t="s">
        <v>12</v>
      </c>
      <c r="K143" s="9">
        <f>SUM(K138:K142)</f>
        <v>0</v>
      </c>
      <c r="M143" s="4" t="s">
        <v>12</v>
      </c>
      <c r="N143" s="9">
        <f>SUM(N138:N142)</f>
        <v>0</v>
      </c>
      <c r="P143" s="4" t="s">
        <v>12</v>
      </c>
      <c r="Q143" s="9">
        <f>SUM(Q138:Q142)</f>
        <v>0</v>
      </c>
      <c r="S143" s="1">
        <v>45157</v>
      </c>
      <c r="T143" s="2">
        <f>K161</f>
        <v>0</v>
      </c>
    </row>
    <row r="144" spans="1:20" x14ac:dyDescent="0.25">
      <c r="S144" s="1">
        <v>45164</v>
      </c>
      <c r="T144" s="2">
        <f>N161</f>
        <v>0</v>
      </c>
    </row>
    <row r="145" spans="1:20" x14ac:dyDescent="0.25">
      <c r="A145" t="s">
        <v>48</v>
      </c>
      <c r="B145" t="s">
        <v>32</v>
      </c>
      <c r="D145" t="s">
        <v>48</v>
      </c>
      <c r="E145" t="s">
        <v>32</v>
      </c>
      <c r="G145" t="s">
        <v>48</v>
      </c>
      <c r="H145" t="s">
        <v>31</v>
      </c>
      <c r="J145" t="s">
        <v>48</v>
      </c>
      <c r="K145" t="s">
        <v>31</v>
      </c>
      <c r="M145" t="s">
        <v>48</v>
      </c>
      <c r="N145" t="s">
        <v>31</v>
      </c>
      <c r="P145" t="s">
        <v>48</v>
      </c>
      <c r="Q145" t="s">
        <v>31</v>
      </c>
      <c r="S145" s="1">
        <v>45171</v>
      </c>
      <c r="T145" s="2">
        <f>Q161</f>
        <v>0</v>
      </c>
    </row>
    <row r="146" spans="1:20" x14ac:dyDescent="0.25">
      <c r="A146" s="8" t="s">
        <v>19</v>
      </c>
      <c r="B146" s="4" t="s">
        <v>57</v>
      </c>
      <c r="D146" s="8" t="s">
        <v>19</v>
      </c>
      <c r="E146" s="4" t="s">
        <v>57</v>
      </c>
      <c r="G146" s="8" t="s">
        <v>19</v>
      </c>
      <c r="H146" s="4" t="s">
        <v>57</v>
      </c>
      <c r="J146" s="8" t="s">
        <v>19</v>
      </c>
      <c r="K146" s="4" t="s">
        <v>57</v>
      </c>
      <c r="M146" s="8" t="s">
        <v>19</v>
      </c>
      <c r="N146" s="4" t="s">
        <v>57</v>
      </c>
      <c r="P146" s="8" t="s">
        <v>19</v>
      </c>
      <c r="Q146" s="4" t="s">
        <v>57</v>
      </c>
      <c r="S146" s="1">
        <v>45178</v>
      </c>
      <c r="T146" s="2">
        <f>B170</f>
        <v>0</v>
      </c>
    </row>
    <row r="147" spans="1:20" x14ac:dyDescent="0.25">
      <c r="A147" s="1">
        <v>45090</v>
      </c>
      <c r="B147" s="6">
        <f>SUMIFS(Timesheet!$F$13:$F$11483,Timesheet!$A$13:$A$11483,'Mês 1'!A147)</f>
        <v>0</v>
      </c>
      <c r="D147" s="1">
        <v>45097</v>
      </c>
      <c r="E147" s="6">
        <f>SUMIFS(Timesheet!$F$13:$F$11483,Timesheet!$A$13:$A$11483,'Mês 1'!D147)</f>
        <v>0</v>
      </c>
      <c r="G147" s="1">
        <v>45104</v>
      </c>
      <c r="H147" s="6">
        <f>SUMIFS(Timesheet!$F$13:$F$11483,Timesheet!$A$13:$A$11483,'Mês 1'!G147)</f>
        <v>0</v>
      </c>
      <c r="J147" s="1">
        <v>45111</v>
      </c>
      <c r="K147" s="6">
        <f>SUMIFS(Timesheet!$F$13:$F$11483,Timesheet!$A$13:$A$11483,'Mês 1'!J147)</f>
        <v>0</v>
      </c>
      <c r="M147" s="1">
        <v>45118</v>
      </c>
      <c r="N147" s="6">
        <f>SUMIFS(Timesheet!$F$13:$F$11483,Timesheet!$A$13:$A$11483,'Mês 1'!M147)</f>
        <v>0</v>
      </c>
      <c r="P147" s="1">
        <v>45125</v>
      </c>
      <c r="Q147" s="6">
        <f>SUMIFS(Timesheet!$F$13:$F$11483,Timesheet!$A$13:$A$11483,'Mês 1'!P147)</f>
        <v>0</v>
      </c>
      <c r="S147" s="1">
        <v>45185</v>
      </c>
      <c r="T147" s="2">
        <f>E170</f>
        <v>0</v>
      </c>
    </row>
    <row r="148" spans="1:20" x14ac:dyDescent="0.25">
      <c r="A148" s="1">
        <v>45091</v>
      </c>
      <c r="B148" s="6">
        <f>SUMIFS(Timesheet!$F$13:$F$11483,Timesheet!$A$13:$A$11483,'Mês 1'!A148)</f>
        <v>0</v>
      </c>
      <c r="D148" s="1">
        <v>45098</v>
      </c>
      <c r="E148" s="6">
        <f>SUMIFS(Timesheet!$F$13:$F$11483,Timesheet!$A$13:$A$11483,'Mês 1'!D148)</f>
        <v>0</v>
      </c>
      <c r="G148" s="1">
        <v>45105</v>
      </c>
      <c r="H148" s="6">
        <f>SUMIFS(Timesheet!$F$13:$F$11483,Timesheet!$A$13:$A$11483,'Mês 1'!G148)</f>
        <v>0</v>
      </c>
      <c r="J148" s="1">
        <v>45112</v>
      </c>
      <c r="K148" s="6">
        <f>SUMIFS(Timesheet!$F$13:$F$11483,Timesheet!$A$13:$A$11483,'Mês 1'!J148)</f>
        <v>0</v>
      </c>
      <c r="M148" s="1">
        <v>45119</v>
      </c>
      <c r="N148" s="6">
        <f>SUMIFS(Timesheet!$F$13:$F$11483,Timesheet!$A$13:$A$11483,'Mês 1'!M148)</f>
        <v>0</v>
      </c>
      <c r="P148" s="1">
        <v>45126</v>
      </c>
      <c r="Q148" s="6">
        <f>SUMIFS(Timesheet!$F$13:$F$11483,Timesheet!$A$13:$A$11483,'Mês 1'!P148)</f>
        <v>0</v>
      </c>
      <c r="S148" s="1">
        <v>45192</v>
      </c>
      <c r="T148" s="2">
        <f>H170</f>
        <v>0</v>
      </c>
    </row>
    <row r="149" spans="1:20" x14ac:dyDescent="0.25">
      <c r="A149" s="1">
        <v>45092</v>
      </c>
      <c r="B149" s="6">
        <f>SUMIFS(Timesheet!$F$13:$F$11483,Timesheet!$A$13:$A$11483,'Mês 1'!A149)</f>
        <v>0</v>
      </c>
      <c r="D149" s="1">
        <v>45099</v>
      </c>
      <c r="E149" s="6">
        <f>SUMIFS(Timesheet!$F$13:$F$11483,Timesheet!$A$13:$A$11483,'Mês 1'!D149)</f>
        <v>0</v>
      </c>
      <c r="G149" s="1">
        <v>45106</v>
      </c>
      <c r="H149" s="6">
        <f>SUMIFS(Timesheet!$F$13:$F$11483,Timesheet!$A$13:$A$11483,'Mês 1'!G149)</f>
        <v>0</v>
      </c>
      <c r="J149" s="1">
        <v>45113</v>
      </c>
      <c r="K149" s="6">
        <f>SUMIFS(Timesheet!$F$13:$F$11483,Timesheet!$A$13:$A$11483,'Mês 1'!J149)</f>
        <v>0</v>
      </c>
      <c r="M149" s="1">
        <v>45120</v>
      </c>
      <c r="N149" s="6">
        <f>SUMIFS(Timesheet!$F$13:$F$11483,Timesheet!$A$13:$A$11483,'Mês 1'!M149)</f>
        <v>0</v>
      </c>
      <c r="P149" s="1">
        <v>45127</v>
      </c>
      <c r="Q149" s="6">
        <f>SUMIFS(Timesheet!$F$13:$F$11483,Timesheet!$A$13:$A$11483,'Mês 1'!P149)</f>
        <v>0</v>
      </c>
      <c r="S149" s="1">
        <v>45199</v>
      </c>
      <c r="T149" s="2">
        <f>K170</f>
        <v>0</v>
      </c>
    </row>
    <row r="150" spans="1:20" x14ac:dyDescent="0.25">
      <c r="A150" s="1">
        <v>45093</v>
      </c>
      <c r="B150" s="6">
        <f>SUMIFS(Timesheet!$F$13:$F$11483,Timesheet!$A$13:$A$11483,'Mês 1'!A150)</f>
        <v>0</v>
      </c>
      <c r="D150" s="1">
        <v>45100</v>
      </c>
      <c r="E150" s="6">
        <f>SUMIFS(Timesheet!$F$13:$F$11483,Timesheet!$A$13:$A$11483,'Mês 1'!D150)</f>
        <v>0</v>
      </c>
      <c r="G150" s="1">
        <v>45107</v>
      </c>
      <c r="H150" s="6">
        <f>SUMIFS(Timesheet!$F$13:$F$11483,Timesheet!$A$13:$A$11483,'Mês 1'!G150)</f>
        <v>0</v>
      </c>
      <c r="J150" s="1">
        <v>45114</v>
      </c>
      <c r="K150" s="6">
        <f>SUMIFS(Timesheet!$F$13:$F$11483,Timesheet!$A$13:$A$11483,'Mês 1'!J150)</f>
        <v>0</v>
      </c>
      <c r="M150" s="1">
        <v>45121</v>
      </c>
      <c r="N150" s="6">
        <f>SUMIFS(Timesheet!$F$13:$F$11483,Timesheet!$A$13:$A$11483,'Mês 1'!M150)</f>
        <v>0</v>
      </c>
      <c r="P150" s="1">
        <v>45128</v>
      </c>
      <c r="Q150" s="6">
        <f>SUMIFS(Timesheet!$F$13:$F$11483,Timesheet!$A$13:$A$11483,'Mês 1'!P150)</f>
        <v>0</v>
      </c>
      <c r="S150" s="1">
        <v>45206</v>
      </c>
      <c r="T150" s="2">
        <f>N170</f>
        <v>0</v>
      </c>
    </row>
    <row r="151" spans="1:20" x14ac:dyDescent="0.25">
      <c r="A151" s="1">
        <v>45094</v>
      </c>
      <c r="B151" s="6">
        <f>SUMIFS(Timesheet!$F$13:$F$11483,Timesheet!$A$13:$A$11483,'Mês 1'!A151)</f>
        <v>0</v>
      </c>
      <c r="D151" s="1">
        <v>45101</v>
      </c>
      <c r="E151" s="6">
        <f>SUMIFS(Timesheet!$F$13:$F$11483,Timesheet!$A$13:$A$11483,'Mês 1'!D151)</f>
        <v>0</v>
      </c>
      <c r="G151" s="1">
        <v>45108</v>
      </c>
      <c r="H151" s="6">
        <f>SUMIFS(Timesheet!$F$13:$F$11483,Timesheet!$A$13:$A$11483,'Mês 1'!G151)</f>
        <v>0</v>
      </c>
      <c r="J151" s="1">
        <v>45115</v>
      </c>
      <c r="K151" s="6">
        <f>SUMIFS(Timesheet!$F$13:$F$11483,Timesheet!$A$13:$A$11483,'Mês 1'!J151)</f>
        <v>0</v>
      </c>
      <c r="M151" s="1">
        <v>45122</v>
      </c>
      <c r="N151" s="6">
        <f>SUMIFS(Timesheet!$F$13:$F$11483,Timesheet!$A$13:$A$11483,'Mês 1'!M151)</f>
        <v>0</v>
      </c>
      <c r="P151" s="1">
        <v>45129</v>
      </c>
      <c r="Q151" s="6">
        <f>SUMIFS(Timesheet!$F$13:$F$11483,Timesheet!$A$13:$A$11483,'Mês 1'!P151)</f>
        <v>0</v>
      </c>
      <c r="S151" s="1">
        <v>45213</v>
      </c>
      <c r="T151" s="2">
        <f>Q170</f>
        <v>0</v>
      </c>
    </row>
    <row r="152" spans="1:20" x14ac:dyDescent="0.25">
      <c r="A152" s="4" t="s">
        <v>12</v>
      </c>
      <c r="B152" s="9">
        <f>SUM(B147:B151)</f>
        <v>0</v>
      </c>
      <c r="D152" s="4" t="s">
        <v>12</v>
      </c>
      <c r="E152" s="9">
        <f>SUM(E147:E151)</f>
        <v>0</v>
      </c>
      <c r="G152" s="4" t="s">
        <v>12</v>
      </c>
      <c r="H152" s="9">
        <f>SUM(H147:H151)</f>
        <v>0</v>
      </c>
      <c r="J152" s="4" t="s">
        <v>12</v>
      </c>
      <c r="K152" s="9">
        <f>SUM(K147:K151)</f>
        <v>0</v>
      </c>
      <c r="M152" s="4" t="s">
        <v>12</v>
      </c>
      <c r="N152" s="9">
        <f>SUM(N147:N151)</f>
        <v>0</v>
      </c>
      <c r="P152" s="4" t="s">
        <v>12</v>
      </c>
      <c r="Q152" s="9">
        <f>SUM(Q147:Q151)</f>
        <v>0</v>
      </c>
      <c r="S152" s="1">
        <v>45220</v>
      </c>
      <c r="T152" s="2">
        <f>B179</f>
        <v>0</v>
      </c>
    </row>
    <row r="153" spans="1:20" x14ac:dyDescent="0.25">
      <c r="S153" s="1">
        <v>45227</v>
      </c>
      <c r="T153" s="2">
        <f>E179</f>
        <v>0</v>
      </c>
    </row>
    <row r="154" spans="1:20" x14ac:dyDescent="0.25">
      <c r="A154" t="s">
        <v>48</v>
      </c>
      <c r="B154" t="s">
        <v>31</v>
      </c>
      <c r="D154" t="s">
        <v>48</v>
      </c>
      <c r="E154" t="s">
        <v>30</v>
      </c>
      <c r="G154" t="s">
        <v>48</v>
      </c>
      <c r="H154" t="s">
        <v>30</v>
      </c>
      <c r="J154" t="s">
        <v>48</v>
      </c>
      <c r="K154" t="s">
        <v>30</v>
      </c>
      <c r="M154" t="s">
        <v>48</v>
      </c>
      <c r="N154" t="s">
        <v>30</v>
      </c>
      <c r="P154" t="s">
        <v>48</v>
      </c>
      <c r="Q154" t="s">
        <v>29</v>
      </c>
      <c r="S154" s="1">
        <v>45234</v>
      </c>
      <c r="T154" s="2">
        <f>H179</f>
        <v>0</v>
      </c>
    </row>
    <row r="155" spans="1:20" x14ac:dyDescent="0.25">
      <c r="A155" s="8" t="s">
        <v>19</v>
      </c>
      <c r="B155" s="4" t="s">
        <v>57</v>
      </c>
      <c r="D155" s="8" t="s">
        <v>19</v>
      </c>
      <c r="E155" s="4" t="s">
        <v>57</v>
      </c>
      <c r="G155" s="8" t="s">
        <v>19</v>
      </c>
      <c r="H155" s="4" t="s">
        <v>57</v>
      </c>
      <c r="J155" s="8" t="s">
        <v>19</v>
      </c>
      <c r="K155" s="4" t="s">
        <v>57</v>
      </c>
      <c r="M155" s="8" t="s">
        <v>19</v>
      </c>
      <c r="N155" s="4" t="s">
        <v>57</v>
      </c>
      <c r="P155" s="8" t="s">
        <v>19</v>
      </c>
      <c r="Q155" s="4" t="s">
        <v>57</v>
      </c>
      <c r="S155" s="1">
        <v>45241</v>
      </c>
      <c r="T155" s="2">
        <f>K179</f>
        <v>0</v>
      </c>
    </row>
    <row r="156" spans="1:20" x14ac:dyDescent="0.25">
      <c r="A156" s="1">
        <v>45132</v>
      </c>
      <c r="B156" s="6">
        <f>SUMIFS(Timesheet!$F$13:$F$11483,Timesheet!$A$13:$A$11483,'Mês 1'!A156)</f>
        <v>0</v>
      </c>
      <c r="D156" s="1">
        <v>45139</v>
      </c>
      <c r="E156" s="6">
        <f>SUMIFS(Timesheet!$F$13:$F$11483,Timesheet!$A$13:$A$11483,'Mês 1'!D156)</f>
        <v>0</v>
      </c>
      <c r="G156" s="1">
        <v>45146</v>
      </c>
      <c r="H156" s="6">
        <f>SUMIFS(Timesheet!$F$13:$F$11483,Timesheet!$A$13:$A$11483,'Mês 1'!G156)</f>
        <v>0</v>
      </c>
      <c r="J156" s="1">
        <v>45153</v>
      </c>
      <c r="K156" s="6">
        <f>SUMIFS(Timesheet!$F$13:$F$11483,Timesheet!$A$13:$A$11483,'Mês 1'!J156)</f>
        <v>0</v>
      </c>
      <c r="M156" s="1">
        <v>45160</v>
      </c>
      <c r="N156" s="6">
        <f>SUMIFS(Timesheet!$F$13:$F$11483,Timesheet!$A$13:$A$11483,'Mês 1'!M156)</f>
        <v>0</v>
      </c>
      <c r="P156" s="1">
        <v>45167</v>
      </c>
      <c r="Q156" s="6">
        <f>SUMIFS(Timesheet!$F$13:$F$11483,Timesheet!$A$13:$A$11483,'Mês 1'!P156)</f>
        <v>0</v>
      </c>
      <c r="S156" s="1">
        <v>45248</v>
      </c>
      <c r="T156" s="2">
        <f>N179</f>
        <v>0</v>
      </c>
    </row>
    <row r="157" spans="1:20" x14ac:dyDescent="0.25">
      <c r="A157" s="1">
        <v>45133</v>
      </c>
      <c r="B157" s="6">
        <f>SUMIFS(Timesheet!$F$13:$F$11483,Timesheet!$A$13:$A$11483,'Mês 1'!A157)</f>
        <v>0</v>
      </c>
      <c r="D157" s="1">
        <v>45140</v>
      </c>
      <c r="E157" s="6">
        <f>SUMIFS(Timesheet!$F$13:$F$11483,Timesheet!$A$13:$A$11483,'Mês 1'!D157)</f>
        <v>0</v>
      </c>
      <c r="G157" s="1">
        <v>45147</v>
      </c>
      <c r="H157" s="6">
        <f>SUMIFS(Timesheet!$F$13:$F$11483,Timesheet!$A$13:$A$11483,'Mês 1'!G157)</f>
        <v>0</v>
      </c>
      <c r="J157" s="1">
        <v>45154</v>
      </c>
      <c r="K157" s="6">
        <f>SUMIFS(Timesheet!$F$13:$F$11483,Timesheet!$A$13:$A$11483,'Mês 1'!J157)</f>
        <v>0</v>
      </c>
      <c r="M157" s="1">
        <v>45161</v>
      </c>
      <c r="N157" s="6">
        <f>SUMIFS(Timesheet!$F$13:$F$11483,Timesheet!$A$13:$A$11483,'Mês 1'!M157)</f>
        <v>0</v>
      </c>
      <c r="P157" s="1">
        <v>45168</v>
      </c>
      <c r="Q157" s="6">
        <f>SUMIFS(Timesheet!$F$13:$F$11483,Timesheet!$A$13:$A$11483,'Mês 1'!P157)</f>
        <v>0</v>
      </c>
      <c r="S157" s="1">
        <v>45255</v>
      </c>
      <c r="T157" s="2">
        <f>Q179</f>
        <v>0</v>
      </c>
    </row>
    <row r="158" spans="1:20" x14ac:dyDescent="0.25">
      <c r="A158" s="1">
        <v>45134</v>
      </c>
      <c r="B158" s="6">
        <f>SUMIFS(Timesheet!$F$13:$F$11483,Timesheet!$A$13:$A$11483,'Mês 1'!A158)</f>
        <v>0</v>
      </c>
      <c r="D158" s="1">
        <v>45141</v>
      </c>
      <c r="E158" s="6">
        <f>SUMIFS(Timesheet!$F$13:$F$11483,Timesheet!$A$13:$A$11483,'Mês 1'!D158)</f>
        <v>0</v>
      </c>
      <c r="G158" s="1">
        <v>45148</v>
      </c>
      <c r="H158" s="6">
        <f>SUMIFS(Timesheet!$F$13:$F$11483,Timesheet!$A$13:$A$11483,'Mês 1'!G158)</f>
        <v>0</v>
      </c>
      <c r="J158" s="1">
        <v>45155</v>
      </c>
      <c r="K158" s="6">
        <f>SUMIFS(Timesheet!$F$13:$F$11483,Timesheet!$A$13:$A$11483,'Mês 1'!J158)</f>
        <v>0</v>
      </c>
      <c r="M158" s="1">
        <v>45162</v>
      </c>
      <c r="N158" s="6">
        <f>SUMIFS(Timesheet!$F$13:$F$11483,Timesheet!$A$13:$A$11483,'Mês 1'!M158)</f>
        <v>0</v>
      </c>
      <c r="P158" s="1">
        <v>45169</v>
      </c>
      <c r="Q158" s="6">
        <f>SUMIFS(Timesheet!$F$13:$F$11483,Timesheet!$A$13:$A$11483,'Mês 1'!P158)</f>
        <v>0</v>
      </c>
      <c r="S158" s="1">
        <v>45262</v>
      </c>
      <c r="T158" s="2">
        <f>B188</f>
        <v>0</v>
      </c>
    </row>
    <row r="159" spans="1:20" x14ac:dyDescent="0.25">
      <c r="A159" s="1">
        <v>45135</v>
      </c>
      <c r="B159" s="6">
        <f>SUMIFS(Timesheet!$F$13:$F$11483,Timesheet!$A$13:$A$11483,'Mês 1'!A159)</f>
        <v>0</v>
      </c>
      <c r="D159" s="1">
        <v>45142</v>
      </c>
      <c r="E159" s="6">
        <f>SUMIFS(Timesheet!$F$13:$F$11483,Timesheet!$A$13:$A$11483,'Mês 1'!D159)</f>
        <v>0</v>
      </c>
      <c r="G159" s="1">
        <v>45149</v>
      </c>
      <c r="H159" s="6">
        <f>SUMIFS(Timesheet!$F$13:$F$11483,Timesheet!$A$13:$A$11483,'Mês 1'!G159)</f>
        <v>0</v>
      </c>
      <c r="J159" s="1">
        <v>45156</v>
      </c>
      <c r="K159" s="6">
        <f>SUMIFS(Timesheet!$F$13:$F$11483,Timesheet!$A$13:$A$11483,'Mês 1'!J159)</f>
        <v>0</v>
      </c>
      <c r="M159" s="1">
        <v>45163</v>
      </c>
      <c r="N159" s="6">
        <f>SUMIFS(Timesheet!$F$13:$F$11483,Timesheet!$A$13:$A$11483,'Mês 1'!M159)</f>
        <v>0</v>
      </c>
      <c r="P159" s="1">
        <v>45170</v>
      </c>
      <c r="Q159" s="6">
        <f>SUMIFS(Timesheet!$F$13:$F$11483,Timesheet!$A$13:$A$11483,'Mês 1'!P159)</f>
        <v>0</v>
      </c>
      <c r="S159" s="1">
        <v>45269</v>
      </c>
      <c r="T159" s="2">
        <f>E188</f>
        <v>0</v>
      </c>
    </row>
    <row r="160" spans="1:20" x14ac:dyDescent="0.25">
      <c r="A160" s="1">
        <v>45136</v>
      </c>
      <c r="B160" s="6">
        <f>SUMIFS(Timesheet!$F$13:$F$11483,Timesheet!$A$13:$A$11483,'Mês 1'!A160)</f>
        <v>0</v>
      </c>
      <c r="D160" s="1">
        <v>45143</v>
      </c>
      <c r="E160" s="6">
        <f>SUMIFS(Timesheet!$F$13:$F$11483,Timesheet!$A$13:$A$11483,'Mês 1'!D160)</f>
        <v>0</v>
      </c>
      <c r="G160" s="1">
        <v>45150</v>
      </c>
      <c r="H160" s="6">
        <f>SUMIFS(Timesheet!$F$13:$F$11483,Timesheet!$A$13:$A$11483,'Mês 1'!G160)</f>
        <v>0</v>
      </c>
      <c r="J160" s="1">
        <v>45157</v>
      </c>
      <c r="K160" s="6">
        <f>SUMIFS(Timesheet!$F$13:$F$11483,Timesheet!$A$13:$A$11483,'Mês 1'!J160)</f>
        <v>0</v>
      </c>
      <c r="M160" s="1">
        <v>45164</v>
      </c>
      <c r="N160" s="6">
        <f>SUMIFS(Timesheet!$F$13:$F$11483,Timesheet!$A$13:$A$11483,'Mês 1'!M160)</f>
        <v>0</v>
      </c>
      <c r="P160" s="1">
        <v>45171</v>
      </c>
      <c r="Q160" s="6">
        <f>SUMIFS(Timesheet!$F$13:$F$11483,Timesheet!$A$13:$A$11483,'Mês 1'!P160)</f>
        <v>0</v>
      </c>
      <c r="S160" s="1">
        <v>45276</v>
      </c>
      <c r="T160" s="2">
        <f>H188</f>
        <v>0</v>
      </c>
    </row>
    <row r="161" spans="1:20" x14ac:dyDescent="0.25">
      <c r="A161" s="4" t="s">
        <v>12</v>
      </c>
      <c r="B161" s="9">
        <f>SUM(B156:B160)</f>
        <v>0</v>
      </c>
      <c r="D161" s="4" t="s">
        <v>12</v>
      </c>
      <c r="E161" s="9">
        <f>SUM(E156:E160)</f>
        <v>0</v>
      </c>
      <c r="G161" s="4" t="s">
        <v>12</v>
      </c>
      <c r="H161" s="9">
        <f>SUM(H156:H160)</f>
        <v>0</v>
      </c>
      <c r="J161" s="4" t="s">
        <v>12</v>
      </c>
      <c r="K161" s="9">
        <f>SUM(K156:K160)</f>
        <v>0</v>
      </c>
      <c r="M161" s="4" t="s">
        <v>12</v>
      </c>
      <c r="N161" s="9">
        <f>SUM(N156:N160)</f>
        <v>0</v>
      </c>
      <c r="P161" s="4" t="s">
        <v>12</v>
      </c>
      <c r="Q161" s="9">
        <f>SUM(Q156:Q160)</f>
        <v>0</v>
      </c>
      <c r="S161" s="1">
        <v>45283</v>
      </c>
      <c r="T161" s="2">
        <f>K188</f>
        <v>0</v>
      </c>
    </row>
    <row r="162" spans="1:20" x14ac:dyDescent="0.25">
      <c r="S162" s="1">
        <v>45290</v>
      </c>
      <c r="T162" s="2">
        <f>N188</f>
        <v>0</v>
      </c>
    </row>
    <row r="163" spans="1:20" x14ac:dyDescent="0.25">
      <c r="A163" t="s">
        <v>48</v>
      </c>
      <c r="B163" t="s">
        <v>29</v>
      </c>
      <c r="D163" t="s">
        <v>48</v>
      </c>
      <c r="E163" t="s">
        <v>29</v>
      </c>
      <c r="G163" t="s">
        <v>48</v>
      </c>
      <c r="H163" t="s">
        <v>29</v>
      </c>
      <c r="J163" t="s">
        <v>48</v>
      </c>
      <c r="K163" t="s">
        <v>29</v>
      </c>
      <c r="M163" t="s">
        <v>48</v>
      </c>
      <c r="N163" t="s">
        <v>28</v>
      </c>
      <c r="P163" t="s">
        <v>48</v>
      </c>
      <c r="Q163" t="s">
        <v>28</v>
      </c>
    </row>
    <row r="164" spans="1:20" x14ac:dyDescent="0.25">
      <c r="A164" s="8" t="s">
        <v>19</v>
      </c>
      <c r="B164" s="4" t="s">
        <v>57</v>
      </c>
      <c r="D164" s="8" t="s">
        <v>19</v>
      </c>
      <c r="E164" s="4" t="s">
        <v>57</v>
      </c>
      <c r="G164" s="8" t="s">
        <v>19</v>
      </c>
      <c r="H164" s="4" t="s">
        <v>57</v>
      </c>
      <c r="J164" s="8" t="s">
        <v>19</v>
      </c>
      <c r="K164" s="4" t="s">
        <v>57</v>
      </c>
      <c r="M164" s="8" t="s">
        <v>19</v>
      </c>
      <c r="N164" s="4" t="s">
        <v>57</v>
      </c>
      <c r="P164" s="8" t="s">
        <v>19</v>
      </c>
      <c r="Q164" s="4" t="s">
        <v>57</v>
      </c>
    </row>
    <row r="165" spans="1:20" x14ac:dyDescent="0.25">
      <c r="A165" s="1">
        <v>45174</v>
      </c>
      <c r="B165" s="6">
        <f>SUMIFS(Timesheet!$F$13:$F$11483,Timesheet!$A$13:$A$11483,'Mês 1'!A165)</f>
        <v>0</v>
      </c>
      <c r="D165" s="1">
        <v>45181</v>
      </c>
      <c r="E165" s="6">
        <f>SUMIFS(Timesheet!$F$13:$F$11483,Timesheet!$A$13:$A$11483,'Mês 1'!D165)</f>
        <v>0</v>
      </c>
      <c r="G165" s="1">
        <v>45188</v>
      </c>
      <c r="H165" s="6">
        <f>SUMIFS(Timesheet!$F$13:$F$11483,Timesheet!$A$13:$A$11483,'Mês 1'!G165)</f>
        <v>0</v>
      </c>
      <c r="J165" s="1">
        <v>45195</v>
      </c>
      <c r="K165" s="6">
        <f>SUMIFS(Timesheet!$F$13:$F$11483,Timesheet!$A$13:$A$11483,'Mês 1'!J165)</f>
        <v>0</v>
      </c>
      <c r="M165" s="1">
        <v>45202</v>
      </c>
      <c r="N165" s="6">
        <f>SUMIFS(Timesheet!$F$13:$F$11483,Timesheet!$A$13:$A$11483,'Mês 1'!M165)</f>
        <v>0</v>
      </c>
      <c r="P165" s="1">
        <v>45209</v>
      </c>
      <c r="Q165" s="6">
        <f>SUMIFS(Timesheet!$F$13:$F$11483,Timesheet!$A$13:$A$11483,'Mês 1'!P165)</f>
        <v>0</v>
      </c>
    </row>
    <row r="166" spans="1:20" x14ac:dyDescent="0.25">
      <c r="A166" s="1">
        <v>45175</v>
      </c>
      <c r="B166" s="6">
        <f>SUMIFS(Timesheet!$F$13:$F$11483,Timesheet!$A$13:$A$11483,'Mês 1'!A166)</f>
        <v>0</v>
      </c>
      <c r="D166" s="1">
        <v>45182</v>
      </c>
      <c r="E166" s="6">
        <f>SUMIFS(Timesheet!$F$13:$F$11483,Timesheet!$A$13:$A$11483,'Mês 1'!D166)</f>
        <v>0</v>
      </c>
      <c r="G166" s="1">
        <v>45189</v>
      </c>
      <c r="H166" s="6">
        <f>SUMIFS(Timesheet!$F$13:$F$11483,Timesheet!$A$13:$A$11483,'Mês 1'!G166)</f>
        <v>0</v>
      </c>
      <c r="J166" s="1">
        <v>45196</v>
      </c>
      <c r="K166" s="6">
        <f>SUMIFS(Timesheet!$F$13:$F$11483,Timesheet!$A$13:$A$11483,'Mês 1'!J166)</f>
        <v>0</v>
      </c>
      <c r="M166" s="1">
        <v>45203</v>
      </c>
      <c r="N166" s="6">
        <f>SUMIFS(Timesheet!$F$13:$F$11483,Timesheet!$A$13:$A$11483,'Mês 1'!M166)</f>
        <v>0</v>
      </c>
      <c r="P166" s="1">
        <v>45210</v>
      </c>
      <c r="Q166" s="6">
        <f>SUMIFS(Timesheet!$F$13:$F$11483,Timesheet!$A$13:$A$11483,'Mês 1'!P166)</f>
        <v>0</v>
      </c>
    </row>
    <row r="167" spans="1:20" x14ac:dyDescent="0.25">
      <c r="A167" s="1">
        <v>45176</v>
      </c>
      <c r="B167" s="6">
        <f>SUMIFS(Timesheet!$F$13:$F$11483,Timesheet!$A$13:$A$11483,'Mês 1'!A167)</f>
        <v>0</v>
      </c>
      <c r="D167" s="1">
        <v>45183</v>
      </c>
      <c r="E167" s="6">
        <f>SUMIFS(Timesheet!$F$13:$F$11483,Timesheet!$A$13:$A$11483,'Mês 1'!D167)</f>
        <v>0</v>
      </c>
      <c r="G167" s="1">
        <v>45190</v>
      </c>
      <c r="H167" s="6">
        <f>SUMIFS(Timesheet!$F$13:$F$11483,Timesheet!$A$13:$A$11483,'Mês 1'!G167)</f>
        <v>0</v>
      </c>
      <c r="J167" s="1">
        <v>45197</v>
      </c>
      <c r="K167" s="6">
        <f>SUMIFS(Timesheet!$F$13:$F$11483,Timesheet!$A$13:$A$11483,'Mês 1'!J167)</f>
        <v>0</v>
      </c>
      <c r="M167" s="1">
        <v>45204</v>
      </c>
      <c r="N167" s="6">
        <f>SUMIFS(Timesheet!$F$13:$F$11483,Timesheet!$A$13:$A$11483,'Mês 1'!M167)</f>
        <v>0</v>
      </c>
      <c r="P167" s="1">
        <v>45211</v>
      </c>
      <c r="Q167" s="6">
        <f>SUMIFS(Timesheet!$F$13:$F$11483,Timesheet!$A$13:$A$11483,'Mês 1'!P167)</f>
        <v>0</v>
      </c>
    </row>
    <row r="168" spans="1:20" x14ac:dyDescent="0.25">
      <c r="A168" s="1">
        <v>45177</v>
      </c>
      <c r="B168" s="6">
        <f>SUMIFS(Timesheet!$F$13:$F$11483,Timesheet!$A$13:$A$11483,'Mês 1'!A168)</f>
        <v>0</v>
      </c>
      <c r="D168" s="1">
        <v>45184</v>
      </c>
      <c r="E168" s="6">
        <f>SUMIFS(Timesheet!$F$13:$F$11483,Timesheet!$A$13:$A$11483,'Mês 1'!D168)</f>
        <v>0</v>
      </c>
      <c r="G168" s="1">
        <v>45191</v>
      </c>
      <c r="H168" s="6">
        <f>SUMIFS(Timesheet!$F$13:$F$11483,Timesheet!$A$13:$A$11483,'Mês 1'!G168)</f>
        <v>0</v>
      </c>
      <c r="J168" s="1">
        <v>45198</v>
      </c>
      <c r="K168" s="6">
        <f>SUMIFS(Timesheet!$F$13:$F$11483,Timesheet!$A$13:$A$11483,'Mês 1'!J168)</f>
        <v>0</v>
      </c>
      <c r="M168" s="1">
        <v>45205</v>
      </c>
      <c r="N168" s="6">
        <f>SUMIFS(Timesheet!$F$13:$F$11483,Timesheet!$A$13:$A$11483,'Mês 1'!M168)</f>
        <v>0</v>
      </c>
      <c r="P168" s="1">
        <v>45212</v>
      </c>
      <c r="Q168" s="6">
        <f>SUMIFS(Timesheet!$F$13:$F$11483,Timesheet!$A$13:$A$11483,'Mês 1'!P168)</f>
        <v>0</v>
      </c>
    </row>
    <row r="169" spans="1:20" x14ac:dyDescent="0.25">
      <c r="A169" s="1">
        <v>45178</v>
      </c>
      <c r="B169" s="6">
        <f>SUMIFS(Timesheet!$F$13:$F$11483,Timesheet!$A$13:$A$11483,'Mês 1'!A169)</f>
        <v>0</v>
      </c>
      <c r="D169" s="1">
        <v>45185</v>
      </c>
      <c r="E169" s="6">
        <f>SUMIFS(Timesheet!$F$13:$F$11483,Timesheet!$A$13:$A$11483,'Mês 1'!D169)</f>
        <v>0</v>
      </c>
      <c r="G169" s="1">
        <v>45192</v>
      </c>
      <c r="H169" s="6">
        <f>SUMIFS(Timesheet!$F$13:$F$11483,Timesheet!$A$13:$A$11483,'Mês 1'!G169)</f>
        <v>0</v>
      </c>
      <c r="J169" s="1">
        <v>45199</v>
      </c>
      <c r="K169" s="6">
        <f>SUMIFS(Timesheet!$F$13:$F$11483,Timesheet!$A$13:$A$11483,'Mês 1'!J169)</f>
        <v>0</v>
      </c>
      <c r="M169" s="1">
        <v>45206</v>
      </c>
      <c r="N169" s="6">
        <f>SUMIFS(Timesheet!$F$13:$F$11483,Timesheet!$A$13:$A$11483,'Mês 1'!M169)</f>
        <v>0</v>
      </c>
      <c r="P169" s="1">
        <v>45213</v>
      </c>
      <c r="Q169" s="6">
        <f>SUMIFS(Timesheet!$F$13:$F$11483,Timesheet!$A$13:$A$11483,'Mês 1'!P169)</f>
        <v>0</v>
      </c>
    </row>
    <row r="170" spans="1:20" x14ac:dyDescent="0.25">
      <c r="A170" s="4" t="s">
        <v>12</v>
      </c>
      <c r="B170" s="9">
        <f>SUM(B165:B169)</f>
        <v>0</v>
      </c>
      <c r="D170" s="4" t="s">
        <v>12</v>
      </c>
      <c r="E170" s="9">
        <f>SUM(E165:E169)</f>
        <v>0</v>
      </c>
      <c r="G170" s="4" t="s">
        <v>12</v>
      </c>
      <c r="H170" s="9">
        <f>SUM(H165:H169)</f>
        <v>0</v>
      </c>
      <c r="J170" s="4" t="s">
        <v>12</v>
      </c>
      <c r="K170" s="9">
        <f>SUM(K165:K169)</f>
        <v>0</v>
      </c>
      <c r="M170" s="4" t="s">
        <v>12</v>
      </c>
      <c r="N170" s="9">
        <f>SUM(N165:N169)</f>
        <v>0</v>
      </c>
      <c r="P170" s="4" t="s">
        <v>12</v>
      </c>
      <c r="Q170" s="9">
        <f>SUM(Q165:Q169)</f>
        <v>0</v>
      </c>
    </row>
    <row r="172" spans="1:20" x14ac:dyDescent="0.25">
      <c r="A172" t="s">
        <v>48</v>
      </c>
      <c r="B172" t="s">
        <v>28</v>
      </c>
      <c r="D172" t="s">
        <v>48</v>
      </c>
      <c r="E172" t="s">
        <v>28</v>
      </c>
      <c r="G172" t="s">
        <v>48</v>
      </c>
      <c r="H172" t="s">
        <v>27</v>
      </c>
      <c r="J172" t="s">
        <v>48</v>
      </c>
      <c r="K172" t="s">
        <v>27</v>
      </c>
      <c r="M172" t="s">
        <v>48</v>
      </c>
      <c r="N172" t="s">
        <v>27</v>
      </c>
      <c r="P172" t="s">
        <v>48</v>
      </c>
      <c r="Q172" t="s">
        <v>27</v>
      </c>
    </row>
    <row r="173" spans="1:20" x14ac:dyDescent="0.25">
      <c r="A173" s="8" t="s">
        <v>19</v>
      </c>
      <c r="B173" s="4" t="s">
        <v>57</v>
      </c>
      <c r="D173" s="8" t="s">
        <v>19</v>
      </c>
      <c r="E173" s="4" t="s">
        <v>57</v>
      </c>
      <c r="G173" s="8" t="s">
        <v>19</v>
      </c>
      <c r="H173" s="4" t="s">
        <v>57</v>
      </c>
      <c r="J173" s="8" t="s">
        <v>19</v>
      </c>
      <c r="K173" s="4" t="s">
        <v>57</v>
      </c>
      <c r="M173" s="8" t="s">
        <v>19</v>
      </c>
      <c r="N173" s="4" t="s">
        <v>57</v>
      </c>
      <c r="P173" s="8" t="s">
        <v>19</v>
      </c>
      <c r="Q173" s="4" t="s">
        <v>57</v>
      </c>
    </row>
    <row r="174" spans="1:20" x14ac:dyDescent="0.25">
      <c r="A174" s="1">
        <v>45216</v>
      </c>
      <c r="B174" s="6">
        <f>SUMIFS(Timesheet!$F$13:$F$11483,Timesheet!$A$13:$A$11483,'Mês 1'!A174)</f>
        <v>0</v>
      </c>
      <c r="D174" s="1">
        <v>45223</v>
      </c>
      <c r="E174" s="6">
        <f>SUMIFS(Timesheet!$F$13:$F$11483,Timesheet!$A$13:$A$11483,'Mês 1'!D174)</f>
        <v>0</v>
      </c>
      <c r="G174" s="1">
        <v>45230</v>
      </c>
      <c r="H174" s="6">
        <f>SUMIFS(Timesheet!$F$13:$F$11483,Timesheet!$A$13:$A$11483,'Mês 1'!G174)</f>
        <v>0</v>
      </c>
      <c r="J174" s="1">
        <v>45237</v>
      </c>
      <c r="K174" s="6">
        <f>SUMIFS(Timesheet!$F$13:$F$11483,Timesheet!$A$13:$A$11483,'Mês 1'!J174)</f>
        <v>0</v>
      </c>
      <c r="M174" s="1">
        <v>45244</v>
      </c>
      <c r="N174" s="6">
        <f>SUMIFS(Timesheet!$F$13:$F$11483,Timesheet!$A$13:$A$11483,'Mês 1'!M174)</f>
        <v>0</v>
      </c>
      <c r="P174" s="1">
        <v>45251</v>
      </c>
      <c r="Q174" s="6">
        <f>SUMIFS(Timesheet!$F$13:$F$11483,Timesheet!$A$13:$A$11483,'Mês 1'!P174)</f>
        <v>0</v>
      </c>
    </row>
    <row r="175" spans="1:20" x14ac:dyDescent="0.25">
      <c r="A175" s="1">
        <v>45217</v>
      </c>
      <c r="B175" s="6">
        <f>SUMIFS(Timesheet!$F$13:$F$11483,Timesheet!$A$13:$A$11483,'Mês 1'!A175)</f>
        <v>0</v>
      </c>
      <c r="D175" s="1">
        <v>45224</v>
      </c>
      <c r="E175" s="6">
        <f>SUMIFS(Timesheet!$F$13:$F$11483,Timesheet!$A$13:$A$11483,'Mês 1'!D175)</f>
        <v>0</v>
      </c>
      <c r="G175" s="1">
        <v>45231</v>
      </c>
      <c r="H175" s="6">
        <f>SUMIFS(Timesheet!$F$13:$F$11483,Timesheet!$A$13:$A$11483,'Mês 1'!G175)</f>
        <v>0</v>
      </c>
      <c r="J175" s="1">
        <v>45238</v>
      </c>
      <c r="K175" s="6">
        <f>SUMIFS(Timesheet!$F$13:$F$11483,Timesheet!$A$13:$A$11483,'Mês 1'!J175)</f>
        <v>0</v>
      </c>
      <c r="M175" s="1">
        <v>45245</v>
      </c>
      <c r="N175" s="6">
        <f>SUMIFS(Timesheet!$F$13:$F$11483,Timesheet!$A$13:$A$11483,'Mês 1'!M175)</f>
        <v>0</v>
      </c>
      <c r="P175" s="1">
        <v>45252</v>
      </c>
      <c r="Q175" s="6">
        <f>SUMIFS(Timesheet!$F$13:$F$11483,Timesheet!$A$13:$A$11483,'Mês 1'!P175)</f>
        <v>0</v>
      </c>
    </row>
    <row r="176" spans="1:20" x14ac:dyDescent="0.25">
      <c r="A176" s="1">
        <v>45218</v>
      </c>
      <c r="B176" s="6">
        <f>SUMIFS(Timesheet!$F$13:$F$11483,Timesheet!$A$13:$A$11483,'Mês 1'!A176)</f>
        <v>0</v>
      </c>
      <c r="D176" s="1">
        <v>45225</v>
      </c>
      <c r="E176" s="6">
        <f>SUMIFS(Timesheet!$F$13:$F$11483,Timesheet!$A$13:$A$11483,'Mês 1'!D176)</f>
        <v>0</v>
      </c>
      <c r="G176" s="1">
        <v>45232</v>
      </c>
      <c r="H176" s="6">
        <f>SUMIFS(Timesheet!$F$13:$F$11483,Timesheet!$A$13:$A$11483,'Mês 1'!G176)</f>
        <v>0</v>
      </c>
      <c r="J176" s="1">
        <v>45239</v>
      </c>
      <c r="K176" s="6">
        <f>SUMIFS(Timesheet!$F$13:$F$11483,Timesheet!$A$13:$A$11483,'Mês 1'!J176)</f>
        <v>0</v>
      </c>
      <c r="M176" s="1">
        <v>45246</v>
      </c>
      <c r="N176" s="6">
        <f>SUMIFS(Timesheet!$F$13:$F$11483,Timesheet!$A$13:$A$11483,'Mês 1'!M176)</f>
        <v>0</v>
      </c>
      <c r="P176" s="1">
        <v>45253</v>
      </c>
      <c r="Q176" s="6">
        <f>SUMIFS(Timesheet!$F$13:$F$11483,Timesheet!$A$13:$A$11483,'Mês 1'!P176)</f>
        <v>0</v>
      </c>
    </row>
    <row r="177" spans="1:17" x14ac:dyDescent="0.25">
      <c r="A177" s="1">
        <v>45219</v>
      </c>
      <c r="B177" s="6">
        <f>SUMIFS(Timesheet!$F$13:$F$11483,Timesheet!$A$13:$A$11483,'Mês 1'!A177)</f>
        <v>0</v>
      </c>
      <c r="D177" s="1">
        <v>45226</v>
      </c>
      <c r="E177" s="6">
        <f>SUMIFS(Timesheet!$F$13:$F$11483,Timesheet!$A$13:$A$11483,'Mês 1'!D177)</f>
        <v>0</v>
      </c>
      <c r="G177" s="1">
        <v>45233</v>
      </c>
      <c r="H177" s="6">
        <f>SUMIFS(Timesheet!$F$13:$F$11483,Timesheet!$A$13:$A$11483,'Mês 1'!G177)</f>
        <v>0</v>
      </c>
      <c r="J177" s="1">
        <v>45240</v>
      </c>
      <c r="K177" s="6">
        <f>SUMIFS(Timesheet!$F$13:$F$11483,Timesheet!$A$13:$A$11483,'Mês 1'!J177)</f>
        <v>0</v>
      </c>
      <c r="M177" s="1">
        <v>45247</v>
      </c>
      <c r="N177" s="6">
        <f>SUMIFS(Timesheet!$F$13:$F$11483,Timesheet!$A$13:$A$11483,'Mês 1'!M177)</f>
        <v>0</v>
      </c>
      <c r="P177" s="1">
        <v>45254</v>
      </c>
      <c r="Q177" s="6">
        <f>SUMIFS(Timesheet!$F$13:$F$11483,Timesheet!$A$13:$A$11483,'Mês 1'!P177)</f>
        <v>0</v>
      </c>
    </row>
    <row r="178" spans="1:17" x14ac:dyDescent="0.25">
      <c r="A178" s="1">
        <v>45220</v>
      </c>
      <c r="B178" s="6">
        <f>SUMIFS(Timesheet!$F$13:$F$11483,Timesheet!$A$13:$A$11483,'Mês 1'!A178)</f>
        <v>0</v>
      </c>
      <c r="D178" s="1">
        <v>45227</v>
      </c>
      <c r="E178" s="6">
        <f>SUMIFS(Timesheet!$F$13:$F$11483,Timesheet!$A$13:$A$11483,'Mês 1'!D178)</f>
        <v>0</v>
      </c>
      <c r="G178" s="1">
        <v>45234</v>
      </c>
      <c r="H178" s="6">
        <f>SUMIFS(Timesheet!$F$13:$F$11483,Timesheet!$A$13:$A$11483,'Mês 1'!G178)</f>
        <v>0</v>
      </c>
      <c r="J178" s="1">
        <v>45241</v>
      </c>
      <c r="K178" s="6">
        <f>SUMIFS(Timesheet!$F$13:$F$11483,Timesheet!$A$13:$A$11483,'Mês 1'!J178)</f>
        <v>0</v>
      </c>
      <c r="M178" s="1">
        <v>45248</v>
      </c>
      <c r="N178" s="6">
        <f>SUMIFS(Timesheet!$F$13:$F$11483,Timesheet!$A$13:$A$11483,'Mês 1'!M178)</f>
        <v>0</v>
      </c>
      <c r="P178" s="1">
        <v>45255</v>
      </c>
      <c r="Q178" s="6">
        <f>SUMIFS(Timesheet!$F$13:$F$11483,Timesheet!$A$13:$A$11483,'Mês 1'!P178)</f>
        <v>0</v>
      </c>
    </row>
    <row r="179" spans="1:17" x14ac:dyDescent="0.25">
      <c r="A179" s="4" t="s">
        <v>12</v>
      </c>
      <c r="B179" s="9">
        <f>SUM(B174:B178)</f>
        <v>0</v>
      </c>
      <c r="D179" s="4" t="s">
        <v>12</v>
      </c>
      <c r="E179" s="9">
        <f>SUM(E174:E178)</f>
        <v>0</v>
      </c>
      <c r="G179" s="4" t="s">
        <v>12</v>
      </c>
      <c r="H179" s="9">
        <f>SUM(H174:H178)</f>
        <v>0</v>
      </c>
      <c r="J179" s="4" t="s">
        <v>12</v>
      </c>
      <c r="K179" s="9">
        <f>SUM(K174:K178)</f>
        <v>0</v>
      </c>
      <c r="M179" s="4" t="s">
        <v>12</v>
      </c>
      <c r="N179" s="9">
        <f>SUM(N174:N178)</f>
        <v>0</v>
      </c>
      <c r="P179" s="4" t="s">
        <v>12</v>
      </c>
      <c r="Q179" s="9">
        <f>SUM(Q174:Q178)</f>
        <v>0</v>
      </c>
    </row>
    <row r="181" spans="1:17" x14ac:dyDescent="0.25">
      <c r="A181" t="s">
        <v>48</v>
      </c>
      <c r="B181" t="s">
        <v>26</v>
      </c>
      <c r="D181" t="s">
        <v>48</v>
      </c>
      <c r="E181" t="s">
        <v>26</v>
      </c>
      <c r="G181" t="s">
        <v>48</v>
      </c>
      <c r="H181" t="s">
        <v>26</v>
      </c>
      <c r="J181" t="s">
        <v>48</v>
      </c>
      <c r="K181" t="s">
        <v>26</v>
      </c>
      <c r="M181" t="s">
        <v>48</v>
      </c>
      <c r="N181" t="s">
        <v>26</v>
      </c>
    </row>
    <row r="182" spans="1:17" x14ac:dyDescent="0.25">
      <c r="A182" s="8" t="s">
        <v>19</v>
      </c>
      <c r="B182" s="4" t="s">
        <v>57</v>
      </c>
      <c r="D182" s="8" t="s">
        <v>19</v>
      </c>
      <c r="E182" s="4" t="s">
        <v>57</v>
      </c>
      <c r="G182" s="8" t="s">
        <v>19</v>
      </c>
      <c r="H182" s="4" t="s">
        <v>57</v>
      </c>
      <c r="J182" s="8" t="s">
        <v>19</v>
      </c>
      <c r="K182" s="4" t="s">
        <v>57</v>
      </c>
      <c r="M182" s="8" t="s">
        <v>19</v>
      </c>
      <c r="N182" s="4" t="s">
        <v>57</v>
      </c>
    </row>
    <row r="183" spans="1:17" x14ac:dyDescent="0.25">
      <c r="A183" s="1">
        <v>45258</v>
      </c>
      <c r="B183" s="6">
        <f>SUMIFS(Timesheet!$F$13:$F$11483,Timesheet!$A$13:$A$11483,'Mês 1'!A183)</f>
        <v>0</v>
      </c>
      <c r="D183" s="1">
        <v>45265</v>
      </c>
      <c r="E183" s="6">
        <f>SUMIFS(Timesheet!$F$13:$F$11483,Timesheet!$A$13:$A$11483,'Mês 1'!D183)</f>
        <v>0</v>
      </c>
      <c r="G183" s="1">
        <v>45272</v>
      </c>
      <c r="H183" s="6">
        <f>SUMIFS(Timesheet!$F$13:$F$11483,Timesheet!$A$13:$A$11483,'Mês 1'!G183)</f>
        <v>0</v>
      </c>
      <c r="J183" s="1">
        <v>45279</v>
      </c>
      <c r="K183" s="6">
        <f>SUMIFS(Timesheet!$F$13:$F$11483,Timesheet!$A$13:$A$11483,'Mês 1'!J183)</f>
        <v>0</v>
      </c>
      <c r="M183" s="1">
        <v>45286</v>
      </c>
      <c r="N183" s="6">
        <f>SUMIFS(Timesheet!$F$13:$F$11483,Timesheet!$A$13:$A$11483,'Mês 1'!M183)</f>
        <v>0</v>
      </c>
    </row>
    <row r="184" spans="1:17" x14ac:dyDescent="0.25">
      <c r="A184" s="1">
        <v>45259</v>
      </c>
      <c r="B184" s="6">
        <f>SUMIFS(Timesheet!$F$13:$F$11483,Timesheet!$A$13:$A$11483,'Mês 1'!A184)</f>
        <v>0</v>
      </c>
      <c r="D184" s="1">
        <v>45266</v>
      </c>
      <c r="E184" s="6">
        <f>SUMIFS(Timesheet!$F$13:$F$11483,Timesheet!$A$13:$A$11483,'Mês 1'!D184)</f>
        <v>0</v>
      </c>
      <c r="G184" s="1">
        <v>45273</v>
      </c>
      <c r="H184" s="6">
        <f>SUMIFS(Timesheet!$F$13:$F$11483,Timesheet!$A$13:$A$11483,'Mês 1'!G184)</f>
        <v>0</v>
      </c>
      <c r="J184" s="1">
        <v>45280</v>
      </c>
      <c r="K184" s="6">
        <f>SUMIFS(Timesheet!$F$13:$F$11483,Timesheet!$A$13:$A$11483,'Mês 1'!J184)</f>
        <v>0</v>
      </c>
      <c r="M184" s="1">
        <v>45287</v>
      </c>
      <c r="N184" s="6">
        <f>SUMIFS(Timesheet!$F$13:$F$11483,Timesheet!$A$13:$A$11483,'Mês 1'!M184)</f>
        <v>0</v>
      </c>
    </row>
    <row r="185" spans="1:17" x14ac:dyDescent="0.25">
      <c r="A185" s="1">
        <v>45260</v>
      </c>
      <c r="B185" s="6">
        <f>SUMIFS(Timesheet!$F$13:$F$11483,Timesheet!$A$13:$A$11483,'Mês 1'!A185)</f>
        <v>0</v>
      </c>
      <c r="D185" s="1">
        <v>45267</v>
      </c>
      <c r="E185" s="6">
        <f>SUMIFS(Timesheet!$F$13:$F$11483,Timesheet!$A$13:$A$11483,'Mês 1'!D185)</f>
        <v>0</v>
      </c>
      <c r="G185" s="1">
        <v>45274</v>
      </c>
      <c r="H185" s="6">
        <f>SUMIFS(Timesheet!$F$13:$F$11483,Timesheet!$A$13:$A$11483,'Mês 1'!G185)</f>
        <v>0</v>
      </c>
      <c r="J185" s="1">
        <v>45281</v>
      </c>
      <c r="K185" s="6">
        <f>SUMIFS(Timesheet!$F$13:$F$11483,Timesheet!$A$13:$A$11483,'Mês 1'!J185)</f>
        <v>0</v>
      </c>
      <c r="M185" s="1">
        <v>45288</v>
      </c>
      <c r="N185" s="6">
        <f>SUMIFS(Timesheet!$F$13:$F$11483,Timesheet!$A$13:$A$11483,'Mês 1'!M185)</f>
        <v>0</v>
      </c>
    </row>
    <row r="186" spans="1:17" x14ac:dyDescent="0.25">
      <c r="A186" s="1">
        <v>45261</v>
      </c>
      <c r="B186" s="6">
        <f>SUMIFS(Timesheet!$F$13:$F$11483,Timesheet!$A$13:$A$11483,'Mês 1'!A186)</f>
        <v>0</v>
      </c>
      <c r="D186" s="1">
        <v>45268</v>
      </c>
      <c r="E186" s="6">
        <f>SUMIFS(Timesheet!$F$13:$F$11483,Timesheet!$A$13:$A$11483,'Mês 1'!D186)</f>
        <v>0</v>
      </c>
      <c r="G186" s="1">
        <v>45275</v>
      </c>
      <c r="H186" s="6">
        <f>SUMIFS(Timesheet!$F$13:$F$11483,Timesheet!$A$13:$A$11483,'Mês 1'!G186)</f>
        <v>0</v>
      </c>
      <c r="J186" s="1">
        <v>45282</v>
      </c>
      <c r="K186" s="6">
        <f>SUMIFS(Timesheet!$F$13:$F$11483,Timesheet!$A$13:$A$11483,'Mês 1'!J186)</f>
        <v>0</v>
      </c>
      <c r="M186" s="1">
        <v>45289</v>
      </c>
      <c r="N186" s="6">
        <f>SUMIFS(Timesheet!$F$13:$F$11483,Timesheet!$A$13:$A$11483,'Mês 1'!M186)</f>
        <v>0</v>
      </c>
    </row>
    <row r="187" spans="1:17" x14ac:dyDescent="0.25">
      <c r="A187" s="1">
        <v>45262</v>
      </c>
      <c r="B187" s="6">
        <f>SUMIFS(Timesheet!$F$13:$F$11483,Timesheet!$A$13:$A$11483,'Mês 1'!A187)</f>
        <v>0</v>
      </c>
      <c r="D187" s="1">
        <v>45269</v>
      </c>
      <c r="E187" s="6">
        <f>SUMIFS(Timesheet!$F$13:$F$11483,Timesheet!$A$13:$A$11483,'Mês 1'!D187)</f>
        <v>0</v>
      </c>
      <c r="G187" s="1">
        <v>45276</v>
      </c>
      <c r="H187" s="6">
        <f>SUMIFS(Timesheet!$F$13:$F$11483,Timesheet!$A$13:$A$11483,'Mês 1'!G187)</f>
        <v>0</v>
      </c>
      <c r="J187" s="1">
        <v>45283</v>
      </c>
      <c r="K187" s="6">
        <f>SUMIFS(Timesheet!$F$13:$F$11483,Timesheet!$A$13:$A$11483,'Mês 1'!J187)</f>
        <v>0</v>
      </c>
      <c r="M187" s="1">
        <v>45290</v>
      </c>
      <c r="N187" s="6">
        <f>SUMIFS(Timesheet!$F$13:$F$11483,Timesheet!$A$13:$A$11483,'Mês 1'!M187)</f>
        <v>0</v>
      </c>
    </row>
    <row r="188" spans="1:17" x14ac:dyDescent="0.25">
      <c r="A188" s="4" t="s">
        <v>12</v>
      </c>
      <c r="B188" s="9">
        <f>SUM(B183:B187)</f>
        <v>0</v>
      </c>
      <c r="D188" s="4" t="s">
        <v>12</v>
      </c>
      <c r="E188" s="9">
        <f>SUM(E183:E187)</f>
        <v>0</v>
      </c>
      <c r="G188" s="4" t="s">
        <v>12</v>
      </c>
      <c r="H188" s="9">
        <f>SUM(H183:H187)</f>
        <v>0</v>
      </c>
      <c r="J188" s="4" t="s">
        <v>12</v>
      </c>
      <c r="K188" s="9">
        <f>SUM(K183:K187)</f>
        <v>0</v>
      </c>
      <c r="M188" s="4" t="s">
        <v>12</v>
      </c>
      <c r="N188" s="9">
        <f>SUM(N183:N187)</f>
        <v>0</v>
      </c>
    </row>
  </sheetData>
  <phoneticPr fontId="5" type="noConversion"/>
  <pageMargins left="0.7" right="0.7" top="0.75" bottom="0.75" header="0.3" footer="0.3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370"/>
  <sheetViews>
    <sheetView topLeftCell="A82" workbookViewId="0">
      <selection activeCell="E82" sqref="A1:XFD1048576"/>
    </sheetView>
  </sheetViews>
  <sheetFormatPr defaultRowHeight="15" x14ac:dyDescent="0.25"/>
  <cols>
    <col min="1" max="1" width="10.7109375" bestFit="1" customWidth="1"/>
    <col min="5" max="5" width="10.7109375" bestFit="1" customWidth="1"/>
    <col min="7" max="7" width="10.5703125" bestFit="1" customWidth="1"/>
    <col min="19" max="19" width="10.7109375" bestFit="1" customWidth="1"/>
  </cols>
  <sheetData>
    <row r="2" spans="1:19" x14ac:dyDescent="0.25">
      <c r="A2" s="4" t="s">
        <v>19</v>
      </c>
      <c r="B2" s="4" t="s">
        <v>14</v>
      </c>
      <c r="C2" s="4" t="s">
        <v>15</v>
      </c>
      <c r="E2" s="4" t="s">
        <v>19</v>
      </c>
      <c r="F2" s="4" t="s">
        <v>6</v>
      </c>
      <c r="G2" s="4" t="s">
        <v>8</v>
      </c>
      <c r="H2" s="4" t="s">
        <v>10</v>
      </c>
      <c r="I2" s="4" t="s">
        <v>11</v>
      </c>
      <c r="J2" s="4" t="s">
        <v>9</v>
      </c>
      <c r="K2" s="4" t="s">
        <v>7</v>
      </c>
      <c r="L2" s="4" t="s">
        <v>76</v>
      </c>
      <c r="M2" s="4" t="s">
        <v>77</v>
      </c>
      <c r="N2" s="4" t="s">
        <v>78</v>
      </c>
      <c r="O2" s="4" t="s">
        <v>12</v>
      </c>
    </row>
    <row r="3" spans="1:19" x14ac:dyDescent="0.25">
      <c r="A3" s="1">
        <v>44927</v>
      </c>
      <c r="B3" s="3">
        <f t="array" ref="B3">MIN(IF(A3=Timesheet!$A$13:$A$2615,Timesheet!$D$13:$D$2615))</f>
        <v>0</v>
      </c>
      <c r="C3" s="3">
        <f t="array" ref="C3">MAX(IF(A3=Timesheet!$A$13:$A$2615,Timesheet!$E$13:$E$2615))</f>
        <v>0</v>
      </c>
      <c r="E3" s="1">
        <v>44927</v>
      </c>
      <c r="F3" s="2">
        <f>SUMIFS(Timesheet!$F$13:$F$11483,Timesheet!$A$13:$A$11483,'Início|Fim 1'!E3,Timesheet!$C$13:$C$11483,'Início|Fim 1'!$F$2)</f>
        <v>0</v>
      </c>
      <c r="G3" s="2">
        <f>SUMIFS(Timesheet!$F$13:$F$11483,Timesheet!$A$13:$A$11483,'Início|Fim 1'!E3,Timesheet!$C$13:$C$11483,'Início|Fim 1'!$G$2)</f>
        <v>0</v>
      </c>
      <c r="H3" s="2">
        <f>SUMIFS(Timesheet!$F$13:$F$11483,Timesheet!$A$13:$A$11483,'Início|Fim 1'!E3,Timesheet!$C$13:$C$11483,'Início|Fim 1'!$H$2)</f>
        <v>0</v>
      </c>
      <c r="I3" s="2">
        <f>SUMIFS(Timesheet!$F$13:$F$11483,Timesheet!$A$13:$A$11483,'Início|Fim 1'!E3,Timesheet!$C$13:$C$11483,'Início|Fim 1'!$I$2)</f>
        <v>0</v>
      </c>
      <c r="J3" s="2">
        <f>SUMIFS(Timesheet!$F$13:$F$11483,Timesheet!$A$13:$A$11483,'Início|Fim 1'!E3,Timesheet!$C$13:$C$11483,'Início|Fim 1'!$J$2)</f>
        <v>0</v>
      </c>
      <c r="K3" s="2">
        <f>SUMIFS(Timesheet!$F$13:$F$11483,Timesheet!$A$13:$A$11483,'Início|Fim 1'!E3,Timesheet!$C$13:$C$11483,'Início|Fim 1'!$K$2)</f>
        <v>0</v>
      </c>
      <c r="L3" s="2">
        <f>SUMIFS(Timesheet!$F$13:$F$11483,Timesheet!$A$13:$A$11483,'Início|Fim 1'!E3,Timesheet!$C$13:$C$11483,'Início|Fim 1'!$L$2)</f>
        <v>0</v>
      </c>
      <c r="M3" s="2">
        <f>SUMIFS(Timesheet!$F$13:$F$11483,Timesheet!$A$13:$A$11483,'Início|Fim 1'!E3,Timesheet!$C$13:$C$11483,'Início|Fim 1'!$M$2)</f>
        <v>0</v>
      </c>
      <c r="N3" s="2">
        <f>SUMIFS(Timesheet!$F$13:$F$11483,Timesheet!$A$13:$A$11483,'Início|Fim 1'!E3,Timesheet!$C$13:$C$11483,'Início|Fim 1'!$N$2)</f>
        <v>0</v>
      </c>
      <c r="O3" s="2">
        <f t="shared" ref="O3:O66" si="0">SUM(F3:K3)</f>
        <v>0</v>
      </c>
    </row>
    <row r="4" spans="1:19" x14ac:dyDescent="0.25">
      <c r="A4" s="1">
        <v>44928</v>
      </c>
      <c r="B4" s="3">
        <f t="array" ref="B4">MIN(IF(A4=Timesheet!$A$13:$A$2615,Timesheet!$D$13:$D$2615))</f>
        <v>0</v>
      </c>
      <c r="C4" s="3">
        <f t="array" ref="C4">MAX(IF(A4=Timesheet!$A$13:$A$2615,Timesheet!$E$13:$E$2615))</f>
        <v>0</v>
      </c>
      <c r="E4" s="1">
        <v>44928</v>
      </c>
      <c r="F4" s="2">
        <f>SUMIFS(Timesheet!$F$13:$F$11483,Timesheet!$A$13:$A$11483,'Início|Fim 1'!E4,Timesheet!$C$13:$C$11483,'Início|Fim 1'!$F$2)</f>
        <v>0</v>
      </c>
      <c r="G4" s="2">
        <f>SUMIFS(Timesheet!$F$13:$F$11483,Timesheet!$A$13:$A$11483,'Início|Fim 1'!E4,Timesheet!$C$13:$C$11483,'Início|Fim 1'!$G$2)</f>
        <v>0</v>
      </c>
      <c r="H4" s="2">
        <f>SUMIFS(Timesheet!$F$13:$F$11483,Timesheet!$A$13:$A$11483,'Início|Fim 1'!E4,Timesheet!$C$13:$C$11483,'Início|Fim 1'!$H$2)</f>
        <v>0</v>
      </c>
      <c r="I4" s="2">
        <f>SUMIFS(Timesheet!$F$13:$F$11483,Timesheet!$A$13:$A$11483,'Início|Fim 1'!E4,Timesheet!$C$13:$C$11483,'Início|Fim 1'!$I$2)</f>
        <v>0</v>
      </c>
      <c r="J4" s="2">
        <f>SUMIFS(Timesheet!$F$13:$F$11483,Timesheet!$A$13:$A$11483,'Início|Fim 1'!E4,Timesheet!$C$13:$C$11483,'Início|Fim 1'!$J$2)</f>
        <v>0</v>
      </c>
      <c r="K4" s="2">
        <f>SUMIFS(Timesheet!$F$13:$F$11483,Timesheet!$A$13:$A$11483,'Início|Fim 1'!E4,Timesheet!$C$13:$C$11483,'Início|Fim 1'!$K$2)</f>
        <v>0</v>
      </c>
      <c r="L4" s="2">
        <f>SUMIFS(Timesheet!$F$13:$F$11483,Timesheet!$A$13:$A$11483,'Início|Fim 1'!E4,Timesheet!$C$13:$C$11483,'Início|Fim 1'!$L$2)</f>
        <v>0</v>
      </c>
      <c r="M4" s="2">
        <f>SUMIFS(Timesheet!$F$13:$F$11483,Timesheet!$A$13:$A$11483,'Início|Fim 1'!E4,Timesheet!$C$13:$C$11483,'Início|Fim 1'!$M$2)</f>
        <v>0</v>
      </c>
      <c r="N4" s="2">
        <f>SUMIFS(Timesheet!$F$13:$F$11483,Timesheet!$A$13:$A$11483,'Início|Fim 1'!E4,Timesheet!$C$13:$C$11483,'Início|Fim 1'!$N$2)</f>
        <v>0</v>
      </c>
      <c r="O4" s="2">
        <f t="shared" si="0"/>
        <v>0</v>
      </c>
    </row>
    <row r="5" spans="1:19" x14ac:dyDescent="0.25">
      <c r="A5" s="1">
        <v>44929</v>
      </c>
      <c r="B5" s="3">
        <f t="array" ref="B5">MIN(IF(A5=Timesheet!$A$13:$A$2615,Timesheet!$D$13:$D$2615))</f>
        <v>0</v>
      </c>
      <c r="C5" s="3">
        <f t="array" ref="C5">MAX(IF(A5=Timesheet!$A$13:$A$2615,Timesheet!$E$13:$E$2615))</f>
        <v>0</v>
      </c>
      <c r="E5" s="1">
        <v>44929</v>
      </c>
      <c r="F5" s="2">
        <f>SUMIFS(Timesheet!$F$13:$F$11483,Timesheet!$A$13:$A$11483,'Início|Fim 1'!E5,Timesheet!$C$13:$C$11483,'Início|Fim 1'!$F$2)</f>
        <v>0</v>
      </c>
      <c r="G5" s="2">
        <f>SUMIFS(Timesheet!$F$13:$F$11483,Timesheet!$A$13:$A$11483,'Início|Fim 1'!E5,Timesheet!$C$13:$C$11483,'Início|Fim 1'!$G$2)</f>
        <v>0</v>
      </c>
      <c r="H5" s="2">
        <f>SUMIFS(Timesheet!$F$13:$F$11483,Timesheet!$A$13:$A$11483,'Início|Fim 1'!E5,Timesheet!$C$13:$C$11483,'Início|Fim 1'!$H$2)</f>
        <v>0</v>
      </c>
      <c r="I5" s="2">
        <f>SUMIFS(Timesheet!$F$13:$F$11483,Timesheet!$A$13:$A$11483,'Início|Fim 1'!E5,Timesheet!$C$13:$C$11483,'Início|Fim 1'!$I$2)</f>
        <v>0</v>
      </c>
      <c r="J5" s="2">
        <f>SUMIFS(Timesheet!$F$13:$F$11483,Timesheet!$A$13:$A$11483,'Início|Fim 1'!E5,Timesheet!$C$13:$C$11483,'Início|Fim 1'!$J$2)</f>
        <v>0</v>
      </c>
      <c r="K5" s="2">
        <f>SUMIFS(Timesheet!$F$13:$F$11483,Timesheet!$A$13:$A$11483,'Início|Fim 1'!E5,Timesheet!$C$13:$C$11483,'Início|Fim 1'!$K$2)</f>
        <v>0</v>
      </c>
      <c r="L5" s="2">
        <f>SUMIFS(Timesheet!$F$13:$F$11483,Timesheet!$A$13:$A$11483,'Início|Fim 1'!E5,Timesheet!$C$13:$C$11483,'Início|Fim 1'!$L$2)</f>
        <v>0</v>
      </c>
      <c r="M5" s="2">
        <f>SUMIFS(Timesheet!$F$13:$F$11483,Timesheet!$A$13:$A$11483,'Início|Fim 1'!E5,Timesheet!$C$13:$C$11483,'Início|Fim 1'!$M$2)</f>
        <v>0</v>
      </c>
      <c r="N5" s="2">
        <f>SUMIFS(Timesheet!$F$13:$F$11483,Timesheet!$A$13:$A$11483,'Início|Fim 1'!E5,Timesheet!$C$13:$C$11483,'Início|Fim 1'!$N$2)</f>
        <v>0</v>
      </c>
      <c r="O5" s="2">
        <f t="shared" si="0"/>
        <v>0</v>
      </c>
    </row>
    <row r="6" spans="1:19" x14ac:dyDescent="0.25">
      <c r="A6" s="1">
        <v>44930</v>
      </c>
      <c r="B6" s="3">
        <f t="array" ref="B6">MIN(IF(A6=Timesheet!$A$13:$A$2615,Timesheet!$D$13:$D$2615))</f>
        <v>0</v>
      </c>
      <c r="C6" s="3">
        <f t="array" ref="C6">MAX(IF(A6=Timesheet!$A$13:$A$2615,Timesheet!$E$13:$E$2615))</f>
        <v>0</v>
      </c>
      <c r="E6" s="1">
        <v>44930</v>
      </c>
      <c r="F6" s="2">
        <f>SUMIFS(Timesheet!$F$13:$F$11483,Timesheet!$A$13:$A$11483,'Início|Fim 1'!E6,Timesheet!$C$13:$C$11483,'Início|Fim 1'!$F$2)</f>
        <v>0</v>
      </c>
      <c r="G6" s="2">
        <f>SUMIFS(Timesheet!$F$13:$F$11483,Timesheet!$A$13:$A$11483,'Início|Fim 1'!E6,Timesheet!$C$13:$C$11483,'Início|Fim 1'!$G$2)</f>
        <v>0</v>
      </c>
      <c r="H6" s="2">
        <f>SUMIFS(Timesheet!$F$13:$F$11483,Timesheet!$A$13:$A$11483,'Início|Fim 1'!E6,Timesheet!$C$13:$C$11483,'Início|Fim 1'!$H$2)</f>
        <v>0</v>
      </c>
      <c r="I6" s="2">
        <f>SUMIFS(Timesheet!$F$13:$F$11483,Timesheet!$A$13:$A$11483,'Início|Fim 1'!E6,Timesheet!$C$13:$C$11483,'Início|Fim 1'!$I$2)</f>
        <v>0</v>
      </c>
      <c r="J6" s="2">
        <f>SUMIFS(Timesheet!$F$13:$F$11483,Timesheet!$A$13:$A$11483,'Início|Fim 1'!E6,Timesheet!$C$13:$C$11483,'Início|Fim 1'!$J$2)</f>
        <v>0</v>
      </c>
      <c r="K6" s="2">
        <f>SUMIFS(Timesheet!$F$13:$F$11483,Timesheet!$A$13:$A$11483,'Início|Fim 1'!E6,Timesheet!$C$13:$C$11483,'Início|Fim 1'!$K$2)</f>
        <v>0</v>
      </c>
      <c r="L6" s="2">
        <f>SUMIFS(Timesheet!$F$13:$F$11483,Timesheet!$A$13:$A$11483,'Início|Fim 1'!E6,Timesheet!$C$13:$C$11483,'Início|Fim 1'!$L$2)</f>
        <v>0</v>
      </c>
      <c r="M6" s="2">
        <f>SUMIFS(Timesheet!$F$13:$F$11483,Timesheet!$A$13:$A$11483,'Início|Fim 1'!E6,Timesheet!$C$13:$C$11483,'Início|Fim 1'!$M$2)</f>
        <v>0</v>
      </c>
      <c r="N6" s="2">
        <f>SUMIFS(Timesheet!$F$13:$F$11483,Timesheet!$A$13:$A$11483,'Início|Fim 1'!E6,Timesheet!$C$13:$C$11483,'Início|Fim 1'!$N$2)</f>
        <v>0</v>
      </c>
      <c r="O6" s="2">
        <f t="shared" si="0"/>
        <v>0</v>
      </c>
    </row>
    <row r="7" spans="1:19" x14ac:dyDescent="0.25">
      <c r="A7" s="1">
        <v>44931</v>
      </c>
      <c r="B7" s="3">
        <f t="array" ref="B7">MIN(IF(A7=Timesheet!$A$13:$A$2615,Timesheet!$D$13:$D$2615))</f>
        <v>0</v>
      </c>
      <c r="C7" s="3">
        <f t="array" ref="C7">MAX(IF(A7=Timesheet!$A$13:$A$2615,Timesheet!$E$13:$E$2615))</f>
        <v>0</v>
      </c>
      <c r="E7" s="1">
        <v>44931</v>
      </c>
      <c r="F7" s="2">
        <f>SUMIFS(Timesheet!$F$13:$F$11483,Timesheet!$A$13:$A$11483,'Início|Fim 1'!E7,Timesheet!$C$13:$C$11483,'Início|Fim 1'!$F$2)</f>
        <v>0</v>
      </c>
      <c r="G7" s="2">
        <f>SUMIFS(Timesheet!$F$13:$F$11483,Timesheet!$A$13:$A$11483,'Início|Fim 1'!E7,Timesheet!$C$13:$C$11483,'Início|Fim 1'!$G$2)</f>
        <v>0</v>
      </c>
      <c r="H7" s="2">
        <f>SUMIFS(Timesheet!$F$13:$F$11483,Timesheet!$A$13:$A$11483,'Início|Fim 1'!E7,Timesheet!$C$13:$C$11483,'Início|Fim 1'!$H$2)</f>
        <v>0</v>
      </c>
      <c r="I7" s="2">
        <f>SUMIFS(Timesheet!$F$13:$F$11483,Timesheet!$A$13:$A$11483,'Início|Fim 1'!E7,Timesheet!$C$13:$C$11483,'Início|Fim 1'!$I$2)</f>
        <v>0</v>
      </c>
      <c r="J7" s="2">
        <f>SUMIFS(Timesheet!$F$13:$F$11483,Timesheet!$A$13:$A$11483,'Início|Fim 1'!E7,Timesheet!$C$13:$C$11483,'Início|Fim 1'!$J$2)</f>
        <v>0</v>
      </c>
      <c r="K7" s="2">
        <f>SUMIFS(Timesheet!$F$13:$F$11483,Timesheet!$A$13:$A$11483,'Início|Fim 1'!E7,Timesheet!$C$13:$C$11483,'Início|Fim 1'!$K$2)</f>
        <v>0</v>
      </c>
      <c r="L7" s="2">
        <f>SUMIFS(Timesheet!$F$13:$F$11483,Timesheet!$A$13:$A$11483,'Início|Fim 1'!E7,Timesheet!$C$13:$C$11483,'Início|Fim 1'!$L$2)</f>
        <v>0</v>
      </c>
      <c r="M7" s="2">
        <f>SUMIFS(Timesheet!$F$13:$F$11483,Timesheet!$A$13:$A$11483,'Início|Fim 1'!E7,Timesheet!$C$13:$C$11483,'Início|Fim 1'!$M$2)</f>
        <v>0</v>
      </c>
      <c r="N7" s="2">
        <f>SUMIFS(Timesheet!$F$13:$F$11483,Timesheet!$A$13:$A$11483,'Início|Fim 1'!E7,Timesheet!$C$13:$C$11483,'Início|Fim 1'!$N$2)</f>
        <v>0</v>
      </c>
      <c r="O7" s="2">
        <f t="shared" si="0"/>
        <v>0</v>
      </c>
    </row>
    <row r="8" spans="1:19" x14ac:dyDescent="0.25">
      <c r="A8" s="1">
        <v>44932</v>
      </c>
      <c r="B8" s="3">
        <f t="array" ref="B8">MIN(IF(A8=Timesheet!$A$13:$A$2615,Timesheet!$D$13:$D$2615))</f>
        <v>0</v>
      </c>
      <c r="C8" s="3">
        <f t="array" ref="C8">MAX(IF(A8=Timesheet!$A$13:$A$2615,Timesheet!$E$13:$E$2615))</f>
        <v>0</v>
      </c>
      <c r="E8" s="1">
        <v>44932</v>
      </c>
      <c r="F8" s="2">
        <f>SUMIFS(Timesheet!$F$13:$F$11483,Timesheet!$A$13:$A$11483,'Início|Fim 1'!E8,Timesheet!$C$13:$C$11483,'Início|Fim 1'!$F$2)</f>
        <v>0</v>
      </c>
      <c r="G8" s="2">
        <f>SUMIFS(Timesheet!$F$13:$F$11483,Timesheet!$A$13:$A$11483,'Início|Fim 1'!E8,Timesheet!$C$13:$C$11483,'Início|Fim 1'!$G$2)</f>
        <v>0</v>
      </c>
      <c r="H8" s="2">
        <f>SUMIFS(Timesheet!$F$13:$F$11483,Timesheet!$A$13:$A$11483,'Início|Fim 1'!E8,Timesheet!$C$13:$C$11483,'Início|Fim 1'!$H$2)</f>
        <v>0</v>
      </c>
      <c r="I8" s="2">
        <f>SUMIFS(Timesheet!$F$13:$F$11483,Timesheet!$A$13:$A$11483,'Início|Fim 1'!E8,Timesheet!$C$13:$C$11483,'Início|Fim 1'!$I$2)</f>
        <v>0</v>
      </c>
      <c r="J8" s="2">
        <f>SUMIFS(Timesheet!$F$13:$F$11483,Timesheet!$A$13:$A$11483,'Início|Fim 1'!E8,Timesheet!$C$13:$C$11483,'Início|Fim 1'!$J$2)</f>
        <v>0</v>
      </c>
      <c r="K8" s="2">
        <f>SUMIFS(Timesheet!$F$13:$F$11483,Timesheet!$A$13:$A$11483,'Início|Fim 1'!E8,Timesheet!$C$13:$C$11483,'Início|Fim 1'!$K$2)</f>
        <v>0</v>
      </c>
      <c r="L8" s="2">
        <f>SUMIFS(Timesheet!$F$13:$F$11483,Timesheet!$A$13:$A$11483,'Início|Fim 1'!E8,Timesheet!$C$13:$C$11483,'Início|Fim 1'!$L$2)</f>
        <v>0</v>
      </c>
      <c r="M8" s="2">
        <f>SUMIFS(Timesheet!$F$13:$F$11483,Timesheet!$A$13:$A$11483,'Início|Fim 1'!E8,Timesheet!$C$13:$C$11483,'Início|Fim 1'!$M$2)</f>
        <v>0</v>
      </c>
      <c r="N8" s="2">
        <f>SUMIFS(Timesheet!$F$13:$F$11483,Timesheet!$A$13:$A$11483,'Início|Fim 1'!E8,Timesheet!$C$13:$C$11483,'Início|Fim 1'!$N$2)</f>
        <v>0</v>
      </c>
      <c r="O8" s="2">
        <f t="shared" si="0"/>
        <v>0</v>
      </c>
    </row>
    <row r="9" spans="1:19" x14ac:dyDescent="0.25">
      <c r="A9" s="1">
        <v>44933</v>
      </c>
      <c r="B9" s="3">
        <f t="array" ref="B9">MIN(IF(A9=Timesheet!$A$13:$A$2615,Timesheet!$D$13:$D$2615))</f>
        <v>0</v>
      </c>
      <c r="C9" s="3">
        <f t="array" ref="C9">MAX(IF(A9=Timesheet!$A$13:$A$2615,Timesheet!$E$13:$E$2615))</f>
        <v>0</v>
      </c>
      <c r="E9" s="1">
        <v>44933</v>
      </c>
      <c r="F9" s="2">
        <f>SUMIFS(Timesheet!$F$13:$F$11483,Timesheet!$A$13:$A$11483,'Início|Fim 1'!E9,Timesheet!$C$13:$C$11483,'Início|Fim 1'!$F$2)</f>
        <v>0</v>
      </c>
      <c r="G9" s="2">
        <f>SUMIFS(Timesheet!$F$13:$F$11483,Timesheet!$A$13:$A$11483,'Início|Fim 1'!E9,Timesheet!$C$13:$C$11483,'Início|Fim 1'!$G$2)</f>
        <v>0</v>
      </c>
      <c r="H9" s="2">
        <f>SUMIFS(Timesheet!$F$13:$F$11483,Timesheet!$A$13:$A$11483,'Início|Fim 1'!E9,Timesheet!$C$13:$C$11483,'Início|Fim 1'!$H$2)</f>
        <v>0</v>
      </c>
      <c r="I9" s="2">
        <f>SUMIFS(Timesheet!$F$13:$F$11483,Timesheet!$A$13:$A$11483,'Início|Fim 1'!E9,Timesheet!$C$13:$C$11483,'Início|Fim 1'!$I$2)</f>
        <v>0</v>
      </c>
      <c r="J9" s="2">
        <f>SUMIFS(Timesheet!$F$13:$F$11483,Timesheet!$A$13:$A$11483,'Início|Fim 1'!E9,Timesheet!$C$13:$C$11483,'Início|Fim 1'!$J$2)</f>
        <v>0</v>
      </c>
      <c r="K9" s="2">
        <f>SUMIFS(Timesheet!$F$13:$F$11483,Timesheet!$A$13:$A$11483,'Início|Fim 1'!E9,Timesheet!$C$13:$C$11483,'Início|Fim 1'!$K$2)</f>
        <v>0</v>
      </c>
      <c r="L9" s="2">
        <f>SUMIFS(Timesheet!$F$13:$F$11483,Timesheet!$A$13:$A$11483,'Início|Fim 1'!E9,Timesheet!$C$13:$C$11483,'Início|Fim 1'!$L$2)</f>
        <v>0</v>
      </c>
      <c r="M9" s="2">
        <f>SUMIFS(Timesheet!$F$13:$F$11483,Timesheet!$A$13:$A$11483,'Início|Fim 1'!E9,Timesheet!$C$13:$C$11483,'Início|Fim 1'!$M$2)</f>
        <v>0</v>
      </c>
      <c r="N9" s="2">
        <f>SUMIFS(Timesheet!$F$13:$F$11483,Timesheet!$A$13:$A$11483,'Início|Fim 1'!E9,Timesheet!$C$13:$C$11483,'Início|Fim 1'!$N$2)</f>
        <v>0</v>
      </c>
      <c r="O9" s="2">
        <f t="shared" si="0"/>
        <v>0</v>
      </c>
    </row>
    <row r="10" spans="1:19" x14ac:dyDescent="0.25">
      <c r="A10" s="1">
        <v>44934</v>
      </c>
      <c r="B10" s="3">
        <f t="array" ref="B10">MIN(IF(A10=Timesheet!$A$13:$A$2615,Timesheet!$D$13:$D$2615))</f>
        <v>0</v>
      </c>
      <c r="C10" s="3">
        <f t="array" ref="C10">MAX(IF(A10=Timesheet!$A$13:$A$2615,Timesheet!$E$13:$E$2615))</f>
        <v>0</v>
      </c>
      <c r="E10" s="1">
        <v>44934</v>
      </c>
      <c r="F10" s="2">
        <f>SUMIFS(Timesheet!$F$13:$F$11483,Timesheet!$A$13:$A$11483,'Início|Fim 1'!E10,Timesheet!$C$13:$C$11483,'Início|Fim 1'!$F$2)</f>
        <v>0</v>
      </c>
      <c r="G10" s="2">
        <f>SUMIFS(Timesheet!$F$13:$F$11483,Timesheet!$A$13:$A$11483,'Início|Fim 1'!E10,Timesheet!$C$13:$C$11483,'Início|Fim 1'!$G$2)</f>
        <v>0</v>
      </c>
      <c r="H10" s="2">
        <f>SUMIFS(Timesheet!$F$13:$F$11483,Timesheet!$A$13:$A$11483,'Início|Fim 1'!E10,Timesheet!$C$13:$C$11483,'Início|Fim 1'!$H$2)</f>
        <v>0</v>
      </c>
      <c r="I10" s="2">
        <f>SUMIFS(Timesheet!$F$13:$F$11483,Timesheet!$A$13:$A$11483,'Início|Fim 1'!E10,Timesheet!$C$13:$C$11483,'Início|Fim 1'!$I$2)</f>
        <v>0</v>
      </c>
      <c r="J10" s="2">
        <f>SUMIFS(Timesheet!$F$13:$F$11483,Timesheet!$A$13:$A$11483,'Início|Fim 1'!E10,Timesheet!$C$13:$C$11483,'Início|Fim 1'!$J$2)</f>
        <v>0</v>
      </c>
      <c r="K10" s="2">
        <f>SUMIFS(Timesheet!$F$13:$F$11483,Timesheet!$A$13:$A$11483,'Início|Fim 1'!E10,Timesheet!$C$13:$C$11483,'Início|Fim 1'!$K$2)</f>
        <v>0</v>
      </c>
      <c r="L10" s="2">
        <f>SUMIFS(Timesheet!$F$13:$F$11483,Timesheet!$A$13:$A$11483,'Início|Fim 1'!E10,Timesheet!$C$13:$C$11483,'Início|Fim 1'!$L$2)</f>
        <v>0</v>
      </c>
      <c r="M10" s="2">
        <f>SUMIFS(Timesheet!$F$13:$F$11483,Timesheet!$A$13:$A$11483,'Início|Fim 1'!E10,Timesheet!$C$13:$C$11483,'Início|Fim 1'!$M$2)</f>
        <v>0</v>
      </c>
      <c r="N10" s="2">
        <f>SUMIFS(Timesheet!$F$13:$F$11483,Timesheet!$A$13:$A$11483,'Início|Fim 1'!E10,Timesheet!$C$13:$C$11483,'Início|Fim 1'!$N$2)</f>
        <v>0</v>
      </c>
      <c r="O10" s="2">
        <f t="shared" si="0"/>
        <v>0</v>
      </c>
    </row>
    <row r="11" spans="1:19" x14ac:dyDescent="0.25">
      <c r="A11" s="1">
        <v>44935</v>
      </c>
      <c r="B11" s="3">
        <f t="array" ref="B11">MIN(IF(A11=Timesheet!$A$13:$A$2615,Timesheet!$D$13:$D$2615))</f>
        <v>0</v>
      </c>
      <c r="C11" s="3">
        <f t="array" ref="C11">MAX(IF(A11=Timesheet!$A$13:$A$2615,Timesheet!$E$13:$E$2615))</f>
        <v>0</v>
      </c>
      <c r="E11" s="1">
        <v>44935</v>
      </c>
      <c r="F11" s="2">
        <f>SUMIFS(Timesheet!$F$13:$F$11483,Timesheet!$A$13:$A$11483,'Início|Fim 1'!E11,Timesheet!$C$13:$C$11483,'Início|Fim 1'!$F$2)</f>
        <v>0</v>
      </c>
      <c r="G11" s="2">
        <f>SUMIFS(Timesheet!$F$13:$F$11483,Timesheet!$A$13:$A$11483,'Início|Fim 1'!E11,Timesheet!$C$13:$C$11483,'Início|Fim 1'!$G$2)</f>
        <v>0</v>
      </c>
      <c r="H11" s="2">
        <f>SUMIFS(Timesheet!$F$13:$F$11483,Timesheet!$A$13:$A$11483,'Início|Fim 1'!E11,Timesheet!$C$13:$C$11483,'Início|Fim 1'!$H$2)</f>
        <v>0</v>
      </c>
      <c r="I11" s="2">
        <f>SUMIFS(Timesheet!$F$13:$F$11483,Timesheet!$A$13:$A$11483,'Início|Fim 1'!E11,Timesheet!$C$13:$C$11483,'Início|Fim 1'!$I$2)</f>
        <v>0</v>
      </c>
      <c r="J11" s="2">
        <f>SUMIFS(Timesheet!$F$13:$F$11483,Timesheet!$A$13:$A$11483,'Início|Fim 1'!E11,Timesheet!$C$13:$C$11483,'Início|Fim 1'!$J$2)</f>
        <v>0</v>
      </c>
      <c r="K11" s="2">
        <f>SUMIFS(Timesheet!$F$13:$F$11483,Timesheet!$A$13:$A$11483,'Início|Fim 1'!E11,Timesheet!$C$13:$C$11483,'Início|Fim 1'!$K$2)</f>
        <v>0</v>
      </c>
      <c r="L11" s="2">
        <f>SUMIFS(Timesheet!$F$13:$F$11483,Timesheet!$A$13:$A$11483,'Início|Fim 1'!E11,Timesheet!$C$13:$C$11483,'Início|Fim 1'!$L$2)</f>
        <v>0</v>
      </c>
      <c r="M11" s="2">
        <f>SUMIFS(Timesheet!$F$13:$F$11483,Timesheet!$A$13:$A$11483,'Início|Fim 1'!E11,Timesheet!$C$13:$C$11483,'Início|Fim 1'!$M$2)</f>
        <v>0</v>
      </c>
      <c r="N11" s="2">
        <f>SUMIFS(Timesheet!$F$13:$F$11483,Timesheet!$A$13:$A$11483,'Início|Fim 1'!E11,Timesheet!$C$13:$C$11483,'Início|Fim 1'!$N$2)</f>
        <v>0</v>
      </c>
      <c r="O11" s="2">
        <f t="shared" si="0"/>
        <v>0</v>
      </c>
    </row>
    <row r="12" spans="1:19" x14ac:dyDescent="0.25">
      <c r="A12" s="1">
        <v>44936</v>
      </c>
      <c r="B12" s="3">
        <f t="array" ref="B12">MIN(IF(A12=Timesheet!$A$13:$A$2615,Timesheet!$D$13:$D$2615))</f>
        <v>0</v>
      </c>
      <c r="C12" s="3">
        <f t="array" ref="C12">MAX(IF(A12=Timesheet!$A$13:$A$2615,Timesheet!$E$13:$E$2615))</f>
        <v>0</v>
      </c>
      <c r="E12" s="1">
        <v>44936</v>
      </c>
      <c r="F12" s="2">
        <f>SUMIFS(Timesheet!$F$13:$F$11483,Timesheet!$A$13:$A$11483,'Início|Fim 1'!E12,Timesheet!$C$13:$C$11483,'Início|Fim 1'!$F$2)</f>
        <v>0</v>
      </c>
      <c r="G12" s="2">
        <f>SUMIFS(Timesheet!$F$13:$F$11483,Timesheet!$A$13:$A$11483,'Início|Fim 1'!E12,Timesheet!$C$13:$C$11483,'Início|Fim 1'!$G$2)</f>
        <v>0</v>
      </c>
      <c r="H12" s="2">
        <f>SUMIFS(Timesheet!$F$13:$F$11483,Timesheet!$A$13:$A$11483,'Início|Fim 1'!E12,Timesheet!$C$13:$C$11483,'Início|Fim 1'!$H$2)</f>
        <v>0</v>
      </c>
      <c r="I12" s="2">
        <f>SUMIFS(Timesheet!$F$13:$F$11483,Timesheet!$A$13:$A$11483,'Início|Fim 1'!E12,Timesheet!$C$13:$C$11483,'Início|Fim 1'!$I$2)</f>
        <v>0</v>
      </c>
      <c r="J12" s="2">
        <f>SUMIFS(Timesheet!$F$13:$F$11483,Timesheet!$A$13:$A$11483,'Início|Fim 1'!E12,Timesheet!$C$13:$C$11483,'Início|Fim 1'!$J$2)</f>
        <v>0</v>
      </c>
      <c r="K12" s="2">
        <f>SUMIFS(Timesheet!$F$13:$F$11483,Timesheet!$A$13:$A$11483,'Início|Fim 1'!E12,Timesheet!$C$13:$C$11483,'Início|Fim 1'!$K$2)</f>
        <v>0</v>
      </c>
      <c r="L12" s="2">
        <f>SUMIFS(Timesheet!$F$13:$F$11483,Timesheet!$A$13:$A$11483,'Início|Fim 1'!E12,Timesheet!$C$13:$C$11483,'Início|Fim 1'!$L$2)</f>
        <v>0</v>
      </c>
      <c r="M12" s="2">
        <f>SUMIFS(Timesheet!$F$13:$F$11483,Timesheet!$A$13:$A$11483,'Início|Fim 1'!E12,Timesheet!$C$13:$C$11483,'Início|Fim 1'!$M$2)</f>
        <v>0</v>
      </c>
      <c r="N12" s="2">
        <f>SUMIFS(Timesheet!$F$13:$F$11483,Timesheet!$A$13:$A$11483,'Início|Fim 1'!E12,Timesheet!$C$13:$C$11483,'Início|Fim 1'!$N$2)</f>
        <v>0</v>
      </c>
      <c r="O12" s="2">
        <f t="shared" si="0"/>
        <v>0</v>
      </c>
      <c r="S12" s="95"/>
    </row>
    <row r="13" spans="1:19" x14ac:dyDescent="0.25">
      <c r="A13" s="1">
        <v>44937</v>
      </c>
      <c r="B13" s="3">
        <f t="array" ref="B13">MIN(IF(A13=Timesheet!$A$13:$A$2615,Timesheet!$D$13:$D$2615))</f>
        <v>0</v>
      </c>
      <c r="C13" s="3">
        <f t="array" ref="C13">MAX(IF(A13=Timesheet!$A$13:$A$2615,Timesheet!$E$13:$E$2615))</f>
        <v>0</v>
      </c>
      <c r="E13" s="1">
        <v>44937</v>
      </c>
      <c r="F13" s="2">
        <f>SUMIFS(Timesheet!$F$13:$F$11483,Timesheet!$A$13:$A$11483,'Início|Fim 1'!E13,Timesheet!$C$13:$C$11483,'Início|Fim 1'!$F$2)</f>
        <v>0</v>
      </c>
      <c r="G13" s="2">
        <f>SUMIFS(Timesheet!$F$13:$F$11483,Timesheet!$A$13:$A$11483,'Início|Fim 1'!E13,Timesheet!$C$13:$C$11483,'Início|Fim 1'!$G$2)</f>
        <v>0</v>
      </c>
      <c r="H13" s="2">
        <f>SUMIFS(Timesheet!$F$13:$F$11483,Timesheet!$A$13:$A$11483,'Início|Fim 1'!E13,Timesheet!$C$13:$C$11483,'Início|Fim 1'!$H$2)</f>
        <v>0</v>
      </c>
      <c r="I13" s="2">
        <f>SUMIFS(Timesheet!$F$13:$F$11483,Timesheet!$A$13:$A$11483,'Início|Fim 1'!E13,Timesheet!$C$13:$C$11483,'Início|Fim 1'!$I$2)</f>
        <v>0</v>
      </c>
      <c r="J13" s="2">
        <f>SUMIFS(Timesheet!$F$13:$F$11483,Timesheet!$A$13:$A$11483,'Início|Fim 1'!E13,Timesheet!$C$13:$C$11483,'Início|Fim 1'!$J$2)</f>
        <v>0</v>
      </c>
      <c r="K13" s="2">
        <f>SUMIFS(Timesheet!$F$13:$F$11483,Timesheet!$A$13:$A$11483,'Início|Fim 1'!E13,Timesheet!$C$13:$C$11483,'Início|Fim 1'!$K$2)</f>
        <v>0</v>
      </c>
      <c r="L13" s="2">
        <f>SUMIFS(Timesheet!$F$13:$F$11483,Timesheet!$A$13:$A$11483,'Início|Fim 1'!E13,Timesheet!$C$13:$C$11483,'Início|Fim 1'!$L$2)</f>
        <v>0</v>
      </c>
      <c r="M13" s="2">
        <f>SUMIFS(Timesheet!$F$13:$F$11483,Timesheet!$A$13:$A$11483,'Início|Fim 1'!E13,Timesheet!$C$13:$C$11483,'Início|Fim 1'!$M$2)</f>
        <v>0</v>
      </c>
      <c r="N13" s="2">
        <f>SUMIFS(Timesheet!$F$13:$F$11483,Timesheet!$A$13:$A$11483,'Início|Fim 1'!E13,Timesheet!$C$13:$C$11483,'Início|Fim 1'!$N$2)</f>
        <v>0</v>
      </c>
      <c r="O13" s="2">
        <f t="shared" si="0"/>
        <v>0</v>
      </c>
      <c r="S13" s="95"/>
    </row>
    <row r="14" spans="1:19" x14ac:dyDescent="0.25">
      <c r="A14" s="1">
        <v>44938</v>
      </c>
      <c r="B14" s="3">
        <f t="array" ref="B14">MIN(IF(A14=Timesheet!$A$13:$A$2615,Timesheet!$D$13:$D$2615))</f>
        <v>0</v>
      </c>
      <c r="C14" s="3">
        <f t="array" ref="C14">MAX(IF(A14=Timesheet!$A$13:$A$2615,Timesheet!$E$13:$E$2615))</f>
        <v>0</v>
      </c>
      <c r="E14" s="1">
        <v>44938</v>
      </c>
      <c r="F14" s="2">
        <f>SUMIFS(Timesheet!$F$13:$F$11483,Timesheet!$A$13:$A$11483,'Início|Fim 1'!E14,Timesheet!$C$13:$C$11483,'Início|Fim 1'!$F$2)</f>
        <v>0</v>
      </c>
      <c r="G14" s="2">
        <f>SUMIFS(Timesheet!$F$13:$F$11483,Timesheet!$A$13:$A$11483,'Início|Fim 1'!E14,Timesheet!$C$13:$C$11483,'Início|Fim 1'!$G$2)</f>
        <v>0</v>
      </c>
      <c r="H14" s="2">
        <f>SUMIFS(Timesheet!$F$13:$F$11483,Timesheet!$A$13:$A$11483,'Início|Fim 1'!E14,Timesheet!$C$13:$C$11483,'Início|Fim 1'!$H$2)</f>
        <v>0</v>
      </c>
      <c r="I14" s="2">
        <f>SUMIFS(Timesheet!$F$13:$F$11483,Timesheet!$A$13:$A$11483,'Início|Fim 1'!E14,Timesheet!$C$13:$C$11483,'Início|Fim 1'!$I$2)</f>
        <v>0</v>
      </c>
      <c r="J14" s="2">
        <f>SUMIFS(Timesheet!$F$13:$F$11483,Timesheet!$A$13:$A$11483,'Início|Fim 1'!E14,Timesheet!$C$13:$C$11483,'Início|Fim 1'!$J$2)</f>
        <v>0</v>
      </c>
      <c r="K14" s="2">
        <f>SUMIFS(Timesheet!$F$13:$F$11483,Timesheet!$A$13:$A$11483,'Início|Fim 1'!E14,Timesheet!$C$13:$C$11483,'Início|Fim 1'!$K$2)</f>
        <v>0</v>
      </c>
      <c r="L14" s="2">
        <f>SUMIFS(Timesheet!$F$13:$F$11483,Timesheet!$A$13:$A$11483,'Início|Fim 1'!E14,Timesheet!$C$13:$C$11483,'Início|Fim 1'!$L$2)</f>
        <v>0</v>
      </c>
      <c r="M14" s="2">
        <f>SUMIFS(Timesheet!$F$13:$F$11483,Timesheet!$A$13:$A$11483,'Início|Fim 1'!E14,Timesheet!$C$13:$C$11483,'Início|Fim 1'!$M$2)</f>
        <v>0</v>
      </c>
      <c r="N14" s="2">
        <f>SUMIFS(Timesheet!$F$13:$F$11483,Timesheet!$A$13:$A$11483,'Início|Fim 1'!E14,Timesheet!$C$13:$C$11483,'Início|Fim 1'!$N$2)</f>
        <v>0</v>
      </c>
      <c r="O14" s="2">
        <f t="shared" si="0"/>
        <v>0</v>
      </c>
      <c r="S14" s="95"/>
    </row>
    <row r="15" spans="1:19" x14ac:dyDescent="0.25">
      <c r="A15" s="1">
        <v>44939</v>
      </c>
      <c r="B15" s="3">
        <f t="array" ref="B15">MIN(IF(A15=Timesheet!$A$13:$A$2615,Timesheet!$D$13:$D$2615))</f>
        <v>0</v>
      </c>
      <c r="C15" s="3">
        <f t="array" ref="C15">MAX(IF(A15=Timesheet!$A$13:$A$2615,Timesheet!$E$13:$E$2615))</f>
        <v>0</v>
      </c>
      <c r="E15" s="1">
        <v>44939</v>
      </c>
      <c r="F15" s="2">
        <f>SUMIFS(Timesheet!$F$13:$F$11483,Timesheet!$A$13:$A$11483,'Início|Fim 1'!E15,Timesheet!$C$13:$C$11483,'Início|Fim 1'!$F$2)</f>
        <v>0</v>
      </c>
      <c r="G15" s="2">
        <f>SUMIFS(Timesheet!$F$13:$F$11483,Timesheet!$A$13:$A$11483,'Início|Fim 1'!E15,Timesheet!$C$13:$C$11483,'Início|Fim 1'!$G$2)</f>
        <v>0</v>
      </c>
      <c r="H15" s="2">
        <f>SUMIFS(Timesheet!$F$13:$F$11483,Timesheet!$A$13:$A$11483,'Início|Fim 1'!E15,Timesheet!$C$13:$C$11483,'Início|Fim 1'!$H$2)</f>
        <v>0</v>
      </c>
      <c r="I15" s="2">
        <f>SUMIFS(Timesheet!$F$13:$F$11483,Timesheet!$A$13:$A$11483,'Início|Fim 1'!E15,Timesheet!$C$13:$C$11483,'Início|Fim 1'!$I$2)</f>
        <v>0</v>
      </c>
      <c r="J15" s="2">
        <f>SUMIFS(Timesheet!$F$13:$F$11483,Timesheet!$A$13:$A$11483,'Início|Fim 1'!E15,Timesheet!$C$13:$C$11483,'Início|Fim 1'!$J$2)</f>
        <v>0</v>
      </c>
      <c r="K15" s="2">
        <f>SUMIFS(Timesheet!$F$13:$F$11483,Timesheet!$A$13:$A$11483,'Início|Fim 1'!E15,Timesheet!$C$13:$C$11483,'Início|Fim 1'!$K$2)</f>
        <v>0</v>
      </c>
      <c r="L15" s="2">
        <f>SUMIFS(Timesheet!$F$13:$F$11483,Timesheet!$A$13:$A$11483,'Início|Fim 1'!E15,Timesheet!$C$13:$C$11483,'Início|Fim 1'!$L$2)</f>
        <v>0</v>
      </c>
      <c r="M15" s="2">
        <f>SUMIFS(Timesheet!$F$13:$F$11483,Timesheet!$A$13:$A$11483,'Início|Fim 1'!E15,Timesheet!$C$13:$C$11483,'Início|Fim 1'!$M$2)</f>
        <v>0</v>
      </c>
      <c r="N15" s="2">
        <f>SUMIFS(Timesheet!$F$13:$F$11483,Timesheet!$A$13:$A$11483,'Início|Fim 1'!E15,Timesheet!$C$13:$C$11483,'Início|Fim 1'!$N$2)</f>
        <v>0</v>
      </c>
      <c r="O15" s="2">
        <f t="shared" si="0"/>
        <v>0</v>
      </c>
      <c r="S15" s="95"/>
    </row>
    <row r="16" spans="1:19" x14ac:dyDescent="0.25">
      <c r="A16" s="1">
        <v>44940</v>
      </c>
      <c r="B16" s="3">
        <f t="array" ref="B16">MIN(IF(A16=Timesheet!$A$13:$A$2615,Timesheet!$D$13:$D$2615))</f>
        <v>0</v>
      </c>
      <c r="C16" s="3">
        <f t="array" ref="C16">MAX(IF(A16=Timesheet!$A$13:$A$2615,Timesheet!$E$13:$E$2615))</f>
        <v>0</v>
      </c>
      <c r="E16" s="1">
        <v>44940</v>
      </c>
      <c r="F16" s="2">
        <f>SUMIFS(Timesheet!$F$13:$F$11483,Timesheet!$A$13:$A$11483,'Início|Fim 1'!E16,Timesheet!$C$13:$C$11483,'Início|Fim 1'!$F$2)</f>
        <v>0</v>
      </c>
      <c r="G16" s="2">
        <f>SUMIFS(Timesheet!$F$13:$F$11483,Timesheet!$A$13:$A$11483,'Início|Fim 1'!E16,Timesheet!$C$13:$C$11483,'Início|Fim 1'!$G$2)</f>
        <v>0</v>
      </c>
      <c r="H16" s="2">
        <f>SUMIFS(Timesheet!$F$13:$F$11483,Timesheet!$A$13:$A$11483,'Início|Fim 1'!E16,Timesheet!$C$13:$C$11483,'Início|Fim 1'!$H$2)</f>
        <v>0</v>
      </c>
      <c r="I16" s="2">
        <f>SUMIFS(Timesheet!$F$13:$F$11483,Timesheet!$A$13:$A$11483,'Início|Fim 1'!E16,Timesheet!$C$13:$C$11483,'Início|Fim 1'!$I$2)</f>
        <v>0</v>
      </c>
      <c r="J16" s="2">
        <f>SUMIFS(Timesheet!$F$13:$F$11483,Timesheet!$A$13:$A$11483,'Início|Fim 1'!E16,Timesheet!$C$13:$C$11483,'Início|Fim 1'!$J$2)</f>
        <v>0</v>
      </c>
      <c r="K16" s="2">
        <f>SUMIFS(Timesheet!$F$13:$F$11483,Timesheet!$A$13:$A$11483,'Início|Fim 1'!E16,Timesheet!$C$13:$C$11483,'Início|Fim 1'!$K$2)</f>
        <v>0</v>
      </c>
      <c r="L16" s="2">
        <f>SUMIFS(Timesheet!$F$13:$F$11483,Timesheet!$A$13:$A$11483,'Início|Fim 1'!E16,Timesheet!$C$13:$C$11483,'Início|Fim 1'!$L$2)</f>
        <v>0</v>
      </c>
      <c r="M16" s="2">
        <f>SUMIFS(Timesheet!$F$13:$F$11483,Timesheet!$A$13:$A$11483,'Início|Fim 1'!E16,Timesheet!$C$13:$C$11483,'Início|Fim 1'!$M$2)</f>
        <v>0</v>
      </c>
      <c r="N16" s="2">
        <f>SUMIFS(Timesheet!$F$13:$F$11483,Timesheet!$A$13:$A$11483,'Início|Fim 1'!E16,Timesheet!$C$13:$C$11483,'Início|Fim 1'!$N$2)</f>
        <v>0</v>
      </c>
      <c r="O16" s="2">
        <f t="shared" si="0"/>
        <v>0</v>
      </c>
      <c r="S16" s="95"/>
    </row>
    <row r="17" spans="1:15" x14ac:dyDescent="0.25">
      <c r="A17" s="1">
        <v>44941</v>
      </c>
      <c r="B17" s="3">
        <f t="array" ref="B17">MIN(IF(A17=Timesheet!$A$13:$A$2615,Timesheet!$D$13:$D$2615))</f>
        <v>0</v>
      </c>
      <c r="C17" s="3">
        <f t="array" ref="C17">MAX(IF(A17=Timesheet!$A$13:$A$2615,Timesheet!$E$13:$E$2615))</f>
        <v>0</v>
      </c>
      <c r="E17" s="1">
        <v>44941</v>
      </c>
      <c r="F17" s="2">
        <f>SUMIFS(Timesheet!$F$13:$F$11483,Timesheet!$A$13:$A$11483,'Início|Fim 1'!E17,Timesheet!$C$13:$C$11483,'Início|Fim 1'!$F$2)</f>
        <v>0</v>
      </c>
      <c r="G17" s="2">
        <f>SUMIFS(Timesheet!$F$13:$F$11483,Timesheet!$A$13:$A$11483,'Início|Fim 1'!E17,Timesheet!$C$13:$C$11483,'Início|Fim 1'!$G$2)</f>
        <v>0</v>
      </c>
      <c r="H17" s="2">
        <f>SUMIFS(Timesheet!$F$13:$F$11483,Timesheet!$A$13:$A$11483,'Início|Fim 1'!E17,Timesheet!$C$13:$C$11483,'Início|Fim 1'!$H$2)</f>
        <v>0</v>
      </c>
      <c r="I17" s="2">
        <f>SUMIFS(Timesheet!$F$13:$F$11483,Timesheet!$A$13:$A$11483,'Início|Fim 1'!E17,Timesheet!$C$13:$C$11483,'Início|Fim 1'!$I$2)</f>
        <v>0</v>
      </c>
      <c r="J17" s="2">
        <f>SUMIFS(Timesheet!$F$13:$F$11483,Timesheet!$A$13:$A$11483,'Início|Fim 1'!E17,Timesheet!$C$13:$C$11483,'Início|Fim 1'!$J$2)</f>
        <v>0</v>
      </c>
      <c r="K17" s="2">
        <f>SUMIFS(Timesheet!$F$13:$F$11483,Timesheet!$A$13:$A$11483,'Início|Fim 1'!E17,Timesheet!$C$13:$C$11483,'Início|Fim 1'!$K$2)</f>
        <v>0</v>
      </c>
      <c r="L17" s="2">
        <f>SUMIFS(Timesheet!$F$13:$F$11483,Timesheet!$A$13:$A$11483,'Início|Fim 1'!E17,Timesheet!$C$13:$C$11483,'Início|Fim 1'!$L$2)</f>
        <v>0</v>
      </c>
      <c r="M17" s="2">
        <f>SUMIFS(Timesheet!$F$13:$F$11483,Timesheet!$A$13:$A$11483,'Início|Fim 1'!E17,Timesheet!$C$13:$C$11483,'Início|Fim 1'!$M$2)</f>
        <v>0</v>
      </c>
      <c r="N17" s="2">
        <f>SUMIFS(Timesheet!$F$13:$F$11483,Timesheet!$A$13:$A$11483,'Início|Fim 1'!E17,Timesheet!$C$13:$C$11483,'Início|Fim 1'!$N$2)</f>
        <v>0</v>
      </c>
      <c r="O17" s="2">
        <f t="shared" si="0"/>
        <v>0</v>
      </c>
    </row>
    <row r="18" spans="1:15" x14ac:dyDescent="0.25">
      <c r="A18" s="1">
        <v>44942</v>
      </c>
      <c r="B18" s="3">
        <f t="array" ref="B18">MIN(IF(A18=Timesheet!$A$13:$A$2615,Timesheet!$D$13:$D$2615))</f>
        <v>0</v>
      </c>
      <c r="C18" s="3">
        <f t="array" ref="C18">MAX(IF(A18=Timesheet!$A$13:$A$2615,Timesheet!$E$13:$E$2615))</f>
        <v>0</v>
      </c>
      <c r="E18" s="1">
        <v>44942</v>
      </c>
      <c r="F18" s="2">
        <f>SUMIFS(Timesheet!$F$13:$F$11483,Timesheet!$A$13:$A$11483,'Início|Fim 1'!E18,Timesheet!$C$13:$C$11483,'Início|Fim 1'!$F$2)</f>
        <v>0</v>
      </c>
      <c r="G18" s="2">
        <f>SUMIFS(Timesheet!$F$13:$F$11483,Timesheet!$A$13:$A$11483,'Início|Fim 1'!E18,Timesheet!$C$13:$C$11483,'Início|Fim 1'!$G$2)</f>
        <v>0</v>
      </c>
      <c r="H18" s="2">
        <f>SUMIFS(Timesheet!$F$13:$F$11483,Timesheet!$A$13:$A$11483,'Início|Fim 1'!E18,Timesheet!$C$13:$C$11483,'Início|Fim 1'!$H$2)</f>
        <v>0</v>
      </c>
      <c r="I18" s="2">
        <f>SUMIFS(Timesheet!$F$13:$F$11483,Timesheet!$A$13:$A$11483,'Início|Fim 1'!E18,Timesheet!$C$13:$C$11483,'Início|Fim 1'!$I$2)</f>
        <v>0</v>
      </c>
      <c r="J18" s="2">
        <f>SUMIFS(Timesheet!$F$13:$F$11483,Timesheet!$A$13:$A$11483,'Início|Fim 1'!E18,Timesheet!$C$13:$C$11483,'Início|Fim 1'!$J$2)</f>
        <v>0</v>
      </c>
      <c r="K18" s="2">
        <f>SUMIFS(Timesheet!$F$13:$F$11483,Timesheet!$A$13:$A$11483,'Início|Fim 1'!E18,Timesheet!$C$13:$C$11483,'Início|Fim 1'!$K$2)</f>
        <v>0</v>
      </c>
      <c r="L18" s="2">
        <f>SUMIFS(Timesheet!$F$13:$F$11483,Timesheet!$A$13:$A$11483,'Início|Fim 1'!E18,Timesheet!$C$13:$C$11483,'Início|Fim 1'!$L$2)</f>
        <v>0</v>
      </c>
      <c r="M18" s="2">
        <f>SUMIFS(Timesheet!$F$13:$F$11483,Timesheet!$A$13:$A$11483,'Início|Fim 1'!E18,Timesheet!$C$13:$C$11483,'Início|Fim 1'!$M$2)</f>
        <v>0</v>
      </c>
      <c r="N18" s="2">
        <f>SUMIFS(Timesheet!$F$13:$F$11483,Timesheet!$A$13:$A$11483,'Início|Fim 1'!E18,Timesheet!$C$13:$C$11483,'Início|Fim 1'!$N$2)</f>
        <v>0</v>
      </c>
      <c r="O18" s="2">
        <f t="shared" si="0"/>
        <v>0</v>
      </c>
    </row>
    <row r="19" spans="1:15" x14ac:dyDescent="0.25">
      <c r="A19" s="1">
        <v>44943</v>
      </c>
      <c r="B19" s="3">
        <f t="array" ref="B19">MIN(IF(A19=Timesheet!$A$13:$A$2615,Timesheet!$D$13:$D$2615))</f>
        <v>0</v>
      </c>
      <c r="C19" s="3">
        <f t="array" ref="C19">MAX(IF(A19=Timesheet!$A$13:$A$2615,Timesheet!$E$13:$E$2615))</f>
        <v>0</v>
      </c>
      <c r="E19" s="1">
        <v>44943</v>
      </c>
      <c r="F19" s="2">
        <f>SUMIFS(Timesheet!$F$13:$F$11483,Timesheet!$A$13:$A$11483,'Início|Fim 1'!E19,Timesheet!$C$13:$C$11483,'Início|Fim 1'!$F$2)</f>
        <v>0</v>
      </c>
      <c r="G19" s="2">
        <f>SUMIFS(Timesheet!$F$13:$F$11483,Timesheet!$A$13:$A$11483,'Início|Fim 1'!E19,Timesheet!$C$13:$C$11483,'Início|Fim 1'!$G$2)</f>
        <v>0</v>
      </c>
      <c r="H19" s="2">
        <f>SUMIFS(Timesheet!$F$13:$F$11483,Timesheet!$A$13:$A$11483,'Início|Fim 1'!E19,Timesheet!$C$13:$C$11483,'Início|Fim 1'!$H$2)</f>
        <v>0</v>
      </c>
      <c r="I19" s="2">
        <f>SUMIFS(Timesheet!$F$13:$F$11483,Timesheet!$A$13:$A$11483,'Início|Fim 1'!E19,Timesheet!$C$13:$C$11483,'Início|Fim 1'!$I$2)</f>
        <v>0</v>
      </c>
      <c r="J19" s="2">
        <f>SUMIFS(Timesheet!$F$13:$F$11483,Timesheet!$A$13:$A$11483,'Início|Fim 1'!E19,Timesheet!$C$13:$C$11483,'Início|Fim 1'!$J$2)</f>
        <v>0</v>
      </c>
      <c r="K19" s="2">
        <f>SUMIFS(Timesheet!$F$13:$F$11483,Timesheet!$A$13:$A$11483,'Início|Fim 1'!E19,Timesheet!$C$13:$C$11483,'Início|Fim 1'!$K$2)</f>
        <v>0</v>
      </c>
      <c r="L19" s="2">
        <f>SUMIFS(Timesheet!$F$13:$F$11483,Timesheet!$A$13:$A$11483,'Início|Fim 1'!E19,Timesheet!$C$13:$C$11483,'Início|Fim 1'!$L$2)</f>
        <v>0</v>
      </c>
      <c r="M19" s="2">
        <f>SUMIFS(Timesheet!$F$13:$F$11483,Timesheet!$A$13:$A$11483,'Início|Fim 1'!E19,Timesheet!$C$13:$C$11483,'Início|Fim 1'!$M$2)</f>
        <v>0</v>
      </c>
      <c r="N19" s="2">
        <f>SUMIFS(Timesheet!$F$13:$F$11483,Timesheet!$A$13:$A$11483,'Início|Fim 1'!E19,Timesheet!$C$13:$C$11483,'Início|Fim 1'!$N$2)</f>
        <v>0</v>
      </c>
      <c r="O19" s="2">
        <f t="shared" si="0"/>
        <v>0</v>
      </c>
    </row>
    <row r="20" spans="1:15" x14ac:dyDescent="0.25">
      <c r="A20" s="1">
        <v>44944</v>
      </c>
      <c r="B20" s="3">
        <f t="array" ref="B20">MIN(IF(A20=Timesheet!$A$13:$A$2615,Timesheet!$D$13:$D$2615))</f>
        <v>0</v>
      </c>
      <c r="C20" s="3">
        <f t="array" ref="C20">MAX(IF(A20=Timesheet!$A$13:$A$2615,Timesheet!$E$13:$E$2615))</f>
        <v>0</v>
      </c>
      <c r="E20" s="1">
        <v>44944</v>
      </c>
      <c r="F20" s="2">
        <f>SUMIFS(Timesheet!$F$13:$F$11483,Timesheet!$A$13:$A$11483,'Início|Fim 1'!E20,Timesheet!$C$13:$C$11483,'Início|Fim 1'!$F$2)</f>
        <v>0</v>
      </c>
      <c r="G20" s="2">
        <f>SUMIFS(Timesheet!$F$13:$F$11483,Timesheet!$A$13:$A$11483,'Início|Fim 1'!E20,Timesheet!$C$13:$C$11483,'Início|Fim 1'!$G$2)</f>
        <v>0</v>
      </c>
      <c r="H20" s="2">
        <f>SUMIFS(Timesheet!$F$13:$F$11483,Timesheet!$A$13:$A$11483,'Início|Fim 1'!E20,Timesheet!$C$13:$C$11483,'Início|Fim 1'!$H$2)</f>
        <v>0</v>
      </c>
      <c r="I20" s="2">
        <f>SUMIFS(Timesheet!$F$13:$F$11483,Timesheet!$A$13:$A$11483,'Início|Fim 1'!E20,Timesheet!$C$13:$C$11483,'Início|Fim 1'!$I$2)</f>
        <v>0</v>
      </c>
      <c r="J20" s="2">
        <f>SUMIFS(Timesheet!$F$13:$F$11483,Timesheet!$A$13:$A$11483,'Início|Fim 1'!E20,Timesheet!$C$13:$C$11483,'Início|Fim 1'!$J$2)</f>
        <v>0</v>
      </c>
      <c r="K20" s="2">
        <f>SUMIFS(Timesheet!$F$13:$F$11483,Timesheet!$A$13:$A$11483,'Início|Fim 1'!E20,Timesheet!$C$13:$C$11483,'Início|Fim 1'!$K$2)</f>
        <v>0</v>
      </c>
      <c r="L20" s="2">
        <f>SUMIFS(Timesheet!$F$13:$F$11483,Timesheet!$A$13:$A$11483,'Início|Fim 1'!E20,Timesheet!$C$13:$C$11483,'Início|Fim 1'!$L$2)</f>
        <v>0</v>
      </c>
      <c r="M20" s="2">
        <f>SUMIFS(Timesheet!$F$13:$F$11483,Timesheet!$A$13:$A$11483,'Início|Fim 1'!E20,Timesheet!$C$13:$C$11483,'Início|Fim 1'!$M$2)</f>
        <v>0</v>
      </c>
      <c r="N20" s="2">
        <f>SUMIFS(Timesheet!$F$13:$F$11483,Timesheet!$A$13:$A$11483,'Início|Fim 1'!E20,Timesheet!$C$13:$C$11483,'Início|Fim 1'!$N$2)</f>
        <v>0</v>
      </c>
      <c r="O20" s="2">
        <f t="shared" si="0"/>
        <v>0</v>
      </c>
    </row>
    <row r="21" spans="1:15" x14ac:dyDescent="0.25">
      <c r="A21" s="1">
        <v>44945</v>
      </c>
      <c r="B21" s="3">
        <f t="array" ref="B21">MIN(IF(A21=Timesheet!$A$13:$A$2615,Timesheet!$D$13:$D$2615))</f>
        <v>0</v>
      </c>
      <c r="C21" s="3">
        <f t="array" ref="C21">MAX(IF(A21=Timesheet!$A$13:$A$2615,Timesheet!$E$13:$E$2615))</f>
        <v>0</v>
      </c>
      <c r="E21" s="1">
        <v>44945</v>
      </c>
      <c r="F21" s="2">
        <f>SUMIFS(Timesheet!$F$13:$F$11483,Timesheet!$A$13:$A$11483,'Início|Fim 1'!E21,Timesheet!$C$13:$C$11483,'Início|Fim 1'!$F$2)</f>
        <v>0</v>
      </c>
      <c r="G21" s="2">
        <f>SUMIFS(Timesheet!$F$13:$F$11483,Timesheet!$A$13:$A$11483,'Início|Fim 1'!E21,Timesheet!$C$13:$C$11483,'Início|Fim 1'!$G$2)</f>
        <v>0</v>
      </c>
      <c r="H21" s="2">
        <f>SUMIFS(Timesheet!$F$13:$F$11483,Timesheet!$A$13:$A$11483,'Início|Fim 1'!E21,Timesheet!$C$13:$C$11483,'Início|Fim 1'!$H$2)</f>
        <v>0</v>
      </c>
      <c r="I21" s="2">
        <f>SUMIFS(Timesheet!$F$13:$F$11483,Timesheet!$A$13:$A$11483,'Início|Fim 1'!E21,Timesheet!$C$13:$C$11483,'Início|Fim 1'!$I$2)</f>
        <v>0</v>
      </c>
      <c r="J21" s="2">
        <f>SUMIFS(Timesheet!$F$13:$F$11483,Timesheet!$A$13:$A$11483,'Início|Fim 1'!E21,Timesheet!$C$13:$C$11483,'Início|Fim 1'!$J$2)</f>
        <v>0</v>
      </c>
      <c r="K21" s="2">
        <f>SUMIFS(Timesheet!$F$13:$F$11483,Timesheet!$A$13:$A$11483,'Início|Fim 1'!E21,Timesheet!$C$13:$C$11483,'Início|Fim 1'!$K$2)</f>
        <v>0</v>
      </c>
      <c r="L21" s="2">
        <f>SUMIFS(Timesheet!$F$13:$F$11483,Timesheet!$A$13:$A$11483,'Início|Fim 1'!E21,Timesheet!$C$13:$C$11483,'Início|Fim 1'!$L$2)</f>
        <v>0</v>
      </c>
      <c r="M21" s="2">
        <f>SUMIFS(Timesheet!$F$13:$F$11483,Timesheet!$A$13:$A$11483,'Início|Fim 1'!E21,Timesheet!$C$13:$C$11483,'Início|Fim 1'!$M$2)</f>
        <v>0</v>
      </c>
      <c r="N21" s="2">
        <f>SUMIFS(Timesheet!$F$13:$F$11483,Timesheet!$A$13:$A$11483,'Início|Fim 1'!E21,Timesheet!$C$13:$C$11483,'Início|Fim 1'!$N$2)</f>
        <v>0</v>
      </c>
      <c r="O21" s="2">
        <f t="shared" si="0"/>
        <v>0</v>
      </c>
    </row>
    <row r="22" spans="1:15" x14ac:dyDescent="0.25">
      <c r="A22" s="1">
        <v>44946</v>
      </c>
      <c r="B22" s="3">
        <f t="array" ref="B22">MIN(IF(A22=Timesheet!$A$13:$A$2615,Timesheet!$D$13:$D$2615))</f>
        <v>0</v>
      </c>
      <c r="C22" s="3">
        <f t="array" ref="C22">MAX(IF(A22=Timesheet!$A$13:$A$2615,Timesheet!$E$13:$E$2615))</f>
        <v>0</v>
      </c>
      <c r="E22" s="1">
        <v>44946</v>
      </c>
      <c r="F22" s="2">
        <f>SUMIFS(Timesheet!$F$13:$F$11483,Timesheet!$A$13:$A$11483,'Início|Fim 1'!E22,Timesheet!$C$13:$C$11483,'Início|Fim 1'!$F$2)</f>
        <v>0</v>
      </c>
      <c r="G22" s="2">
        <f>SUMIFS(Timesheet!$F$13:$F$11483,Timesheet!$A$13:$A$11483,'Início|Fim 1'!E22,Timesheet!$C$13:$C$11483,'Início|Fim 1'!$G$2)</f>
        <v>0</v>
      </c>
      <c r="H22" s="2">
        <f>SUMIFS(Timesheet!$F$13:$F$11483,Timesheet!$A$13:$A$11483,'Início|Fim 1'!E22,Timesheet!$C$13:$C$11483,'Início|Fim 1'!$H$2)</f>
        <v>0</v>
      </c>
      <c r="I22" s="2">
        <f>SUMIFS(Timesheet!$F$13:$F$11483,Timesheet!$A$13:$A$11483,'Início|Fim 1'!E22,Timesheet!$C$13:$C$11483,'Início|Fim 1'!$I$2)</f>
        <v>0</v>
      </c>
      <c r="J22" s="2">
        <f>SUMIFS(Timesheet!$F$13:$F$11483,Timesheet!$A$13:$A$11483,'Início|Fim 1'!E22,Timesheet!$C$13:$C$11483,'Início|Fim 1'!$J$2)</f>
        <v>0</v>
      </c>
      <c r="K22" s="2">
        <f>SUMIFS(Timesheet!$F$13:$F$11483,Timesheet!$A$13:$A$11483,'Início|Fim 1'!E22,Timesheet!$C$13:$C$11483,'Início|Fim 1'!$K$2)</f>
        <v>0</v>
      </c>
      <c r="L22" s="2">
        <f>SUMIFS(Timesheet!$F$13:$F$11483,Timesheet!$A$13:$A$11483,'Início|Fim 1'!E22,Timesheet!$C$13:$C$11483,'Início|Fim 1'!$L$2)</f>
        <v>0</v>
      </c>
      <c r="M22" s="2">
        <f>SUMIFS(Timesheet!$F$13:$F$11483,Timesheet!$A$13:$A$11483,'Início|Fim 1'!E22,Timesheet!$C$13:$C$11483,'Início|Fim 1'!$M$2)</f>
        <v>0</v>
      </c>
      <c r="N22" s="2">
        <f>SUMIFS(Timesheet!$F$13:$F$11483,Timesheet!$A$13:$A$11483,'Início|Fim 1'!E22,Timesheet!$C$13:$C$11483,'Início|Fim 1'!$N$2)</f>
        <v>0</v>
      </c>
      <c r="O22" s="2">
        <f t="shared" si="0"/>
        <v>0</v>
      </c>
    </row>
    <row r="23" spans="1:15" x14ac:dyDescent="0.25">
      <c r="A23" s="1">
        <v>44947</v>
      </c>
      <c r="B23" s="3">
        <f t="array" ref="B23">MIN(IF(A23=Timesheet!$A$13:$A$2615,Timesheet!$D$13:$D$2615))</f>
        <v>0</v>
      </c>
      <c r="C23" s="3">
        <f t="array" ref="C23">MAX(IF(A23=Timesheet!$A$13:$A$2615,Timesheet!$E$13:$E$2615))</f>
        <v>0</v>
      </c>
      <c r="E23" s="1">
        <v>44947</v>
      </c>
      <c r="F23" s="2">
        <f>SUMIFS(Timesheet!$F$13:$F$11483,Timesheet!$A$13:$A$11483,'Início|Fim 1'!E23,Timesheet!$C$13:$C$11483,'Início|Fim 1'!$F$2)</f>
        <v>0</v>
      </c>
      <c r="G23" s="2">
        <f>SUMIFS(Timesheet!$F$13:$F$11483,Timesheet!$A$13:$A$11483,'Início|Fim 1'!E23,Timesheet!$C$13:$C$11483,'Início|Fim 1'!$G$2)</f>
        <v>0</v>
      </c>
      <c r="H23" s="2">
        <f>SUMIFS(Timesheet!$F$13:$F$11483,Timesheet!$A$13:$A$11483,'Início|Fim 1'!E23,Timesheet!$C$13:$C$11483,'Início|Fim 1'!$H$2)</f>
        <v>0</v>
      </c>
      <c r="I23" s="2">
        <f>SUMIFS(Timesheet!$F$13:$F$11483,Timesheet!$A$13:$A$11483,'Início|Fim 1'!E23,Timesheet!$C$13:$C$11483,'Início|Fim 1'!$I$2)</f>
        <v>0</v>
      </c>
      <c r="J23" s="2">
        <f>SUMIFS(Timesheet!$F$13:$F$11483,Timesheet!$A$13:$A$11483,'Início|Fim 1'!E23,Timesheet!$C$13:$C$11483,'Início|Fim 1'!$J$2)</f>
        <v>0</v>
      </c>
      <c r="K23" s="2">
        <f>SUMIFS(Timesheet!$F$13:$F$11483,Timesheet!$A$13:$A$11483,'Início|Fim 1'!E23,Timesheet!$C$13:$C$11483,'Início|Fim 1'!$K$2)</f>
        <v>0</v>
      </c>
      <c r="L23" s="2">
        <f>SUMIFS(Timesheet!$F$13:$F$11483,Timesheet!$A$13:$A$11483,'Início|Fim 1'!E23,Timesheet!$C$13:$C$11483,'Início|Fim 1'!$L$2)</f>
        <v>0</v>
      </c>
      <c r="M23" s="2">
        <f>SUMIFS(Timesheet!$F$13:$F$11483,Timesheet!$A$13:$A$11483,'Início|Fim 1'!E23,Timesheet!$C$13:$C$11483,'Início|Fim 1'!$M$2)</f>
        <v>0</v>
      </c>
      <c r="N23" s="2">
        <f>SUMIFS(Timesheet!$F$13:$F$11483,Timesheet!$A$13:$A$11483,'Início|Fim 1'!E23,Timesheet!$C$13:$C$11483,'Início|Fim 1'!$N$2)</f>
        <v>0</v>
      </c>
      <c r="O23" s="2">
        <f t="shared" si="0"/>
        <v>0</v>
      </c>
    </row>
    <row r="24" spans="1:15" x14ac:dyDescent="0.25">
      <c r="A24" s="1">
        <v>44948</v>
      </c>
      <c r="B24" s="3">
        <f t="array" ref="B24">MIN(IF(A24=Timesheet!$A$13:$A$2615,Timesheet!$D$13:$D$2615))</f>
        <v>0</v>
      </c>
      <c r="C24" s="3">
        <f t="array" ref="C24">MAX(IF(A24=Timesheet!$A$13:$A$2615,Timesheet!$E$13:$E$2615))</f>
        <v>0</v>
      </c>
      <c r="E24" s="1">
        <v>44948</v>
      </c>
      <c r="F24" s="2">
        <f>SUMIFS(Timesheet!$F$13:$F$11483,Timesheet!$A$13:$A$11483,'Início|Fim 1'!E24,Timesheet!$C$13:$C$11483,'Início|Fim 1'!$F$2)</f>
        <v>0</v>
      </c>
      <c r="G24" s="2">
        <f>SUMIFS(Timesheet!$F$13:$F$11483,Timesheet!$A$13:$A$11483,'Início|Fim 1'!E24,Timesheet!$C$13:$C$11483,'Início|Fim 1'!$G$2)</f>
        <v>0</v>
      </c>
      <c r="H24" s="2">
        <f>SUMIFS(Timesheet!$F$13:$F$11483,Timesheet!$A$13:$A$11483,'Início|Fim 1'!E24,Timesheet!$C$13:$C$11483,'Início|Fim 1'!$H$2)</f>
        <v>0</v>
      </c>
      <c r="I24" s="2">
        <f>SUMIFS(Timesheet!$F$13:$F$11483,Timesheet!$A$13:$A$11483,'Início|Fim 1'!E24,Timesheet!$C$13:$C$11483,'Início|Fim 1'!$I$2)</f>
        <v>0</v>
      </c>
      <c r="J24" s="2">
        <f>SUMIFS(Timesheet!$F$13:$F$11483,Timesheet!$A$13:$A$11483,'Início|Fim 1'!E24,Timesheet!$C$13:$C$11483,'Início|Fim 1'!$J$2)</f>
        <v>0</v>
      </c>
      <c r="K24" s="2">
        <f>SUMIFS(Timesheet!$F$13:$F$11483,Timesheet!$A$13:$A$11483,'Início|Fim 1'!E24,Timesheet!$C$13:$C$11483,'Início|Fim 1'!$K$2)</f>
        <v>0</v>
      </c>
      <c r="L24" s="2">
        <f>SUMIFS(Timesheet!$F$13:$F$11483,Timesheet!$A$13:$A$11483,'Início|Fim 1'!E24,Timesheet!$C$13:$C$11483,'Início|Fim 1'!$L$2)</f>
        <v>0</v>
      </c>
      <c r="M24" s="2">
        <f>SUMIFS(Timesheet!$F$13:$F$11483,Timesheet!$A$13:$A$11483,'Início|Fim 1'!E24,Timesheet!$C$13:$C$11483,'Início|Fim 1'!$M$2)</f>
        <v>0</v>
      </c>
      <c r="N24" s="2">
        <f>SUMIFS(Timesheet!$F$13:$F$11483,Timesheet!$A$13:$A$11483,'Início|Fim 1'!E24,Timesheet!$C$13:$C$11483,'Início|Fim 1'!$N$2)</f>
        <v>0</v>
      </c>
      <c r="O24" s="2">
        <f t="shared" si="0"/>
        <v>0</v>
      </c>
    </row>
    <row r="25" spans="1:15" x14ac:dyDescent="0.25">
      <c r="A25" s="1">
        <v>44949</v>
      </c>
      <c r="B25" s="3">
        <f t="array" ref="B25">MIN(IF(A25=Timesheet!$A$13:$A$2615,Timesheet!$D$13:$D$2615))</f>
        <v>0</v>
      </c>
      <c r="C25" s="3">
        <f t="array" ref="C25">MAX(IF(A25=Timesheet!$A$13:$A$2615,Timesheet!$E$13:$E$2615))</f>
        <v>0</v>
      </c>
      <c r="E25" s="1">
        <v>44949</v>
      </c>
      <c r="F25" s="2">
        <f>SUMIFS(Timesheet!$F$13:$F$11483,Timesheet!$A$13:$A$11483,'Início|Fim 1'!E25,Timesheet!$C$13:$C$11483,'Início|Fim 1'!$F$2)</f>
        <v>0</v>
      </c>
      <c r="G25" s="2">
        <f>SUMIFS(Timesheet!$F$13:$F$11483,Timesheet!$A$13:$A$11483,'Início|Fim 1'!E25,Timesheet!$C$13:$C$11483,'Início|Fim 1'!$G$2)</f>
        <v>0</v>
      </c>
      <c r="H25" s="2">
        <f>SUMIFS(Timesheet!$F$13:$F$11483,Timesheet!$A$13:$A$11483,'Início|Fim 1'!E25,Timesheet!$C$13:$C$11483,'Início|Fim 1'!$H$2)</f>
        <v>0</v>
      </c>
      <c r="I25" s="2">
        <f>SUMIFS(Timesheet!$F$13:$F$11483,Timesheet!$A$13:$A$11483,'Início|Fim 1'!E25,Timesheet!$C$13:$C$11483,'Início|Fim 1'!$I$2)</f>
        <v>0</v>
      </c>
      <c r="J25" s="2">
        <f>SUMIFS(Timesheet!$F$13:$F$11483,Timesheet!$A$13:$A$11483,'Início|Fim 1'!E25,Timesheet!$C$13:$C$11483,'Início|Fim 1'!$J$2)</f>
        <v>0</v>
      </c>
      <c r="K25" s="2">
        <f>SUMIFS(Timesheet!$F$13:$F$11483,Timesheet!$A$13:$A$11483,'Início|Fim 1'!E25,Timesheet!$C$13:$C$11483,'Início|Fim 1'!$K$2)</f>
        <v>0</v>
      </c>
      <c r="L25" s="2">
        <f>SUMIFS(Timesheet!$F$13:$F$11483,Timesheet!$A$13:$A$11483,'Início|Fim 1'!E25,Timesheet!$C$13:$C$11483,'Início|Fim 1'!$L$2)</f>
        <v>0</v>
      </c>
      <c r="M25" s="2">
        <f>SUMIFS(Timesheet!$F$13:$F$11483,Timesheet!$A$13:$A$11483,'Início|Fim 1'!E25,Timesheet!$C$13:$C$11483,'Início|Fim 1'!$M$2)</f>
        <v>0</v>
      </c>
      <c r="N25" s="2">
        <f>SUMIFS(Timesheet!$F$13:$F$11483,Timesheet!$A$13:$A$11483,'Início|Fim 1'!E25,Timesheet!$C$13:$C$11483,'Início|Fim 1'!$N$2)</f>
        <v>0</v>
      </c>
      <c r="O25" s="2">
        <f t="shared" si="0"/>
        <v>0</v>
      </c>
    </row>
    <row r="26" spans="1:15" x14ac:dyDescent="0.25">
      <c r="A26" s="1">
        <v>44950</v>
      </c>
      <c r="B26" s="3">
        <f t="array" ref="B26">MIN(IF(A26=Timesheet!$A$13:$A$2615,Timesheet!$D$13:$D$2615))</f>
        <v>0</v>
      </c>
      <c r="C26" s="3">
        <f t="array" ref="C26">MAX(IF(A26=Timesheet!$A$13:$A$2615,Timesheet!$E$13:$E$2615))</f>
        <v>0</v>
      </c>
      <c r="E26" s="1">
        <v>44950</v>
      </c>
      <c r="F26" s="2">
        <f>SUMIFS(Timesheet!$F$13:$F$11483,Timesheet!$A$13:$A$11483,'Início|Fim 1'!E26,Timesheet!$C$13:$C$11483,'Início|Fim 1'!$F$2)</f>
        <v>0</v>
      </c>
      <c r="G26" s="2">
        <f>SUMIFS(Timesheet!$F$13:$F$11483,Timesheet!$A$13:$A$11483,'Início|Fim 1'!E26,Timesheet!$C$13:$C$11483,'Início|Fim 1'!$G$2)</f>
        <v>0</v>
      </c>
      <c r="H26" s="2">
        <f>SUMIFS(Timesheet!$F$13:$F$11483,Timesheet!$A$13:$A$11483,'Início|Fim 1'!E26,Timesheet!$C$13:$C$11483,'Início|Fim 1'!$H$2)</f>
        <v>0</v>
      </c>
      <c r="I26" s="2">
        <f>SUMIFS(Timesheet!$F$13:$F$11483,Timesheet!$A$13:$A$11483,'Início|Fim 1'!E26,Timesheet!$C$13:$C$11483,'Início|Fim 1'!$I$2)</f>
        <v>0</v>
      </c>
      <c r="J26" s="2">
        <f>SUMIFS(Timesheet!$F$13:$F$11483,Timesheet!$A$13:$A$11483,'Início|Fim 1'!E26,Timesheet!$C$13:$C$11483,'Início|Fim 1'!$J$2)</f>
        <v>0</v>
      </c>
      <c r="K26" s="2">
        <f>SUMIFS(Timesheet!$F$13:$F$11483,Timesheet!$A$13:$A$11483,'Início|Fim 1'!E26,Timesheet!$C$13:$C$11483,'Início|Fim 1'!$K$2)</f>
        <v>0</v>
      </c>
      <c r="L26" s="2">
        <f>SUMIFS(Timesheet!$F$13:$F$11483,Timesheet!$A$13:$A$11483,'Início|Fim 1'!E26,Timesheet!$C$13:$C$11483,'Início|Fim 1'!$L$2)</f>
        <v>0</v>
      </c>
      <c r="M26" s="2">
        <f>SUMIFS(Timesheet!$F$13:$F$11483,Timesheet!$A$13:$A$11483,'Início|Fim 1'!E26,Timesheet!$C$13:$C$11483,'Início|Fim 1'!$M$2)</f>
        <v>0</v>
      </c>
      <c r="N26" s="2">
        <f>SUMIFS(Timesheet!$F$13:$F$11483,Timesheet!$A$13:$A$11483,'Início|Fim 1'!E26,Timesheet!$C$13:$C$11483,'Início|Fim 1'!$N$2)</f>
        <v>0</v>
      </c>
      <c r="O26" s="2">
        <f t="shared" si="0"/>
        <v>0</v>
      </c>
    </row>
    <row r="27" spans="1:15" x14ac:dyDescent="0.25">
      <c r="A27" s="1">
        <v>44951</v>
      </c>
      <c r="B27" s="3">
        <f t="array" ref="B27">MIN(IF(A27=Timesheet!$A$13:$A$2615,Timesheet!$D$13:$D$2615))</f>
        <v>0</v>
      </c>
      <c r="C27" s="3">
        <f t="array" ref="C27">MAX(IF(A27=Timesheet!$A$13:$A$2615,Timesheet!$E$13:$E$2615))</f>
        <v>0</v>
      </c>
      <c r="E27" s="1">
        <v>44951</v>
      </c>
      <c r="F27" s="2">
        <f>SUMIFS(Timesheet!$F$13:$F$11483,Timesheet!$A$13:$A$11483,'Início|Fim 1'!E27,Timesheet!$C$13:$C$11483,'Início|Fim 1'!$F$2)</f>
        <v>0</v>
      </c>
      <c r="G27" s="2">
        <f>SUMIFS(Timesheet!$F$13:$F$11483,Timesheet!$A$13:$A$11483,'Início|Fim 1'!E27,Timesheet!$C$13:$C$11483,'Início|Fim 1'!$G$2)</f>
        <v>0</v>
      </c>
      <c r="H27" s="2">
        <f>SUMIFS(Timesheet!$F$13:$F$11483,Timesheet!$A$13:$A$11483,'Início|Fim 1'!E27,Timesheet!$C$13:$C$11483,'Início|Fim 1'!$H$2)</f>
        <v>0</v>
      </c>
      <c r="I27" s="2">
        <f>SUMIFS(Timesheet!$F$13:$F$11483,Timesheet!$A$13:$A$11483,'Início|Fim 1'!E27,Timesheet!$C$13:$C$11483,'Início|Fim 1'!$I$2)</f>
        <v>0</v>
      </c>
      <c r="J27" s="2">
        <f>SUMIFS(Timesheet!$F$13:$F$11483,Timesheet!$A$13:$A$11483,'Início|Fim 1'!E27,Timesheet!$C$13:$C$11483,'Início|Fim 1'!$J$2)</f>
        <v>0</v>
      </c>
      <c r="K27" s="2">
        <f>SUMIFS(Timesheet!$F$13:$F$11483,Timesheet!$A$13:$A$11483,'Início|Fim 1'!E27,Timesheet!$C$13:$C$11483,'Início|Fim 1'!$K$2)</f>
        <v>0</v>
      </c>
      <c r="L27" s="2">
        <f>SUMIFS(Timesheet!$F$13:$F$11483,Timesheet!$A$13:$A$11483,'Início|Fim 1'!E27,Timesheet!$C$13:$C$11483,'Início|Fim 1'!$L$2)</f>
        <v>0</v>
      </c>
      <c r="M27" s="2">
        <f>SUMIFS(Timesheet!$F$13:$F$11483,Timesheet!$A$13:$A$11483,'Início|Fim 1'!E27,Timesheet!$C$13:$C$11483,'Início|Fim 1'!$M$2)</f>
        <v>0</v>
      </c>
      <c r="N27" s="2">
        <f>SUMIFS(Timesheet!$F$13:$F$11483,Timesheet!$A$13:$A$11483,'Início|Fim 1'!E27,Timesheet!$C$13:$C$11483,'Início|Fim 1'!$N$2)</f>
        <v>0</v>
      </c>
      <c r="O27" s="2">
        <f t="shared" si="0"/>
        <v>0</v>
      </c>
    </row>
    <row r="28" spans="1:15" x14ac:dyDescent="0.25">
      <c r="A28" s="1">
        <v>44952</v>
      </c>
      <c r="B28" s="3">
        <f t="array" ref="B28">MIN(IF(A28=Timesheet!$A$13:$A$2615,Timesheet!$D$13:$D$2615))</f>
        <v>0</v>
      </c>
      <c r="C28" s="3">
        <f t="array" ref="C28">MAX(IF(A28=Timesheet!$A$13:$A$2615,Timesheet!$E$13:$E$2615))</f>
        <v>0</v>
      </c>
      <c r="E28" s="1">
        <v>44952</v>
      </c>
      <c r="F28" s="2">
        <f>SUMIFS(Timesheet!$F$13:$F$11483,Timesheet!$A$13:$A$11483,'Início|Fim 1'!E28,Timesheet!$C$13:$C$11483,'Início|Fim 1'!$F$2)</f>
        <v>0</v>
      </c>
      <c r="G28" s="2">
        <f>SUMIFS(Timesheet!$F$13:$F$11483,Timesheet!$A$13:$A$11483,'Início|Fim 1'!E28,Timesheet!$C$13:$C$11483,'Início|Fim 1'!$G$2)</f>
        <v>0</v>
      </c>
      <c r="H28" s="2">
        <f>SUMIFS(Timesheet!$F$13:$F$11483,Timesheet!$A$13:$A$11483,'Início|Fim 1'!E28,Timesheet!$C$13:$C$11483,'Início|Fim 1'!$H$2)</f>
        <v>0</v>
      </c>
      <c r="I28" s="2">
        <f>SUMIFS(Timesheet!$F$13:$F$11483,Timesheet!$A$13:$A$11483,'Início|Fim 1'!E28,Timesheet!$C$13:$C$11483,'Início|Fim 1'!$I$2)</f>
        <v>0</v>
      </c>
      <c r="J28" s="2">
        <f>SUMIFS(Timesheet!$F$13:$F$11483,Timesheet!$A$13:$A$11483,'Início|Fim 1'!E28,Timesheet!$C$13:$C$11483,'Início|Fim 1'!$J$2)</f>
        <v>0</v>
      </c>
      <c r="K28" s="2">
        <f>SUMIFS(Timesheet!$F$13:$F$11483,Timesheet!$A$13:$A$11483,'Início|Fim 1'!E28,Timesheet!$C$13:$C$11483,'Início|Fim 1'!$K$2)</f>
        <v>0</v>
      </c>
      <c r="L28" s="2">
        <f>SUMIFS(Timesheet!$F$13:$F$11483,Timesheet!$A$13:$A$11483,'Início|Fim 1'!E28,Timesheet!$C$13:$C$11483,'Início|Fim 1'!$L$2)</f>
        <v>0</v>
      </c>
      <c r="M28" s="2">
        <f>SUMIFS(Timesheet!$F$13:$F$11483,Timesheet!$A$13:$A$11483,'Início|Fim 1'!E28,Timesheet!$C$13:$C$11483,'Início|Fim 1'!$M$2)</f>
        <v>0</v>
      </c>
      <c r="N28" s="2">
        <f>SUMIFS(Timesheet!$F$13:$F$11483,Timesheet!$A$13:$A$11483,'Início|Fim 1'!E28,Timesheet!$C$13:$C$11483,'Início|Fim 1'!$N$2)</f>
        <v>0</v>
      </c>
      <c r="O28" s="2">
        <f t="shared" si="0"/>
        <v>0</v>
      </c>
    </row>
    <row r="29" spans="1:15" x14ac:dyDescent="0.25">
      <c r="A29" s="1">
        <v>44953</v>
      </c>
      <c r="B29" s="3">
        <f t="array" ref="B29">MIN(IF(A29=Timesheet!$A$13:$A$2615,Timesheet!$D$13:$D$2615))</f>
        <v>0</v>
      </c>
      <c r="C29" s="3">
        <f t="array" ref="C29">MAX(IF(A29=Timesheet!$A$13:$A$2615,Timesheet!$E$13:$E$2615))</f>
        <v>0</v>
      </c>
      <c r="E29" s="1">
        <v>44953</v>
      </c>
      <c r="F29" s="2">
        <f>SUMIFS(Timesheet!$F$13:$F$11483,Timesheet!$A$13:$A$11483,'Início|Fim 1'!E29,Timesheet!$C$13:$C$11483,'Início|Fim 1'!$F$2)</f>
        <v>0</v>
      </c>
      <c r="G29" s="2">
        <f>SUMIFS(Timesheet!$F$13:$F$11483,Timesheet!$A$13:$A$11483,'Início|Fim 1'!E29,Timesheet!$C$13:$C$11483,'Início|Fim 1'!$G$2)</f>
        <v>0</v>
      </c>
      <c r="H29" s="2">
        <f>SUMIFS(Timesheet!$F$13:$F$11483,Timesheet!$A$13:$A$11483,'Início|Fim 1'!E29,Timesheet!$C$13:$C$11483,'Início|Fim 1'!$H$2)</f>
        <v>0</v>
      </c>
      <c r="I29" s="2">
        <f>SUMIFS(Timesheet!$F$13:$F$11483,Timesheet!$A$13:$A$11483,'Início|Fim 1'!E29,Timesheet!$C$13:$C$11483,'Início|Fim 1'!$I$2)</f>
        <v>0</v>
      </c>
      <c r="J29" s="2">
        <f>SUMIFS(Timesheet!$F$13:$F$11483,Timesheet!$A$13:$A$11483,'Início|Fim 1'!E29,Timesheet!$C$13:$C$11483,'Início|Fim 1'!$J$2)</f>
        <v>0</v>
      </c>
      <c r="K29" s="2">
        <f>SUMIFS(Timesheet!$F$13:$F$11483,Timesheet!$A$13:$A$11483,'Início|Fim 1'!E29,Timesheet!$C$13:$C$11483,'Início|Fim 1'!$K$2)</f>
        <v>0</v>
      </c>
      <c r="L29" s="2">
        <f>SUMIFS(Timesheet!$F$13:$F$11483,Timesheet!$A$13:$A$11483,'Início|Fim 1'!E29,Timesheet!$C$13:$C$11483,'Início|Fim 1'!$L$2)</f>
        <v>0</v>
      </c>
      <c r="M29" s="2">
        <f>SUMIFS(Timesheet!$F$13:$F$11483,Timesheet!$A$13:$A$11483,'Início|Fim 1'!E29,Timesheet!$C$13:$C$11483,'Início|Fim 1'!$M$2)</f>
        <v>0</v>
      </c>
      <c r="N29" s="2">
        <f>SUMIFS(Timesheet!$F$13:$F$11483,Timesheet!$A$13:$A$11483,'Início|Fim 1'!E29,Timesheet!$C$13:$C$11483,'Início|Fim 1'!$N$2)</f>
        <v>0</v>
      </c>
      <c r="O29" s="2">
        <f t="shared" si="0"/>
        <v>0</v>
      </c>
    </row>
    <row r="30" spans="1:15" x14ac:dyDescent="0.25">
      <c r="A30" s="1">
        <v>44954</v>
      </c>
      <c r="B30" s="3">
        <f t="array" ref="B30">MIN(IF(A30=Timesheet!$A$13:$A$2615,Timesheet!$D$13:$D$2615))</f>
        <v>0</v>
      </c>
      <c r="C30" s="3">
        <f t="array" ref="C30">MAX(IF(A30=Timesheet!$A$13:$A$2615,Timesheet!$E$13:$E$2615))</f>
        <v>0</v>
      </c>
      <c r="E30" s="1">
        <v>44954</v>
      </c>
      <c r="F30" s="2">
        <f>SUMIFS(Timesheet!$F$13:$F$11483,Timesheet!$A$13:$A$11483,'Início|Fim 1'!E30,Timesheet!$C$13:$C$11483,'Início|Fim 1'!$F$2)</f>
        <v>0</v>
      </c>
      <c r="G30" s="2">
        <f>SUMIFS(Timesheet!$F$13:$F$11483,Timesheet!$A$13:$A$11483,'Início|Fim 1'!E30,Timesheet!$C$13:$C$11483,'Início|Fim 1'!$G$2)</f>
        <v>0</v>
      </c>
      <c r="H30" s="2">
        <f>SUMIFS(Timesheet!$F$13:$F$11483,Timesheet!$A$13:$A$11483,'Início|Fim 1'!E30,Timesheet!$C$13:$C$11483,'Início|Fim 1'!$H$2)</f>
        <v>0</v>
      </c>
      <c r="I30" s="2">
        <f>SUMIFS(Timesheet!$F$13:$F$11483,Timesheet!$A$13:$A$11483,'Início|Fim 1'!E30,Timesheet!$C$13:$C$11483,'Início|Fim 1'!$I$2)</f>
        <v>0</v>
      </c>
      <c r="J30" s="2">
        <f>SUMIFS(Timesheet!$F$13:$F$11483,Timesheet!$A$13:$A$11483,'Início|Fim 1'!E30,Timesheet!$C$13:$C$11483,'Início|Fim 1'!$J$2)</f>
        <v>0</v>
      </c>
      <c r="K30" s="2">
        <f>SUMIFS(Timesheet!$F$13:$F$11483,Timesheet!$A$13:$A$11483,'Início|Fim 1'!E30,Timesheet!$C$13:$C$11483,'Início|Fim 1'!$K$2)</f>
        <v>0</v>
      </c>
      <c r="L30" s="2">
        <f>SUMIFS(Timesheet!$F$13:$F$11483,Timesheet!$A$13:$A$11483,'Início|Fim 1'!E30,Timesheet!$C$13:$C$11483,'Início|Fim 1'!$L$2)</f>
        <v>0</v>
      </c>
      <c r="M30" s="2">
        <f>SUMIFS(Timesheet!$F$13:$F$11483,Timesheet!$A$13:$A$11483,'Início|Fim 1'!E30,Timesheet!$C$13:$C$11483,'Início|Fim 1'!$M$2)</f>
        <v>0</v>
      </c>
      <c r="N30" s="2">
        <f>SUMIFS(Timesheet!$F$13:$F$11483,Timesheet!$A$13:$A$11483,'Início|Fim 1'!E30,Timesheet!$C$13:$C$11483,'Início|Fim 1'!$N$2)</f>
        <v>0</v>
      </c>
      <c r="O30" s="2">
        <f t="shared" si="0"/>
        <v>0</v>
      </c>
    </row>
    <row r="31" spans="1:15" x14ac:dyDescent="0.25">
      <c r="A31" s="1">
        <v>44955</v>
      </c>
      <c r="B31" s="3">
        <f t="array" ref="B31">MIN(IF(A31=Timesheet!$A$13:$A$2615,Timesheet!$D$13:$D$2615))</f>
        <v>0</v>
      </c>
      <c r="C31" s="3">
        <f t="array" ref="C31">MAX(IF(A31=Timesheet!$A$13:$A$2615,Timesheet!$E$13:$E$2615))</f>
        <v>0</v>
      </c>
      <c r="E31" s="1">
        <v>44955</v>
      </c>
      <c r="F31" s="2">
        <f>SUMIFS(Timesheet!$F$13:$F$11483,Timesheet!$A$13:$A$11483,'Início|Fim 1'!E31,Timesheet!$C$13:$C$11483,'Início|Fim 1'!$F$2)</f>
        <v>0</v>
      </c>
      <c r="G31" s="2">
        <f>SUMIFS(Timesheet!$F$13:$F$11483,Timesheet!$A$13:$A$11483,'Início|Fim 1'!E31,Timesheet!$C$13:$C$11483,'Início|Fim 1'!$G$2)</f>
        <v>0</v>
      </c>
      <c r="H31" s="2">
        <f>SUMIFS(Timesheet!$F$13:$F$11483,Timesheet!$A$13:$A$11483,'Início|Fim 1'!E31,Timesheet!$C$13:$C$11483,'Início|Fim 1'!$H$2)</f>
        <v>0</v>
      </c>
      <c r="I31" s="2">
        <f>SUMIFS(Timesheet!$F$13:$F$11483,Timesheet!$A$13:$A$11483,'Início|Fim 1'!E31,Timesheet!$C$13:$C$11483,'Início|Fim 1'!$I$2)</f>
        <v>0</v>
      </c>
      <c r="J31" s="2">
        <f>SUMIFS(Timesheet!$F$13:$F$11483,Timesheet!$A$13:$A$11483,'Início|Fim 1'!E31,Timesheet!$C$13:$C$11483,'Início|Fim 1'!$J$2)</f>
        <v>0</v>
      </c>
      <c r="K31" s="2">
        <f>SUMIFS(Timesheet!$F$13:$F$11483,Timesheet!$A$13:$A$11483,'Início|Fim 1'!E31,Timesheet!$C$13:$C$11483,'Início|Fim 1'!$K$2)</f>
        <v>0</v>
      </c>
      <c r="L31" s="2">
        <f>SUMIFS(Timesheet!$F$13:$F$11483,Timesheet!$A$13:$A$11483,'Início|Fim 1'!E31,Timesheet!$C$13:$C$11483,'Início|Fim 1'!$L$2)</f>
        <v>0</v>
      </c>
      <c r="M31" s="2">
        <f>SUMIFS(Timesheet!$F$13:$F$11483,Timesheet!$A$13:$A$11483,'Início|Fim 1'!E31,Timesheet!$C$13:$C$11483,'Início|Fim 1'!$M$2)</f>
        <v>0</v>
      </c>
      <c r="N31" s="2">
        <f>SUMIFS(Timesheet!$F$13:$F$11483,Timesheet!$A$13:$A$11483,'Início|Fim 1'!E31,Timesheet!$C$13:$C$11483,'Início|Fim 1'!$N$2)</f>
        <v>0</v>
      </c>
      <c r="O31" s="2">
        <f t="shared" si="0"/>
        <v>0</v>
      </c>
    </row>
    <row r="32" spans="1:15" x14ac:dyDescent="0.25">
      <c r="A32" s="1">
        <v>44956</v>
      </c>
      <c r="B32" s="3">
        <f t="array" ref="B32">MIN(IF(A32=Timesheet!$A$13:$A$2615,Timesheet!$D$13:$D$2615))</f>
        <v>0</v>
      </c>
      <c r="C32" s="3">
        <f t="array" ref="C32">MAX(IF(A32=Timesheet!$A$13:$A$2615,Timesheet!$E$13:$E$2615))</f>
        <v>0</v>
      </c>
      <c r="E32" s="1">
        <v>44956</v>
      </c>
      <c r="F32" s="2">
        <f>SUMIFS(Timesheet!$F$13:$F$11483,Timesheet!$A$13:$A$11483,'Início|Fim 1'!E32,Timesheet!$C$13:$C$11483,'Início|Fim 1'!$F$2)</f>
        <v>0</v>
      </c>
      <c r="G32" s="2">
        <f>SUMIFS(Timesheet!$F$13:$F$11483,Timesheet!$A$13:$A$11483,'Início|Fim 1'!E32,Timesheet!$C$13:$C$11483,'Início|Fim 1'!$G$2)</f>
        <v>0</v>
      </c>
      <c r="H32" s="2">
        <f>SUMIFS(Timesheet!$F$13:$F$11483,Timesheet!$A$13:$A$11483,'Início|Fim 1'!E32,Timesheet!$C$13:$C$11483,'Início|Fim 1'!$H$2)</f>
        <v>0</v>
      </c>
      <c r="I32" s="2">
        <f>SUMIFS(Timesheet!$F$13:$F$11483,Timesheet!$A$13:$A$11483,'Início|Fim 1'!E32,Timesheet!$C$13:$C$11483,'Início|Fim 1'!$I$2)</f>
        <v>0</v>
      </c>
      <c r="J32" s="2">
        <f>SUMIFS(Timesheet!$F$13:$F$11483,Timesheet!$A$13:$A$11483,'Início|Fim 1'!E32,Timesheet!$C$13:$C$11483,'Início|Fim 1'!$J$2)</f>
        <v>0</v>
      </c>
      <c r="K32" s="2">
        <f>SUMIFS(Timesheet!$F$13:$F$11483,Timesheet!$A$13:$A$11483,'Início|Fim 1'!E32,Timesheet!$C$13:$C$11483,'Início|Fim 1'!$K$2)</f>
        <v>0</v>
      </c>
      <c r="L32" s="2">
        <f>SUMIFS(Timesheet!$F$13:$F$11483,Timesheet!$A$13:$A$11483,'Início|Fim 1'!E32,Timesheet!$C$13:$C$11483,'Início|Fim 1'!$L$2)</f>
        <v>0</v>
      </c>
      <c r="M32" s="2">
        <f>SUMIFS(Timesheet!$F$13:$F$11483,Timesheet!$A$13:$A$11483,'Início|Fim 1'!E32,Timesheet!$C$13:$C$11483,'Início|Fim 1'!$M$2)</f>
        <v>0</v>
      </c>
      <c r="N32" s="2">
        <f>SUMIFS(Timesheet!$F$13:$F$11483,Timesheet!$A$13:$A$11483,'Início|Fim 1'!E32,Timesheet!$C$13:$C$11483,'Início|Fim 1'!$N$2)</f>
        <v>0</v>
      </c>
      <c r="O32" s="2">
        <f t="shared" si="0"/>
        <v>0</v>
      </c>
    </row>
    <row r="33" spans="1:15" x14ac:dyDescent="0.25">
      <c r="A33" s="1">
        <v>44957</v>
      </c>
      <c r="B33" s="3">
        <f t="array" ref="B33">MIN(IF(A33=Timesheet!$A$13:$A$2615,Timesheet!$D$13:$D$2615))</f>
        <v>0</v>
      </c>
      <c r="C33" s="3">
        <f t="array" ref="C33">MAX(IF(A33=Timesheet!$A$13:$A$2615,Timesheet!$E$13:$E$2615))</f>
        <v>0</v>
      </c>
      <c r="E33" s="1">
        <v>44957</v>
      </c>
      <c r="F33" s="2">
        <f>SUMIFS(Timesheet!$F$13:$F$11483,Timesheet!$A$13:$A$11483,'Início|Fim 1'!E33,Timesheet!$C$13:$C$11483,'Início|Fim 1'!$F$2)</f>
        <v>0</v>
      </c>
      <c r="G33" s="2">
        <f>SUMIFS(Timesheet!$F$13:$F$11483,Timesheet!$A$13:$A$11483,'Início|Fim 1'!E33,Timesheet!$C$13:$C$11483,'Início|Fim 1'!$G$2)</f>
        <v>0</v>
      </c>
      <c r="H33" s="2">
        <f>SUMIFS(Timesheet!$F$13:$F$11483,Timesheet!$A$13:$A$11483,'Início|Fim 1'!E33,Timesheet!$C$13:$C$11483,'Início|Fim 1'!$H$2)</f>
        <v>0</v>
      </c>
      <c r="I33" s="2">
        <f>SUMIFS(Timesheet!$F$13:$F$11483,Timesheet!$A$13:$A$11483,'Início|Fim 1'!E33,Timesheet!$C$13:$C$11483,'Início|Fim 1'!$I$2)</f>
        <v>0</v>
      </c>
      <c r="J33" s="2">
        <f>SUMIFS(Timesheet!$F$13:$F$11483,Timesheet!$A$13:$A$11483,'Início|Fim 1'!E33,Timesheet!$C$13:$C$11483,'Início|Fim 1'!$J$2)</f>
        <v>0</v>
      </c>
      <c r="K33" s="2">
        <f>SUMIFS(Timesheet!$F$13:$F$11483,Timesheet!$A$13:$A$11483,'Início|Fim 1'!E33,Timesheet!$C$13:$C$11483,'Início|Fim 1'!$K$2)</f>
        <v>0</v>
      </c>
      <c r="L33" s="2">
        <f>SUMIFS(Timesheet!$F$13:$F$11483,Timesheet!$A$13:$A$11483,'Início|Fim 1'!E33,Timesheet!$C$13:$C$11483,'Início|Fim 1'!$L$2)</f>
        <v>0</v>
      </c>
      <c r="M33" s="2">
        <f>SUMIFS(Timesheet!$F$13:$F$11483,Timesheet!$A$13:$A$11483,'Início|Fim 1'!E33,Timesheet!$C$13:$C$11483,'Início|Fim 1'!$M$2)</f>
        <v>0</v>
      </c>
      <c r="N33" s="2">
        <f>SUMIFS(Timesheet!$F$13:$F$11483,Timesheet!$A$13:$A$11483,'Início|Fim 1'!E33,Timesheet!$C$13:$C$11483,'Início|Fim 1'!$N$2)</f>
        <v>0</v>
      </c>
      <c r="O33" s="2">
        <f t="shared" si="0"/>
        <v>0</v>
      </c>
    </row>
    <row r="34" spans="1:15" x14ac:dyDescent="0.25">
      <c r="A34" s="1">
        <v>44958</v>
      </c>
      <c r="B34" s="3">
        <f t="array" ref="B34">MIN(IF(A34=Timesheet!$A$13:$A$2615,Timesheet!$D$13:$D$2615))</f>
        <v>0</v>
      </c>
      <c r="C34" s="3">
        <f t="array" ref="C34">MAX(IF(A34=Timesheet!$A$13:$A$2615,Timesheet!$E$13:$E$2615))</f>
        <v>0</v>
      </c>
      <c r="E34" s="1">
        <v>44958</v>
      </c>
      <c r="F34" s="2">
        <f>SUMIFS(Timesheet!$F$13:$F$11483,Timesheet!$A$13:$A$11483,'Início|Fim 1'!E34,Timesheet!$C$13:$C$11483,'Início|Fim 1'!$F$2)</f>
        <v>0</v>
      </c>
      <c r="G34" s="2">
        <f>SUMIFS(Timesheet!$F$13:$F$11483,Timesheet!$A$13:$A$11483,'Início|Fim 1'!E34,Timesheet!$C$13:$C$11483,'Início|Fim 1'!$G$2)</f>
        <v>0</v>
      </c>
      <c r="H34" s="2">
        <f>SUMIFS(Timesheet!$F$13:$F$11483,Timesheet!$A$13:$A$11483,'Início|Fim 1'!E34,Timesheet!$C$13:$C$11483,'Início|Fim 1'!$H$2)</f>
        <v>0</v>
      </c>
      <c r="I34" s="2">
        <f>SUMIFS(Timesheet!$F$13:$F$11483,Timesheet!$A$13:$A$11483,'Início|Fim 1'!E34,Timesheet!$C$13:$C$11483,'Início|Fim 1'!$I$2)</f>
        <v>0</v>
      </c>
      <c r="J34" s="2">
        <f>SUMIFS(Timesheet!$F$13:$F$11483,Timesheet!$A$13:$A$11483,'Início|Fim 1'!E34,Timesheet!$C$13:$C$11483,'Início|Fim 1'!$J$2)</f>
        <v>0</v>
      </c>
      <c r="K34" s="2">
        <f>SUMIFS(Timesheet!$F$13:$F$11483,Timesheet!$A$13:$A$11483,'Início|Fim 1'!E34,Timesheet!$C$13:$C$11483,'Início|Fim 1'!$K$2)</f>
        <v>0</v>
      </c>
      <c r="L34" s="2">
        <f>SUMIFS(Timesheet!$F$13:$F$11483,Timesheet!$A$13:$A$11483,'Início|Fim 1'!E34,Timesheet!$C$13:$C$11483,'Início|Fim 1'!$L$2)</f>
        <v>0</v>
      </c>
      <c r="M34" s="2">
        <f>SUMIFS(Timesheet!$F$13:$F$11483,Timesheet!$A$13:$A$11483,'Início|Fim 1'!E34,Timesheet!$C$13:$C$11483,'Início|Fim 1'!$M$2)</f>
        <v>0</v>
      </c>
      <c r="N34" s="2">
        <f>SUMIFS(Timesheet!$F$13:$F$11483,Timesheet!$A$13:$A$11483,'Início|Fim 1'!E34,Timesheet!$C$13:$C$11483,'Início|Fim 1'!$N$2)</f>
        <v>0</v>
      </c>
      <c r="O34" s="2">
        <f t="shared" si="0"/>
        <v>0</v>
      </c>
    </row>
    <row r="35" spans="1:15" x14ac:dyDescent="0.25">
      <c r="A35" s="1">
        <v>44959</v>
      </c>
      <c r="B35" s="3">
        <f t="array" ref="B35">MIN(IF(A35=Timesheet!$A$13:$A$2615,Timesheet!$D$13:$D$2615))</f>
        <v>0</v>
      </c>
      <c r="C35" s="3">
        <f t="array" ref="C35">MAX(IF(A35=Timesheet!$A$13:$A$2615,Timesheet!$E$13:$E$2615))</f>
        <v>0</v>
      </c>
      <c r="E35" s="1">
        <v>44959</v>
      </c>
      <c r="F35" s="2">
        <f>SUMIFS(Timesheet!$F$13:$F$11483,Timesheet!$A$13:$A$11483,'Início|Fim 1'!E35,Timesheet!$C$13:$C$11483,'Início|Fim 1'!$F$2)</f>
        <v>0</v>
      </c>
      <c r="G35" s="2">
        <f>SUMIFS(Timesheet!$F$13:$F$11483,Timesheet!$A$13:$A$11483,'Início|Fim 1'!E35,Timesheet!$C$13:$C$11483,'Início|Fim 1'!$G$2)</f>
        <v>0</v>
      </c>
      <c r="H35" s="2">
        <f>SUMIFS(Timesheet!$F$13:$F$11483,Timesheet!$A$13:$A$11483,'Início|Fim 1'!E35,Timesheet!$C$13:$C$11483,'Início|Fim 1'!$H$2)</f>
        <v>0</v>
      </c>
      <c r="I35" s="2">
        <f>SUMIFS(Timesheet!$F$13:$F$11483,Timesheet!$A$13:$A$11483,'Início|Fim 1'!E35,Timesheet!$C$13:$C$11483,'Início|Fim 1'!$I$2)</f>
        <v>0</v>
      </c>
      <c r="J35" s="2">
        <f>SUMIFS(Timesheet!$F$13:$F$11483,Timesheet!$A$13:$A$11483,'Início|Fim 1'!E35,Timesheet!$C$13:$C$11483,'Início|Fim 1'!$J$2)</f>
        <v>0</v>
      </c>
      <c r="K35" s="2">
        <f>SUMIFS(Timesheet!$F$13:$F$11483,Timesheet!$A$13:$A$11483,'Início|Fim 1'!E35,Timesheet!$C$13:$C$11483,'Início|Fim 1'!$K$2)</f>
        <v>0</v>
      </c>
      <c r="L35" s="2">
        <f>SUMIFS(Timesheet!$F$13:$F$11483,Timesheet!$A$13:$A$11483,'Início|Fim 1'!E35,Timesheet!$C$13:$C$11483,'Início|Fim 1'!$L$2)</f>
        <v>0</v>
      </c>
      <c r="M35" s="2">
        <f>SUMIFS(Timesheet!$F$13:$F$11483,Timesheet!$A$13:$A$11483,'Início|Fim 1'!E35,Timesheet!$C$13:$C$11483,'Início|Fim 1'!$M$2)</f>
        <v>0</v>
      </c>
      <c r="N35" s="2">
        <f>SUMIFS(Timesheet!$F$13:$F$11483,Timesheet!$A$13:$A$11483,'Início|Fim 1'!E35,Timesheet!$C$13:$C$11483,'Início|Fim 1'!$N$2)</f>
        <v>0</v>
      </c>
      <c r="O35" s="2">
        <f t="shared" si="0"/>
        <v>0</v>
      </c>
    </row>
    <row r="36" spans="1:15" x14ac:dyDescent="0.25">
      <c r="A36" s="1">
        <v>44960</v>
      </c>
      <c r="B36" s="3">
        <f t="array" ref="B36">MIN(IF(A36=Timesheet!$A$13:$A$2615,Timesheet!$D$13:$D$2615))</f>
        <v>0</v>
      </c>
      <c r="C36" s="3">
        <f t="array" ref="C36">MAX(IF(A36=Timesheet!$A$13:$A$2615,Timesheet!$E$13:$E$2615))</f>
        <v>0</v>
      </c>
      <c r="E36" s="1">
        <v>44960</v>
      </c>
      <c r="F36" s="2">
        <f>SUMIFS(Timesheet!$F$13:$F$11483,Timesheet!$A$13:$A$11483,'Início|Fim 1'!E36,Timesheet!$C$13:$C$11483,'Início|Fim 1'!$F$2)</f>
        <v>0</v>
      </c>
      <c r="G36" s="2">
        <f>SUMIFS(Timesheet!$F$13:$F$11483,Timesheet!$A$13:$A$11483,'Início|Fim 1'!E36,Timesheet!$C$13:$C$11483,'Início|Fim 1'!$G$2)</f>
        <v>0</v>
      </c>
      <c r="H36" s="2">
        <f>SUMIFS(Timesheet!$F$13:$F$11483,Timesheet!$A$13:$A$11483,'Início|Fim 1'!E36,Timesheet!$C$13:$C$11483,'Início|Fim 1'!$H$2)</f>
        <v>0</v>
      </c>
      <c r="I36" s="2">
        <f>SUMIFS(Timesheet!$F$13:$F$11483,Timesheet!$A$13:$A$11483,'Início|Fim 1'!E36,Timesheet!$C$13:$C$11483,'Início|Fim 1'!$I$2)</f>
        <v>0</v>
      </c>
      <c r="J36" s="2">
        <f>SUMIFS(Timesheet!$F$13:$F$11483,Timesheet!$A$13:$A$11483,'Início|Fim 1'!E36,Timesheet!$C$13:$C$11483,'Início|Fim 1'!$J$2)</f>
        <v>0</v>
      </c>
      <c r="K36" s="2">
        <f>SUMIFS(Timesheet!$F$13:$F$11483,Timesheet!$A$13:$A$11483,'Início|Fim 1'!E36,Timesheet!$C$13:$C$11483,'Início|Fim 1'!$K$2)</f>
        <v>0</v>
      </c>
      <c r="L36" s="2">
        <f>SUMIFS(Timesheet!$F$13:$F$11483,Timesheet!$A$13:$A$11483,'Início|Fim 1'!E36,Timesheet!$C$13:$C$11483,'Início|Fim 1'!$L$2)</f>
        <v>0</v>
      </c>
      <c r="M36" s="2">
        <f>SUMIFS(Timesheet!$F$13:$F$11483,Timesheet!$A$13:$A$11483,'Início|Fim 1'!E36,Timesheet!$C$13:$C$11483,'Início|Fim 1'!$M$2)</f>
        <v>0</v>
      </c>
      <c r="N36" s="2">
        <f>SUMIFS(Timesheet!$F$13:$F$11483,Timesheet!$A$13:$A$11483,'Início|Fim 1'!E36,Timesheet!$C$13:$C$11483,'Início|Fim 1'!$N$2)</f>
        <v>0</v>
      </c>
      <c r="O36" s="2">
        <f t="shared" si="0"/>
        <v>0</v>
      </c>
    </row>
    <row r="37" spans="1:15" x14ac:dyDescent="0.25">
      <c r="A37" s="1">
        <v>44961</v>
      </c>
      <c r="B37" s="3">
        <f t="array" ref="B37">MIN(IF(A37=Timesheet!$A$13:$A$2615,Timesheet!$D$13:$D$2615))</f>
        <v>0</v>
      </c>
      <c r="C37" s="3">
        <f t="array" ref="C37">MAX(IF(A37=Timesheet!$A$13:$A$2615,Timesheet!$E$13:$E$2615))</f>
        <v>0</v>
      </c>
      <c r="E37" s="1">
        <v>44961</v>
      </c>
      <c r="F37" s="2">
        <f>SUMIFS(Timesheet!$F$13:$F$11483,Timesheet!$A$13:$A$11483,'Início|Fim 1'!E37,Timesheet!$C$13:$C$11483,'Início|Fim 1'!$F$2)</f>
        <v>0</v>
      </c>
      <c r="G37" s="2">
        <f>SUMIFS(Timesheet!$F$13:$F$11483,Timesheet!$A$13:$A$11483,'Início|Fim 1'!E37,Timesheet!$C$13:$C$11483,'Início|Fim 1'!$G$2)</f>
        <v>0</v>
      </c>
      <c r="H37" s="2">
        <f>SUMIFS(Timesheet!$F$13:$F$11483,Timesheet!$A$13:$A$11483,'Início|Fim 1'!E37,Timesheet!$C$13:$C$11483,'Início|Fim 1'!$H$2)</f>
        <v>0</v>
      </c>
      <c r="I37" s="2">
        <f>SUMIFS(Timesheet!$F$13:$F$11483,Timesheet!$A$13:$A$11483,'Início|Fim 1'!E37,Timesheet!$C$13:$C$11483,'Início|Fim 1'!$I$2)</f>
        <v>0</v>
      </c>
      <c r="J37" s="2">
        <f>SUMIFS(Timesheet!$F$13:$F$11483,Timesheet!$A$13:$A$11483,'Início|Fim 1'!E37,Timesheet!$C$13:$C$11483,'Início|Fim 1'!$J$2)</f>
        <v>0</v>
      </c>
      <c r="K37" s="2">
        <f>SUMIFS(Timesheet!$F$13:$F$11483,Timesheet!$A$13:$A$11483,'Início|Fim 1'!E37,Timesheet!$C$13:$C$11483,'Início|Fim 1'!$K$2)</f>
        <v>0</v>
      </c>
      <c r="L37" s="2">
        <f>SUMIFS(Timesheet!$F$13:$F$11483,Timesheet!$A$13:$A$11483,'Início|Fim 1'!E37,Timesheet!$C$13:$C$11483,'Início|Fim 1'!$L$2)</f>
        <v>0</v>
      </c>
      <c r="M37" s="2">
        <f>SUMIFS(Timesheet!$F$13:$F$11483,Timesheet!$A$13:$A$11483,'Início|Fim 1'!E37,Timesheet!$C$13:$C$11483,'Início|Fim 1'!$M$2)</f>
        <v>0</v>
      </c>
      <c r="N37" s="2">
        <f>SUMIFS(Timesheet!$F$13:$F$11483,Timesheet!$A$13:$A$11483,'Início|Fim 1'!E37,Timesheet!$C$13:$C$11483,'Início|Fim 1'!$N$2)</f>
        <v>0</v>
      </c>
      <c r="O37" s="2">
        <f t="shared" si="0"/>
        <v>0</v>
      </c>
    </row>
    <row r="38" spans="1:15" x14ac:dyDescent="0.25">
      <c r="A38" s="1">
        <v>44962</v>
      </c>
      <c r="B38" s="3">
        <f t="array" ref="B38">MIN(IF(A38=Timesheet!$A$13:$A$2615,Timesheet!$D$13:$D$2615))</f>
        <v>0</v>
      </c>
      <c r="C38" s="3">
        <f t="array" ref="C38">MAX(IF(A38=Timesheet!$A$13:$A$2615,Timesheet!$E$13:$E$2615))</f>
        <v>0</v>
      </c>
      <c r="E38" s="1">
        <v>44962</v>
      </c>
      <c r="F38" s="2">
        <f>SUMIFS(Timesheet!$F$13:$F$11483,Timesheet!$A$13:$A$11483,'Início|Fim 1'!E38,Timesheet!$C$13:$C$11483,'Início|Fim 1'!$F$2)</f>
        <v>0</v>
      </c>
      <c r="G38" s="2">
        <f>SUMIFS(Timesheet!$F$13:$F$11483,Timesheet!$A$13:$A$11483,'Início|Fim 1'!E38,Timesheet!$C$13:$C$11483,'Início|Fim 1'!$G$2)</f>
        <v>0</v>
      </c>
      <c r="H38" s="2">
        <f>SUMIFS(Timesheet!$F$13:$F$11483,Timesheet!$A$13:$A$11483,'Início|Fim 1'!E38,Timesheet!$C$13:$C$11483,'Início|Fim 1'!$H$2)</f>
        <v>0</v>
      </c>
      <c r="I38" s="2">
        <f>SUMIFS(Timesheet!$F$13:$F$11483,Timesheet!$A$13:$A$11483,'Início|Fim 1'!E38,Timesheet!$C$13:$C$11483,'Início|Fim 1'!$I$2)</f>
        <v>0</v>
      </c>
      <c r="J38" s="2">
        <f>SUMIFS(Timesheet!$F$13:$F$11483,Timesheet!$A$13:$A$11483,'Início|Fim 1'!E38,Timesheet!$C$13:$C$11483,'Início|Fim 1'!$J$2)</f>
        <v>0</v>
      </c>
      <c r="K38" s="2">
        <f>SUMIFS(Timesheet!$F$13:$F$11483,Timesheet!$A$13:$A$11483,'Início|Fim 1'!E38,Timesheet!$C$13:$C$11483,'Início|Fim 1'!$K$2)</f>
        <v>0</v>
      </c>
      <c r="L38" s="2">
        <f>SUMIFS(Timesheet!$F$13:$F$11483,Timesheet!$A$13:$A$11483,'Início|Fim 1'!E38,Timesheet!$C$13:$C$11483,'Início|Fim 1'!$L$2)</f>
        <v>0</v>
      </c>
      <c r="M38" s="2">
        <f>SUMIFS(Timesheet!$F$13:$F$11483,Timesheet!$A$13:$A$11483,'Início|Fim 1'!E38,Timesheet!$C$13:$C$11483,'Início|Fim 1'!$M$2)</f>
        <v>0</v>
      </c>
      <c r="N38" s="2">
        <f>SUMIFS(Timesheet!$F$13:$F$11483,Timesheet!$A$13:$A$11483,'Início|Fim 1'!E38,Timesheet!$C$13:$C$11483,'Início|Fim 1'!$N$2)</f>
        <v>0</v>
      </c>
      <c r="O38" s="2">
        <f t="shared" si="0"/>
        <v>0</v>
      </c>
    </row>
    <row r="39" spans="1:15" x14ac:dyDescent="0.25">
      <c r="A39" s="1">
        <v>44963</v>
      </c>
      <c r="B39" s="3">
        <f t="array" ref="B39">MIN(IF(A39=Timesheet!$A$13:$A$2615,Timesheet!$D$13:$D$2615))</f>
        <v>0</v>
      </c>
      <c r="C39" s="3">
        <f t="array" ref="C39">MAX(IF(A39=Timesheet!$A$13:$A$2615,Timesheet!$E$13:$E$2615))</f>
        <v>0</v>
      </c>
      <c r="E39" s="1">
        <v>44963</v>
      </c>
      <c r="F39" s="2">
        <f>SUMIFS(Timesheet!$F$13:$F$11483,Timesheet!$A$13:$A$11483,'Início|Fim 1'!E39,Timesheet!$C$13:$C$11483,'Início|Fim 1'!$F$2)</f>
        <v>0</v>
      </c>
      <c r="G39" s="2">
        <f>SUMIFS(Timesheet!$F$13:$F$11483,Timesheet!$A$13:$A$11483,'Início|Fim 1'!E39,Timesheet!$C$13:$C$11483,'Início|Fim 1'!$G$2)</f>
        <v>0</v>
      </c>
      <c r="H39" s="2">
        <f>SUMIFS(Timesheet!$F$13:$F$11483,Timesheet!$A$13:$A$11483,'Início|Fim 1'!E39,Timesheet!$C$13:$C$11483,'Início|Fim 1'!$H$2)</f>
        <v>0</v>
      </c>
      <c r="I39" s="2">
        <f>SUMIFS(Timesheet!$F$13:$F$11483,Timesheet!$A$13:$A$11483,'Início|Fim 1'!E39,Timesheet!$C$13:$C$11483,'Início|Fim 1'!$I$2)</f>
        <v>0</v>
      </c>
      <c r="J39" s="2">
        <f>SUMIFS(Timesheet!$F$13:$F$11483,Timesheet!$A$13:$A$11483,'Início|Fim 1'!E39,Timesheet!$C$13:$C$11483,'Início|Fim 1'!$J$2)</f>
        <v>0</v>
      </c>
      <c r="K39" s="2">
        <f>SUMIFS(Timesheet!$F$13:$F$11483,Timesheet!$A$13:$A$11483,'Início|Fim 1'!E39,Timesheet!$C$13:$C$11483,'Início|Fim 1'!$K$2)</f>
        <v>0</v>
      </c>
      <c r="L39" s="2">
        <f>SUMIFS(Timesheet!$F$13:$F$11483,Timesheet!$A$13:$A$11483,'Início|Fim 1'!E39,Timesheet!$C$13:$C$11483,'Início|Fim 1'!$L$2)</f>
        <v>0</v>
      </c>
      <c r="M39" s="2">
        <f>SUMIFS(Timesheet!$F$13:$F$11483,Timesheet!$A$13:$A$11483,'Início|Fim 1'!E39,Timesheet!$C$13:$C$11483,'Início|Fim 1'!$M$2)</f>
        <v>0</v>
      </c>
      <c r="N39" s="2">
        <f>SUMIFS(Timesheet!$F$13:$F$11483,Timesheet!$A$13:$A$11483,'Início|Fim 1'!E39,Timesheet!$C$13:$C$11483,'Início|Fim 1'!$N$2)</f>
        <v>0</v>
      </c>
      <c r="O39" s="2">
        <f t="shared" si="0"/>
        <v>0</v>
      </c>
    </row>
    <row r="40" spans="1:15" x14ac:dyDescent="0.25">
      <c r="A40" s="1">
        <v>44964</v>
      </c>
      <c r="B40" s="3">
        <f t="array" ref="B40">MIN(IF(A40=Timesheet!$A$13:$A$2615,Timesheet!$D$13:$D$2615))</f>
        <v>0</v>
      </c>
      <c r="C40" s="3">
        <f t="array" ref="C40">MAX(IF(A40=Timesheet!$A$13:$A$2615,Timesheet!$E$13:$E$2615))</f>
        <v>0</v>
      </c>
      <c r="E40" s="1">
        <v>44964</v>
      </c>
      <c r="F40" s="2">
        <f>SUMIFS(Timesheet!$F$13:$F$11483,Timesheet!$A$13:$A$11483,'Início|Fim 1'!E40,Timesheet!$C$13:$C$11483,'Início|Fim 1'!$F$2)</f>
        <v>0</v>
      </c>
      <c r="G40" s="2">
        <f>SUMIFS(Timesheet!$F$13:$F$11483,Timesheet!$A$13:$A$11483,'Início|Fim 1'!E40,Timesheet!$C$13:$C$11483,'Início|Fim 1'!$G$2)</f>
        <v>0</v>
      </c>
      <c r="H40" s="2">
        <f>SUMIFS(Timesheet!$F$13:$F$11483,Timesheet!$A$13:$A$11483,'Início|Fim 1'!E40,Timesheet!$C$13:$C$11483,'Início|Fim 1'!$H$2)</f>
        <v>0</v>
      </c>
      <c r="I40" s="2">
        <f>SUMIFS(Timesheet!$F$13:$F$11483,Timesheet!$A$13:$A$11483,'Início|Fim 1'!E40,Timesheet!$C$13:$C$11483,'Início|Fim 1'!$I$2)</f>
        <v>0</v>
      </c>
      <c r="J40" s="2">
        <f>SUMIFS(Timesheet!$F$13:$F$11483,Timesheet!$A$13:$A$11483,'Início|Fim 1'!E40,Timesheet!$C$13:$C$11483,'Início|Fim 1'!$J$2)</f>
        <v>0</v>
      </c>
      <c r="K40" s="2">
        <f>SUMIFS(Timesheet!$F$13:$F$11483,Timesheet!$A$13:$A$11483,'Início|Fim 1'!E40,Timesheet!$C$13:$C$11483,'Início|Fim 1'!$K$2)</f>
        <v>0</v>
      </c>
      <c r="L40" s="2">
        <f>SUMIFS(Timesheet!$F$13:$F$11483,Timesheet!$A$13:$A$11483,'Início|Fim 1'!E40,Timesheet!$C$13:$C$11483,'Início|Fim 1'!$L$2)</f>
        <v>0</v>
      </c>
      <c r="M40" s="2">
        <f>SUMIFS(Timesheet!$F$13:$F$11483,Timesheet!$A$13:$A$11483,'Início|Fim 1'!E40,Timesheet!$C$13:$C$11483,'Início|Fim 1'!$M$2)</f>
        <v>0</v>
      </c>
      <c r="N40" s="2">
        <f>SUMIFS(Timesheet!$F$13:$F$11483,Timesheet!$A$13:$A$11483,'Início|Fim 1'!E40,Timesheet!$C$13:$C$11483,'Início|Fim 1'!$N$2)</f>
        <v>0</v>
      </c>
      <c r="O40" s="2">
        <f t="shared" si="0"/>
        <v>0</v>
      </c>
    </row>
    <row r="41" spans="1:15" x14ac:dyDescent="0.25">
      <c r="A41" s="1">
        <v>44965</v>
      </c>
      <c r="B41" s="3">
        <f t="array" ref="B41">MIN(IF(A41=Timesheet!$A$13:$A$2615,Timesheet!$D$13:$D$2615))</f>
        <v>0</v>
      </c>
      <c r="C41" s="3">
        <f t="array" ref="C41">MAX(IF(A41=Timesheet!$A$13:$A$2615,Timesheet!$E$13:$E$2615))</f>
        <v>0</v>
      </c>
      <c r="E41" s="1">
        <v>44965</v>
      </c>
      <c r="F41" s="2">
        <f>SUMIFS(Timesheet!$F$13:$F$11483,Timesheet!$A$13:$A$11483,'Início|Fim 1'!E41,Timesheet!$C$13:$C$11483,'Início|Fim 1'!$F$2)</f>
        <v>0</v>
      </c>
      <c r="G41" s="2">
        <f>SUMIFS(Timesheet!$F$13:$F$11483,Timesheet!$A$13:$A$11483,'Início|Fim 1'!E41,Timesheet!$C$13:$C$11483,'Início|Fim 1'!$G$2)</f>
        <v>0</v>
      </c>
      <c r="H41" s="2">
        <f>SUMIFS(Timesheet!$F$13:$F$11483,Timesheet!$A$13:$A$11483,'Início|Fim 1'!E41,Timesheet!$C$13:$C$11483,'Início|Fim 1'!$H$2)</f>
        <v>0</v>
      </c>
      <c r="I41" s="2">
        <f>SUMIFS(Timesheet!$F$13:$F$11483,Timesheet!$A$13:$A$11483,'Início|Fim 1'!E41,Timesheet!$C$13:$C$11483,'Início|Fim 1'!$I$2)</f>
        <v>0</v>
      </c>
      <c r="J41" s="2">
        <f>SUMIFS(Timesheet!$F$13:$F$11483,Timesheet!$A$13:$A$11483,'Início|Fim 1'!E41,Timesheet!$C$13:$C$11483,'Início|Fim 1'!$J$2)</f>
        <v>0</v>
      </c>
      <c r="K41" s="2">
        <f>SUMIFS(Timesheet!$F$13:$F$11483,Timesheet!$A$13:$A$11483,'Início|Fim 1'!E41,Timesheet!$C$13:$C$11483,'Início|Fim 1'!$K$2)</f>
        <v>0</v>
      </c>
      <c r="L41" s="2">
        <f>SUMIFS(Timesheet!$F$13:$F$11483,Timesheet!$A$13:$A$11483,'Início|Fim 1'!E41,Timesheet!$C$13:$C$11483,'Início|Fim 1'!$L$2)</f>
        <v>0</v>
      </c>
      <c r="M41" s="2">
        <f>SUMIFS(Timesheet!$F$13:$F$11483,Timesheet!$A$13:$A$11483,'Início|Fim 1'!E41,Timesheet!$C$13:$C$11483,'Início|Fim 1'!$M$2)</f>
        <v>0</v>
      </c>
      <c r="N41" s="2">
        <f>SUMIFS(Timesheet!$F$13:$F$11483,Timesheet!$A$13:$A$11483,'Início|Fim 1'!E41,Timesheet!$C$13:$C$11483,'Início|Fim 1'!$N$2)</f>
        <v>0</v>
      </c>
      <c r="O41" s="2">
        <f t="shared" si="0"/>
        <v>0</v>
      </c>
    </row>
    <row r="42" spans="1:15" x14ac:dyDescent="0.25">
      <c r="A42" s="1">
        <v>44966</v>
      </c>
      <c r="B42" s="3">
        <f t="array" ref="B42">MIN(IF(A42=Timesheet!$A$13:$A$2615,Timesheet!$D$13:$D$2615))</f>
        <v>0</v>
      </c>
      <c r="C42" s="3">
        <f t="array" ref="C42">MAX(IF(A42=Timesheet!$A$13:$A$2615,Timesheet!$E$13:$E$2615))</f>
        <v>0</v>
      </c>
      <c r="E42" s="1">
        <v>44966</v>
      </c>
      <c r="F42" s="2">
        <f>SUMIFS(Timesheet!$F$13:$F$11483,Timesheet!$A$13:$A$11483,'Início|Fim 1'!E42,Timesheet!$C$13:$C$11483,'Início|Fim 1'!$F$2)</f>
        <v>0</v>
      </c>
      <c r="G42" s="2">
        <f>SUMIFS(Timesheet!$F$13:$F$11483,Timesheet!$A$13:$A$11483,'Início|Fim 1'!E42,Timesheet!$C$13:$C$11483,'Início|Fim 1'!$G$2)</f>
        <v>0</v>
      </c>
      <c r="H42" s="2">
        <f>SUMIFS(Timesheet!$F$13:$F$11483,Timesheet!$A$13:$A$11483,'Início|Fim 1'!E42,Timesheet!$C$13:$C$11483,'Início|Fim 1'!$H$2)</f>
        <v>0</v>
      </c>
      <c r="I42" s="2">
        <f>SUMIFS(Timesheet!$F$13:$F$11483,Timesheet!$A$13:$A$11483,'Início|Fim 1'!E42,Timesheet!$C$13:$C$11483,'Início|Fim 1'!$I$2)</f>
        <v>0</v>
      </c>
      <c r="J42" s="2">
        <f>SUMIFS(Timesheet!$F$13:$F$11483,Timesheet!$A$13:$A$11483,'Início|Fim 1'!E42,Timesheet!$C$13:$C$11483,'Início|Fim 1'!$J$2)</f>
        <v>0</v>
      </c>
      <c r="K42" s="2">
        <f>SUMIFS(Timesheet!$F$13:$F$11483,Timesheet!$A$13:$A$11483,'Início|Fim 1'!E42,Timesheet!$C$13:$C$11483,'Início|Fim 1'!$K$2)</f>
        <v>0</v>
      </c>
      <c r="L42" s="2">
        <f>SUMIFS(Timesheet!$F$13:$F$11483,Timesheet!$A$13:$A$11483,'Início|Fim 1'!E42,Timesheet!$C$13:$C$11483,'Início|Fim 1'!$L$2)</f>
        <v>0</v>
      </c>
      <c r="M42" s="2">
        <f>SUMIFS(Timesheet!$F$13:$F$11483,Timesheet!$A$13:$A$11483,'Início|Fim 1'!E42,Timesheet!$C$13:$C$11483,'Início|Fim 1'!$M$2)</f>
        <v>0</v>
      </c>
      <c r="N42" s="2">
        <f>SUMIFS(Timesheet!$F$13:$F$11483,Timesheet!$A$13:$A$11483,'Início|Fim 1'!E42,Timesheet!$C$13:$C$11483,'Início|Fim 1'!$N$2)</f>
        <v>0</v>
      </c>
      <c r="O42" s="2">
        <f t="shared" si="0"/>
        <v>0</v>
      </c>
    </row>
    <row r="43" spans="1:15" x14ac:dyDescent="0.25">
      <c r="A43" s="1">
        <v>44967</v>
      </c>
      <c r="B43" s="3">
        <f t="array" ref="B43">MIN(IF(A43=Timesheet!$A$13:$A$2615,Timesheet!$D$13:$D$2615))</f>
        <v>0</v>
      </c>
      <c r="C43" s="3">
        <f t="array" ref="C43">MAX(IF(A43=Timesheet!$A$13:$A$2615,Timesheet!$E$13:$E$2615))</f>
        <v>0</v>
      </c>
      <c r="E43" s="1">
        <v>44967</v>
      </c>
      <c r="F43" s="2">
        <f>SUMIFS(Timesheet!$F$13:$F$11483,Timesheet!$A$13:$A$11483,'Início|Fim 1'!E43,Timesheet!$C$13:$C$11483,'Início|Fim 1'!$F$2)</f>
        <v>0</v>
      </c>
      <c r="G43" s="2">
        <f>SUMIFS(Timesheet!$F$13:$F$11483,Timesheet!$A$13:$A$11483,'Início|Fim 1'!E43,Timesheet!$C$13:$C$11483,'Início|Fim 1'!$G$2)</f>
        <v>0</v>
      </c>
      <c r="H43" s="2">
        <f>SUMIFS(Timesheet!$F$13:$F$11483,Timesheet!$A$13:$A$11483,'Início|Fim 1'!E43,Timesheet!$C$13:$C$11483,'Início|Fim 1'!$H$2)</f>
        <v>0</v>
      </c>
      <c r="I43" s="2">
        <f>SUMIFS(Timesheet!$F$13:$F$11483,Timesheet!$A$13:$A$11483,'Início|Fim 1'!E43,Timesheet!$C$13:$C$11483,'Início|Fim 1'!$I$2)</f>
        <v>0</v>
      </c>
      <c r="J43" s="2">
        <f>SUMIFS(Timesheet!$F$13:$F$11483,Timesheet!$A$13:$A$11483,'Início|Fim 1'!E43,Timesheet!$C$13:$C$11483,'Início|Fim 1'!$J$2)</f>
        <v>0</v>
      </c>
      <c r="K43" s="2">
        <f>SUMIFS(Timesheet!$F$13:$F$11483,Timesheet!$A$13:$A$11483,'Início|Fim 1'!E43,Timesheet!$C$13:$C$11483,'Início|Fim 1'!$K$2)</f>
        <v>0</v>
      </c>
      <c r="L43" s="2">
        <f>SUMIFS(Timesheet!$F$13:$F$11483,Timesheet!$A$13:$A$11483,'Início|Fim 1'!E43,Timesheet!$C$13:$C$11483,'Início|Fim 1'!$L$2)</f>
        <v>0</v>
      </c>
      <c r="M43" s="2">
        <f>SUMIFS(Timesheet!$F$13:$F$11483,Timesheet!$A$13:$A$11483,'Início|Fim 1'!E43,Timesheet!$C$13:$C$11483,'Início|Fim 1'!$M$2)</f>
        <v>0</v>
      </c>
      <c r="N43" s="2">
        <f>SUMIFS(Timesheet!$F$13:$F$11483,Timesheet!$A$13:$A$11483,'Início|Fim 1'!E43,Timesheet!$C$13:$C$11483,'Início|Fim 1'!$N$2)</f>
        <v>0</v>
      </c>
      <c r="O43" s="2">
        <f t="shared" si="0"/>
        <v>0</v>
      </c>
    </row>
    <row r="44" spans="1:15" x14ac:dyDescent="0.25">
      <c r="A44" s="1">
        <v>44968</v>
      </c>
      <c r="B44" s="3">
        <f t="array" ref="B44">MIN(IF(A44=Timesheet!$A$13:$A$2615,Timesheet!$D$13:$D$2615))</f>
        <v>0</v>
      </c>
      <c r="C44" s="3">
        <f t="array" ref="C44">MAX(IF(A44=Timesheet!$A$13:$A$2615,Timesheet!$E$13:$E$2615))</f>
        <v>0</v>
      </c>
      <c r="E44" s="1">
        <v>44968</v>
      </c>
      <c r="F44" s="2">
        <f>SUMIFS(Timesheet!$F$13:$F$11483,Timesheet!$A$13:$A$11483,'Início|Fim 1'!E44,Timesheet!$C$13:$C$11483,'Início|Fim 1'!$F$2)</f>
        <v>0</v>
      </c>
      <c r="G44" s="2">
        <f>SUMIFS(Timesheet!$F$13:$F$11483,Timesheet!$A$13:$A$11483,'Início|Fim 1'!E44,Timesheet!$C$13:$C$11483,'Início|Fim 1'!$G$2)</f>
        <v>0</v>
      </c>
      <c r="H44" s="2">
        <f>SUMIFS(Timesheet!$F$13:$F$11483,Timesheet!$A$13:$A$11483,'Início|Fim 1'!E44,Timesheet!$C$13:$C$11483,'Início|Fim 1'!$H$2)</f>
        <v>0</v>
      </c>
      <c r="I44" s="2">
        <f>SUMIFS(Timesheet!$F$13:$F$11483,Timesheet!$A$13:$A$11483,'Início|Fim 1'!E44,Timesheet!$C$13:$C$11483,'Início|Fim 1'!$I$2)</f>
        <v>0</v>
      </c>
      <c r="J44" s="2">
        <f>SUMIFS(Timesheet!$F$13:$F$11483,Timesheet!$A$13:$A$11483,'Início|Fim 1'!E44,Timesheet!$C$13:$C$11483,'Início|Fim 1'!$J$2)</f>
        <v>0</v>
      </c>
      <c r="K44" s="2">
        <f>SUMIFS(Timesheet!$F$13:$F$11483,Timesheet!$A$13:$A$11483,'Início|Fim 1'!E44,Timesheet!$C$13:$C$11483,'Início|Fim 1'!$K$2)</f>
        <v>0</v>
      </c>
      <c r="L44" s="2">
        <f>SUMIFS(Timesheet!$F$13:$F$11483,Timesheet!$A$13:$A$11483,'Início|Fim 1'!E44,Timesheet!$C$13:$C$11483,'Início|Fim 1'!$L$2)</f>
        <v>0</v>
      </c>
      <c r="M44" s="2">
        <f>SUMIFS(Timesheet!$F$13:$F$11483,Timesheet!$A$13:$A$11483,'Início|Fim 1'!E44,Timesheet!$C$13:$C$11483,'Início|Fim 1'!$M$2)</f>
        <v>0</v>
      </c>
      <c r="N44" s="2">
        <f>SUMIFS(Timesheet!$F$13:$F$11483,Timesheet!$A$13:$A$11483,'Início|Fim 1'!E44,Timesheet!$C$13:$C$11483,'Início|Fim 1'!$N$2)</f>
        <v>0</v>
      </c>
      <c r="O44" s="2">
        <f t="shared" si="0"/>
        <v>0</v>
      </c>
    </row>
    <row r="45" spans="1:15" x14ac:dyDescent="0.25">
      <c r="A45" s="1">
        <v>44969</v>
      </c>
      <c r="B45" s="3">
        <f t="array" ref="B45">MIN(IF(A45=Timesheet!$A$13:$A$2615,Timesheet!$D$13:$D$2615))</f>
        <v>0</v>
      </c>
      <c r="C45" s="3">
        <f t="array" ref="C45">MAX(IF(A45=Timesheet!$A$13:$A$2615,Timesheet!$E$13:$E$2615))</f>
        <v>0</v>
      </c>
      <c r="E45" s="1">
        <v>44969</v>
      </c>
      <c r="F45" s="2">
        <f>SUMIFS(Timesheet!$F$13:$F$11483,Timesheet!$A$13:$A$11483,'Início|Fim 1'!E45,Timesheet!$C$13:$C$11483,'Início|Fim 1'!$F$2)</f>
        <v>0</v>
      </c>
      <c r="G45" s="2">
        <f>SUMIFS(Timesheet!$F$13:$F$11483,Timesheet!$A$13:$A$11483,'Início|Fim 1'!E45,Timesheet!$C$13:$C$11483,'Início|Fim 1'!$G$2)</f>
        <v>0</v>
      </c>
      <c r="H45" s="2">
        <f>SUMIFS(Timesheet!$F$13:$F$11483,Timesheet!$A$13:$A$11483,'Início|Fim 1'!E45,Timesheet!$C$13:$C$11483,'Início|Fim 1'!$H$2)</f>
        <v>0</v>
      </c>
      <c r="I45" s="2">
        <f>SUMIFS(Timesheet!$F$13:$F$11483,Timesheet!$A$13:$A$11483,'Início|Fim 1'!E45,Timesheet!$C$13:$C$11483,'Início|Fim 1'!$I$2)</f>
        <v>0</v>
      </c>
      <c r="J45" s="2">
        <f>SUMIFS(Timesheet!$F$13:$F$11483,Timesheet!$A$13:$A$11483,'Início|Fim 1'!E45,Timesheet!$C$13:$C$11483,'Início|Fim 1'!$J$2)</f>
        <v>0</v>
      </c>
      <c r="K45" s="2">
        <f>SUMIFS(Timesheet!$F$13:$F$11483,Timesheet!$A$13:$A$11483,'Início|Fim 1'!E45,Timesheet!$C$13:$C$11483,'Início|Fim 1'!$K$2)</f>
        <v>0</v>
      </c>
      <c r="L45" s="2">
        <f>SUMIFS(Timesheet!$F$13:$F$11483,Timesheet!$A$13:$A$11483,'Início|Fim 1'!E45,Timesheet!$C$13:$C$11483,'Início|Fim 1'!$L$2)</f>
        <v>0</v>
      </c>
      <c r="M45" s="2">
        <f>SUMIFS(Timesheet!$F$13:$F$11483,Timesheet!$A$13:$A$11483,'Início|Fim 1'!E45,Timesheet!$C$13:$C$11483,'Início|Fim 1'!$M$2)</f>
        <v>0</v>
      </c>
      <c r="N45" s="2">
        <f>SUMIFS(Timesheet!$F$13:$F$11483,Timesheet!$A$13:$A$11483,'Início|Fim 1'!E45,Timesheet!$C$13:$C$11483,'Início|Fim 1'!$N$2)</f>
        <v>0</v>
      </c>
      <c r="O45" s="2">
        <f t="shared" si="0"/>
        <v>0</v>
      </c>
    </row>
    <row r="46" spans="1:15" x14ac:dyDescent="0.25">
      <c r="A46" s="1">
        <v>44970</v>
      </c>
      <c r="B46" s="3">
        <f t="array" ref="B46">MIN(IF(A46=Timesheet!$A$13:$A$2615,Timesheet!$D$13:$D$2615))</f>
        <v>0</v>
      </c>
      <c r="C46" s="3">
        <f t="array" ref="C46">MAX(IF(A46=Timesheet!$A$13:$A$2615,Timesheet!$E$13:$E$2615))</f>
        <v>0</v>
      </c>
      <c r="E46" s="1">
        <v>44970</v>
      </c>
      <c r="F46" s="2">
        <f>SUMIFS(Timesheet!$F$13:$F$11483,Timesheet!$A$13:$A$11483,'Início|Fim 1'!E46,Timesheet!$C$13:$C$11483,'Início|Fim 1'!$F$2)</f>
        <v>0</v>
      </c>
      <c r="G46" s="2">
        <f>SUMIFS(Timesheet!$F$13:$F$11483,Timesheet!$A$13:$A$11483,'Início|Fim 1'!E46,Timesheet!$C$13:$C$11483,'Início|Fim 1'!$G$2)</f>
        <v>0</v>
      </c>
      <c r="H46" s="2">
        <f>SUMIFS(Timesheet!$F$13:$F$11483,Timesheet!$A$13:$A$11483,'Início|Fim 1'!E46,Timesheet!$C$13:$C$11483,'Início|Fim 1'!$H$2)</f>
        <v>0</v>
      </c>
      <c r="I46" s="2">
        <f>SUMIFS(Timesheet!$F$13:$F$11483,Timesheet!$A$13:$A$11483,'Início|Fim 1'!E46,Timesheet!$C$13:$C$11483,'Início|Fim 1'!$I$2)</f>
        <v>0</v>
      </c>
      <c r="J46" s="2">
        <f>SUMIFS(Timesheet!$F$13:$F$11483,Timesheet!$A$13:$A$11483,'Início|Fim 1'!E46,Timesheet!$C$13:$C$11483,'Início|Fim 1'!$J$2)</f>
        <v>0</v>
      </c>
      <c r="K46" s="2">
        <f>SUMIFS(Timesheet!$F$13:$F$11483,Timesheet!$A$13:$A$11483,'Início|Fim 1'!E46,Timesheet!$C$13:$C$11483,'Início|Fim 1'!$K$2)</f>
        <v>0</v>
      </c>
      <c r="L46" s="2">
        <f>SUMIFS(Timesheet!$F$13:$F$11483,Timesheet!$A$13:$A$11483,'Início|Fim 1'!E46,Timesheet!$C$13:$C$11483,'Início|Fim 1'!$L$2)</f>
        <v>0</v>
      </c>
      <c r="M46" s="2">
        <f>SUMIFS(Timesheet!$F$13:$F$11483,Timesheet!$A$13:$A$11483,'Início|Fim 1'!E46,Timesheet!$C$13:$C$11483,'Início|Fim 1'!$M$2)</f>
        <v>0</v>
      </c>
      <c r="N46" s="2">
        <f>SUMIFS(Timesheet!$F$13:$F$11483,Timesheet!$A$13:$A$11483,'Início|Fim 1'!E46,Timesheet!$C$13:$C$11483,'Início|Fim 1'!$N$2)</f>
        <v>0</v>
      </c>
      <c r="O46" s="2">
        <f t="shared" si="0"/>
        <v>0</v>
      </c>
    </row>
    <row r="47" spans="1:15" x14ac:dyDescent="0.25">
      <c r="A47" s="1">
        <v>44971</v>
      </c>
      <c r="B47" s="3">
        <f t="array" ref="B47">MIN(IF(A47=Timesheet!$A$13:$A$2615,Timesheet!$D$13:$D$2615))</f>
        <v>0</v>
      </c>
      <c r="C47" s="3">
        <f t="array" ref="C47">MAX(IF(A47=Timesheet!$A$13:$A$2615,Timesheet!$E$13:$E$2615))</f>
        <v>0</v>
      </c>
      <c r="E47" s="1">
        <v>44971</v>
      </c>
      <c r="F47" s="2">
        <f>SUMIFS(Timesheet!$F$13:$F$11483,Timesheet!$A$13:$A$11483,'Início|Fim 1'!E47,Timesheet!$C$13:$C$11483,'Início|Fim 1'!$F$2)</f>
        <v>0</v>
      </c>
      <c r="G47" s="2">
        <f>SUMIFS(Timesheet!$F$13:$F$11483,Timesheet!$A$13:$A$11483,'Início|Fim 1'!E47,Timesheet!$C$13:$C$11483,'Início|Fim 1'!$G$2)</f>
        <v>0</v>
      </c>
      <c r="H47" s="2">
        <f>SUMIFS(Timesheet!$F$13:$F$11483,Timesheet!$A$13:$A$11483,'Início|Fim 1'!E47,Timesheet!$C$13:$C$11483,'Início|Fim 1'!$H$2)</f>
        <v>0</v>
      </c>
      <c r="I47" s="2">
        <f>SUMIFS(Timesheet!$F$13:$F$11483,Timesheet!$A$13:$A$11483,'Início|Fim 1'!E47,Timesheet!$C$13:$C$11483,'Início|Fim 1'!$I$2)</f>
        <v>0</v>
      </c>
      <c r="J47" s="2">
        <f>SUMIFS(Timesheet!$F$13:$F$11483,Timesheet!$A$13:$A$11483,'Início|Fim 1'!E47,Timesheet!$C$13:$C$11483,'Início|Fim 1'!$J$2)</f>
        <v>0</v>
      </c>
      <c r="K47" s="2">
        <f>SUMIFS(Timesheet!$F$13:$F$11483,Timesheet!$A$13:$A$11483,'Início|Fim 1'!E47,Timesheet!$C$13:$C$11483,'Início|Fim 1'!$K$2)</f>
        <v>0</v>
      </c>
      <c r="L47" s="2">
        <f>SUMIFS(Timesheet!$F$13:$F$11483,Timesheet!$A$13:$A$11483,'Início|Fim 1'!E47,Timesheet!$C$13:$C$11483,'Início|Fim 1'!$L$2)</f>
        <v>0</v>
      </c>
      <c r="M47" s="2">
        <f>SUMIFS(Timesheet!$F$13:$F$11483,Timesheet!$A$13:$A$11483,'Início|Fim 1'!E47,Timesheet!$C$13:$C$11483,'Início|Fim 1'!$M$2)</f>
        <v>0</v>
      </c>
      <c r="N47" s="2">
        <f>SUMIFS(Timesheet!$F$13:$F$11483,Timesheet!$A$13:$A$11483,'Início|Fim 1'!E47,Timesheet!$C$13:$C$11483,'Início|Fim 1'!$N$2)</f>
        <v>0</v>
      </c>
      <c r="O47" s="2">
        <f t="shared" si="0"/>
        <v>0</v>
      </c>
    </row>
    <row r="48" spans="1:15" x14ac:dyDescent="0.25">
      <c r="A48" s="1">
        <v>44972</v>
      </c>
      <c r="B48" s="3">
        <f t="array" ref="B48">MIN(IF(A48=Timesheet!$A$13:$A$2615,Timesheet!$D$13:$D$2615))</f>
        <v>0</v>
      </c>
      <c r="C48" s="3">
        <f t="array" ref="C48">MAX(IF(A48=Timesheet!$A$13:$A$2615,Timesheet!$E$13:$E$2615))</f>
        <v>0</v>
      </c>
      <c r="E48" s="1">
        <v>44972</v>
      </c>
      <c r="F48" s="2">
        <f>SUMIFS(Timesheet!$F$13:$F$11483,Timesheet!$A$13:$A$11483,'Início|Fim 1'!E48,Timesheet!$C$13:$C$11483,'Início|Fim 1'!$F$2)</f>
        <v>0</v>
      </c>
      <c r="G48" s="2">
        <f>SUMIFS(Timesheet!$F$13:$F$11483,Timesheet!$A$13:$A$11483,'Início|Fim 1'!E48,Timesheet!$C$13:$C$11483,'Início|Fim 1'!$G$2)</f>
        <v>0</v>
      </c>
      <c r="H48" s="2">
        <f>SUMIFS(Timesheet!$F$13:$F$11483,Timesheet!$A$13:$A$11483,'Início|Fim 1'!E48,Timesheet!$C$13:$C$11483,'Início|Fim 1'!$H$2)</f>
        <v>0</v>
      </c>
      <c r="I48" s="2">
        <f>SUMIFS(Timesheet!$F$13:$F$11483,Timesheet!$A$13:$A$11483,'Início|Fim 1'!E48,Timesheet!$C$13:$C$11483,'Início|Fim 1'!$I$2)</f>
        <v>0</v>
      </c>
      <c r="J48" s="2">
        <f>SUMIFS(Timesheet!$F$13:$F$11483,Timesheet!$A$13:$A$11483,'Início|Fim 1'!E48,Timesheet!$C$13:$C$11483,'Início|Fim 1'!$J$2)</f>
        <v>0</v>
      </c>
      <c r="K48" s="2">
        <f>SUMIFS(Timesheet!$F$13:$F$11483,Timesheet!$A$13:$A$11483,'Início|Fim 1'!E48,Timesheet!$C$13:$C$11483,'Início|Fim 1'!$K$2)</f>
        <v>0</v>
      </c>
      <c r="L48" s="2">
        <f>SUMIFS(Timesheet!$F$13:$F$11483,Timesheet!$A$13:$A$11483,'Início|Fim 1'!E48,Timesheet!$C$13:$C$11483,'Início|Fim 1'!$L$2)</f>
        <v>0</v>
      </c>
      <c r="M48" s="2">
        <f>SUMIFS(Timesheet!$F$13:$F$11483,Timesheet!$A$13:$A$11483,'Início|Fim 1'!E48,Timesheet!$C$13:$C$11483,'Início|Fim 1'!$M$2)</f>
        <v>0</v>
      </c>
      <c r="N48" s="2">
        <f>SUMIFS(Timesheet!$F$13:$F$11483,Timesheet!$A$13:$A$11483,'Início|Fim 1'!E48,Timesheet!$C$13:$C$11483,'Início|Fim 1'!$N$2)</f>
        <v>0</v>
      </c>
      <c r="O48" s="2">
        <f t="shared" si="0"/>
        <v>0</v>
      </c>
    </row>
    <row r="49" spans="1:15" x14ac:dyDescent="0.25">
      <c r="A49" s="1">
        <v>44973</v>
      </c>
      <c r="B49" s="3">
        <f t="array" ref="B49">MIN(IF(A49=Timesheet!$A$13:$A$2615,Timesheet!$D$13:$D$2615))</f>
        <v>0</v>
      </c>
      <c r="C49" s="3">
        <f t="array" ref="C49">MAX(IF(A49=Timesheet!$A$13:$A$2615,Timesheet!$E$13:$E$2615))</f>
        <v>0</v>
      </c>
      <c r="E49" s="1">
        <v>44973</v>
      </c>
      <c r="F49" s="2">
        <f>SUMIFS(Timesheet!$F$13:$F$11483,Timesheet!$A$13:$A$11483,'Início|Fim 1'!E49,Timesheet!$C$13:$C$11483,'Início|Fim 1'!$F$2)</f>
        <v>0</v>
      </c>
      <c r="G49" s="2">
        <f>SUMIFS(Timesheet!$F$13:$F$11483,Timesheet!$A$13:$A$11483,'Início|Fim 1'!E49,Timesheet!$C$13:$C$11483,'Início|Fim 1'!$G$2)</f>
        <v>0</v>
      </c>
      <c r="H49" s="2">
        <f>SUMIFS(Timesheet!$F$13:$F$11483,Timesheet!$A$13:$A$11483,'Início|Fim 1'!E49,Timesheet!$C$13:$C$11483,'Início|Fim 1'!$H$2)</f>
        <v>0</v>
      </c>
      <c r="I49" s="2">
        <f>SUMIFS(Timesheet!$F$13:$F$11483,Timesheet!$A$13:$A$11483,'Início|Fim 1'!E49,Timesheet!$C$13:$C$11483,'Início|Fim 1'!$I$2)</f>
        <v>0</v>
      </c>
      <c r="J49" s="2">
        <f>SUMIFS(Timesheet!$F$13:$F$11483,Timesheet!$A$13:$A$11483,'Início|Fim 1'!E49,Timesheet!$C$13:$C$11483,'Início|Fim 1'!$J$2)</f>
        <v>0</v>
      </c>
      <c r="K49" s="2">
        <f>SUMIFS(Timesheet!$F$13:$F$11483,Timesheet!$A$13:$A$11483,'Início|Fim 1'!E49,Timesheet!$C$13:$C$11483,'Início|Fim 1'!$K$2)</f>
        <v>0</v>
      </c>
      <c r="L49" s="2">
        <f>SUMIFS(Timesheet!$F$13:$F$11483,Timesheet!$A$13:$A$11483,'Início|Fim 1'!E49,Timesheet!$C$13:$C$11483,'Início|Fim 1'!$L$2)</f>
        <v>0</v>
      </c>
      <c r="M49" s="2">
        <f>SUMIFS(Timesheet!$F$13:$F$11483,Timesheet!$A$13:$A$11483,'Início|Fim 1'!E49,Timesheet!$C$13:$C$11483,'Início|Fim 1'!$M$2)</f>
        <v>0</v>
      </c>
      <c r="N49" s="2">
        <f>SUMIFS(Timesheet!$F$13:$F$11483,Timesheet!$A$13:$A$11483,'Início|Fim 1'!E49,Timesheet!$C$13:$C$11483,'Início|Fim 1'!$N$2)</f>
        <v>0</v>
      </c>
      <c r="O49" s="2">
        <f t="shared" si="0"/>
        <v>0</v>
      </c>
    </row>
    <row r="50" spans="1:15" x14ac:dyDescent="0.25">
      <c r="A50" s="1">
        <v>44974</v>
      </c>
      <c r="B50" s="3">
        <f t="array" ref="B50">MIN(IF(A50=Timesheet!$A$13:$A$2615,Timesheet!$D$13:$D$2615))</f>
        <v>0</v>
      </c>
      <c r="C50" s="3">
        <f t="array" ref="C50">MAX(IF(A50=Timesheet!$A$13:$A$2615,Timesheet!$E$13:$E$2615))</f>
        <v>0</v>
      </c>
      <c r="E50" s="1">
        <v>44974</v>
      </c>
      <c r="F50" s="2">
        <f>SUMIFS(Timesheet!$F$13:$F$11483,Timesheet!$A$13:$A$11483,'Início|Fim 1'!E50,Timesheet!$C$13:$C$11483,'Início|Fim 1'!$F$2)</f>
        <v>0</v>
      </c>
      <c r="G50" s="2">
        <f>SUMIFS(Timesheet!$F$13:$F$11483,Timesheet!$A$13:$A$11483,'Início|Fim 1'!E50,Timesheet!$C$13:$C$11483,'Início|Fim 1'!$G$2)</f>
        <v>0</v>
      </c>
      <c r="H50" s="2">
        <f>SUMIFS(Timesheet!$F$13:$F$11483,Timesheet!$A$13:$A$11483,'Início|Fim 1'!E50,Timesheet!$C$13:$C$11483,'Início|Fim 1'!$H$2)</f>
        <v>0</v>
      </c>
      <c r="I50" s="2">
        <f>SUMIFS(Timesheet!$F$13:$F$11483,Timesheet!$A$13:$A$11483,'Início|Fim 1'!E50,Timesheet!$C$13:$C$11483,'Início|Fim 1'!$I$2)</f>
        <v>0</v>
      </c>
      <c r="J50" s="2">
        <f>SUMIFS(Timesheet!$F$13:$F$11483,Timesheet!$A$13:$A$11483,'Início|Fim 1'!E50,Timesheet!$C$13:$C$11483,'Início|Fim 1'!$J$2)</f>
        <v>0</v>
      </c>
      <c r="K50" s="2">
        <f>SUMIFS(Timesheet!$F$13:$F$11483,Timesheet!$A$13:$A$11483,'Início|Fim 1'!E50,Timesheet!$C$13:$C$11483,'Início|Fim 1'!$K$2)</f>
        <v>0</v>
      </c>
      <c r="L50" s="2">
        <f>SUMIFS(Timesheet!$F$13:$F$11483,Timesheet!$A$13:$A$11483,'Início|Fim 1'!E50,Timesheet!$C$13:$C$11483,'Início|Fim 1'!$L$2)</f>
        <v>0</v>
      </c>
      <c r="M50" s="2">
        <f>SUMIFS(Timesheet!$F$13:$F$11483,Timesheet!$A$13:$A$11483,'Início|Fim 1'!E50,Timesheet!$C$13:$C$11483,'Início|Fim 1'!$M$2)</f>
        <v>0</v>
      </c>
      <c r="N50" s="2">
        <f>SUMIFS(Timesheet!$F$13:$F$11483,Timesheet!$A$13:$A$11483,'Início|Fim 1'!E50,Timesheet!$C$13:$C$11483,'Início|Fim 1'!$N$2)</f>
        <v>0</v>
      </c>
      <c r="O50" s="2">
        <f t="shared" si="0"/>
        <v>0</v>
      </c>
    </row>
    <row r="51" spans="1:15" x14ac:dyDescent="0.25">
      <c r="A51" s="1">
        <v>44975</v>
      </c>
      <c r="B51" s="3">
        <f t="array" ref="B51">MIN(IF(A51=Timesheet!$A$13:$A$2615,Timesheet!$D$13:$D$2615))</f>
        <v>0</v>
      </c>
      <c r="C51" s="3">
        <f t="array" ref="C51">MAX(IF(A51=Timesheet!$A$13:$A$2615,Timesheet!$E$13:$E$2615))</f>
        <v>0</v>
      </c>
      <c r="E51" s="1">
        <v>44975</v>
      </c>
      <c r="F51" s="2">
        <f>SUMIFS(Timesheet!$F$13:$F$11483,Timesheet!$A$13:$A$11483,'Início|Fim 1'!E51,Timesheet!$C$13:$C$11483,'Início|Fim 1'!$F$2)</f>
        <v>0</v>
      </c>
      <c r="G51" s="2">
        <f>SUMIFS(Timesheet!$F$13:$F$11483,Timesheet!$A$13:$A$11483,'Início|Fim 1'!E51,Timesheet!$C$13:$C$11483,'Início|Fim 1'!$G$2)</f>
        <v>0</v>
      </c>
      <c r="H51" s="2">
        <f>SUMIFS(Timesheet!$F$13:$F$11483,Timesheet!$A$13:$A$11483,'Início|Fim 1'!E51,Timesheet!$C$13:$C$11483,'Início|Fim 1'!$H$2)</f>
        <v>0</v>
      </c>
      <c r="I51" s="2">
        <f>SUMIFS(Timesheet!$F$13:$F$11483,Timesheet!$A$13:$A$11483,'Início|Fim 1'!E51,Timesheet!$C$13:$C$11483,'Início|Fim 1'!$I$2)</f>
        <v>0</v>
      </c>
      <c r="J51" s="2">
        <f>SUMIFS(Timesheet!$F$13:$F$11483,Timesheet!$A$13:$A$11483,'Início|Fim 1'!E51,Timesheet!$C$13:$C$11483,'Início|Fim 1'!$J$2)</f>
        <v>0</v>
      </c>
      <c r="K51" s="2">
        <f>SUMIFS(Timesheet!$F$13:$F$11483,Timesheet!$A$13:$A$11483,'Início|Fim 1'!E51,Timesheet!$C$13:$C$11483,'Início|Fim 1'!$K$2)</f>
        <v>0</v>
      </c>
      <c r="L51" s="2">
        <f>SUMIFS(Timesheet!$F$13:$F$11483,Timesheet!$A$13:$A$11483,'Início|Fim 1'!E51,Timesheet!$C$13:$C$11483,'Início|Fim 1'!$L$2)</f>
        <v>0</v>
      </c>
      <c r="M51" s="2">
        <f>SUMIFS(Timesheet!$F$13:$F$11483,Timesheet!$A$13:$A$11483,'Início|Fim 1'!E51,Timesheet!$C$13:$C$11483,'Início|Fim 1'!$M$2)</f>
        <v>0</v>
      </c>
      <c r="N51" s="2">
        <f>SUMIFS(Timesheet!$F$13:$F$11483,Timesheet!$A$13:$A$11483,'Início|Fim 1'!E51,Timesheet!$C$13:$C$11483,'Início|Fim 1'!$N$2)</f>
        <v>0</v>
      </c>
      <c r="O51" s="2">
        <f t="shared" si="0"/>
        <v>0</v>
      </c>
    </row>
    <row r="52" spans="1:15" x14ac:dyDescent="0.25">
      <c r="A52" s="1">
        <v>44976</v>
      </c>
      <c r="B52" s="3">
        <f t="array" ref="B52">MIN(IF(A52=Timesheet!$A$13:$A$2615,Timesheet!$D$13:$D$2615))</f>
        <v>0</v>
      </c>
      <c r="C52" s="3">
        <f t="array" ref="C52">MAX(IF(A52=Timesheet!$A$13:$A$2615,Timesheet!$E$13:$E$2615))</f>
        <v>0</v>
      </c>
      <c r="E52" s="1">
        <v>44976</v>
      </c>
      <c r="F52" s="2">
        <f>SUMIFS(Timesheet!$F$13:$F$11483,Timesheet!$A$13:$A$11483,'Início|Fim 1'!E52,Timesheet!$C$13:$C$11483,'Início|Fim 1'!$F$2)</f>
        <v>0</v>
      </c>
      <c r="G52" s="2">
        <f>SUMIFS(Timesheet!$F$13:$F$11483,Timesheet!$A$13:$A$11483,'Início|Fim 1'!E52,Timesheet!$C$13:$C$11483,'Início|Fim 1'!$G$2)</f>
        <v>0</v>
      </c>
      <c r="H52" s="2">
        <f>SUMIFS(Timesheet!$F$13:$F$11483,Timesheet!$A$13:$A$11483,'Início|Fim 1'!E52,Timesheet!$C$13:$C$11483,'Início|Fim 1'!$H$2)</f>
        <v>0</v>
      </c>
      <c r="I52" s="2">
        <f>SUMIFS(Timesheet!$F$13:$F$11483,Timesheet!$A$13:$A$11483,'Início|Fim 1'!E52,Timesheet!$C$13:$C$11483,'Início|Fim 1'!$I$2)</f>
        <v>0</v>
      </c>
      <c r="J52" s="2">
        <f>SUMIFS(Timesheet!$F$13:$F$11483,Timesheet!$A$13:$A$11483,'Início|Fim 1'!E52,Timesheet!$C$13:$C$11483,'Início|Fim 1'!$J$2)</f>
        <v>0</v>
      </c>
      <c r="K52" s="2">
        <f>SUMIFS(Timesheet!$F$13:$F$11483,Timesheet!$A$13:$A$11483,'Início|Fim 1'!E52,Timesheet!$C$13:$C$11483,'Início|Fim 1'!$K$2)</f>
        <v>0</v>
      </c>
      <c r="L52" s="2">
        <f>SUMIFS(Timesheet!$F$13:$F$11483,Timesheet!$A$13:$A$11483,'Início|Fim 1'!E52,Timesheet!$C$13:$C$11483,'Início|Fim 1'!$L$2)</f>
        <v>0</v>
      </c>
      <c r="M52" s="2">
        <f>SUMIFS(Timesheet!$F$13:$F$11483,Timesheet!$A$13:$A$11483,'Início|Fim 1'!E52,Timesheet!$C$13:$C$11483,'Início|Fim 1'!$M$2)</f>
        <v>0</v>
      </c>
      <c r="N52" s="2">
        <f>SUMIFS(Timesheet!$F$13:$F$11483,Timesheet!$A$13:$A$11483,'Início|Fim 1'!E52,Timesheet!$C$13:$C$11483,'Início|Fim 1'!$N$2)</f>
        <v>0</v>
      </c>
      <c r="O52" s="2">
        <f t="shared" si="0"/>
        <v>0</v>
      </c>
    </row>
    <row r="53" spans="1:15" x14ac:dyDescent="0.25">
      <c r="A53" s="1">
        <v>44977</v>
      </c>
      <c r="B53" s="3">
        <f t="array" ref="B53">MIN(IF(A53=Timesheet!$A$13:$A$2615,Timesheet!$D$13:$D$2615))</f>
        <v>0</v>
      </c>
      <c r="C53" s="3">
        <f t="array" ref="C53">MAX(IF(A53=Timesheet!$A$13:$A$2615,Timesheet!$E$13:$E$2615))</f>
        <v>0</v>
      </c>
      <c r="E53" s="1">
        <v>44977</v>
      </c>
      <c r="F53" s="2">
        <f>SUMIFS(Timesheet!$F$13:$F$11483,Timesheet!$A$13:$A$11483,'Início|Fim 1'!E53,Timesheet!$C$13:$C$11483,'Início|Fim 1'!$F$2)</f>
        <v>0</v>
      </c>
      <c r="G53" s="2">
        <f>SUMIFS(Timesheet!$F$13:$F$11483,Timesheet!$A$13:$A$11483,'Início|Fim 1'!E53,Timesheet!$C$13:$C$11483,'Início|Fim 1'!$G$2)</f>
        <v>0</v>
      </c>
      <c r="H53" s="2">
        <f>SUMIFS(Timesheet!$F$13:$F$11483,Timesheet!$A$13:$A$11483,'Início|Fim 1'!E53,Timesheet!$C$13:$C$11483,'Início|Fim 1'!$H$2)</f>
        <v>0</v>
      </c>
      <c r="I53" s="2">
        <f>SUMIFS(Timesheet!$F$13:$F$11483,Timesheet!$A$13:$A$11483,'Início|Fim 1'!E53,Timesheet!$C$13:$C$11483,'Início|Fim 1'!$I$2)</f>
        <v>0</v>
      </c>
      <c r="J53" s="2">
        <f>SUMIFS(Timesheet!$F$13:$F$11483,Timesheet!$A$13:$A$11483,'Início|Fim 1'!E53,Timesheet!$C$13:$C$11483,'Início|Fim 1'!$J$2)</f>
        <v>0</v>
      </c>
      <c r="K53" s="2">
        <f>SUMIFS(Timesheet!$F$13:$F$11483,Timesheet!$A$13:$A$11483,'Início|Fim 1'!E53,Timesheet!$C$13:$C$11483,'Início|Fim 1'!$K$2)</f>
        <v>0</v>
      </c>
      <c r="L53" s="2">
        <f>SUMIFS(Timesheet!$F$13:$F$11483,Timesheet!$A$13:$A$11483,'Início|Fim 1'!E53,Timesheet!$C$13:$C$11483,'Início|Fim 1'!$L$2)</f>
        <v>0</v>
      </c>
      <c r="M53" s="2">
        <f>SUMIFS(Timesheet!$F$13:$F$11483,Timesheet!$A$13:$A$11483,'Início|Fim 1'!E53,Timesheet!$C$13:$C$11483,'Início|Fim 1'!$M$2)</f>
        <v>0</v>
      </c>
      <c r="N53" s="2">
        <f>SUMIFS(Timesheet!$F$13:$F$11483,Timesheet!$A$13:$A$11483,'Início|Fim 1'!E53,Timesheet!$C$13:$C$11483,'Início|Fim 1'!$N$2)</f>
        <v>0</v>
      </c>
      <c r="O53" s="2">
        <f t="shared" si="0"/>
        <v>0</v>
      </c>
    </row>
    <row r="54" spans="1:15" x14ac:dyDescent="0.25">
      <c r="A54" s="1">
        <v>44978</v>
      </c>
      <c r="B54" s="3">
        <f t="array" ref="B54">MIN(IF(A54=Timesheet!$A$13:$A$2615,Timesheet!$D$13:$D$2615))</f>
        <v>0</v>
      </c>
      <c r="C54" s="3">
        <f t="array" ref="C54">MAX(IF(A54=Timesheet!$A$13:$A$2615,Timesheet!$E$13:$E$2615))</f>
        <v>0</v>
      </c>
      <c r="E54" s="1">
        <v>44978</v>
      </c>
      <c r="F54" s="2">
        <f>SUMIFS(Timesheet!$F$13:$F$11483,Timesheet!$A$13:$A$11483,'Início|Fim 1'!E54,Timesheet!$C$13:$C$11483,'Início|Fim 1'!$F$2)</f>
        <v>0</v>
      </c>
      <c r="G54" s="2">
        <f>SUMIFS(Timesheet!$F$13:$F$11483,Timesheet!$A$13:$A$11483,'Início|Fim 1'!E54,Timesheet!$C$13:$C$11483,'Início|Fim 1'!$G$2)</f>
        <v>0</v>
      </c>
      <c r="H54" s="2">
        <f>SUMIFS(Timesheet!$F$13:$F$11483,Timesheet!$A$13:$A$11483,'Início|Fim 1'!E54,Timesheet!$C$13:$C$11483,'Início|Fim 1'!$H$2)</f>
        <v>0</v>
      </c>
      <c r="I54" s="2">
        <f>SUMIFS(Timesheet!$F$13:$F$11483,Timesheet!$A$13:$A$11483,'Início|Fim 1'!E54,Timesheet!$C$13:$C$11483,'Início|Fim 1'!$I$2)</f>
        <v>0</v>
      </c>
      <c r="J54" s="2">
        <f>SUMIFS(Timesheet!$F$13:$F$11483,Timesheet!$A$13:$A$11483,'Início|Fim 1'!E54,Timesheet!$C$13:$C$11483,'Início|Fim 1'!$J$2)</f>
        <v>0</v>
      </c>
      <c r="K54" s="2">
        <f>SUMIFS(Timesheet!$F$13:$F$11483,Timesheet!$A$13:$A$11483,'Início|Fim 1'!E54,Timesheet!$C$13:$C$11483,'Início|Fim 1'!$K$2)</f>
        <v>0</v>
      </c>
      <c r="L54" s="2">
        <f>SUMIFS(Timesheet!$F$13:$F$11483,Timesheet!$A$13:$A$11483,'Início|Fim 1'!E54,Timesheet!$C$13:$C$11483,'Início|Fim 1'!$L$2)</f>
        <v>0</v>
      </c>
      <c r="M54" s="2">
        <f>SUMIFS(Timesheet!$F$13:$F$11483,Timesheet!$A$13:$A$11483,'Início|Fim 1'!E54,Timesheet!$C$13:$C$11483,'Início|Fim 1'!$M$2)</f>
        <v>0</v>
      </c>
      <c r="N54" s="2">
        <f>SUMIFS(Timesheet!$F$13:$F$11483,Timesheet!$A$13:$A$11483,'Início|Fim 1'!E54,Timesheet!$C$13:$C$11483,'Início|Fim 1'!$N$2)</f>
        <v>0</v>
      </c>
      <c r="O54" s="2">
        <f t="shared" si="0"/>
        <v>0</v>
      </c>
    </row>
    <row r="55" spans="1:15" x14ac:dyDescent="0.25">
      <c r="A55" s="1">
        <v>44979</v>
      </c>
      <c r="B55" s="3">
        <f t="array" ref="B55">MIN(IF(A55=Timesheet!$A$13:$A$2615,Timesheet!$D$13:$D$2615))</f>
        <v>0</v>
      </c>
      <c r="C55" s="3">
        <f t="array" ref="C55">MAX(IF(A55=Timesheet!$A$13:$A$2615,Timesheet!$E$13:$E$2615))</f>
        <v>0</v>
      </c>
      <c r="E55" s="1">
        <v>44979</v>
      </c>
      <c r="F55" s="2">
        <f>SUMIFS(Timesheet!$F$13:$F$11483,Timesheet!$A$13:$A$11483,'Início|Fim 1'!E55,Timesheet!$C$13:$C$11483,'Início|Fim 1'!$F$2)</f>
        <v>0</v>
      </c>
      <c r="G55" s="2">
        <f>SUMIFS(Timesheet!$F$13:$F$11483,Timesheet!$A$13:$A$11483,'Início|Fim 1'!E55,Timesheet!$C$13:$C$11483,'Início|Fim 1'!$G$2)</f>
        <v>0</v>
      </c>
      <c r="H55" s="2">
        <f>SUMIFS(Timesheet!$F$13:$F$11483,Timesheet!$A$13:$A$11483,'Início|Fim 1'!E55,Timesheet!$C$13:$C$11483,'Início|Fim 1'!$H$2)</f>
        <v>0</v>
      </c>
      <c r="I55" s="2">
        <f>SUMIFS(Timesheet!$F$13:$F$11483,Timesheet!$A$13:$A$11483,'Início|Fim 1'!E55,Timesheet!$C$13:$C$11483,'Início|Fim 1'!$I$2)</f>
        <v>0</v>
      </c>
      <c r="J55" s="2">
        <f>SUMIFS(Timesheet!$F$13:$F$11483,Timesheet!$A$13:$A$11483,'Início|Fim 1'!E55,Timesheet!$C$13:$C$11483,'Início|Fim 1'!$J$2)</f>
        <v>0</v>
      </c>
      <c r="K55" s="2">
        <f>SUMIFS(Timesheet!$F$13:$F$11483,Timesheet!$A$13:$A$11483,'Início|Fim 1'!E55,Timesheet!$C$13:$C$11483,'Início|Fim 1'!$K$2)</f>
        <v>0</v>
      </c>
      <c r="L55" s="2">
        <f>SUMIFS(Timesheet!$F$13:$F$11483,Timesheet!$A$13:$A$11483,'Início|Fim 1'!E55,Timesheet!$C$13:$C$11483,'Início|Fim 1'!$L$2)</f>
        <v>0</v>
      </c>
      <c r="M55" s="2">
        <f>SUMIFS(Timesheet!$F$13:$F$11483,Timesheet!$A$13:$A$11483,'Início|Fim 1'!E55,Timesheet!$C$13:$C$11483,'Início|Fim 1'!$M$2)</f>
        <v>0</v>
      </c>
      <c r="N55" s="2">
        <f>SUMIFS(Timesheet!$F$13:$F$11483,Timesheet!$A$13:$A$11483,'Início|Fim 1'!E55,Timesheet!$C$13:$C$11483,'Início|Fim 1'!$N$2)</f>
        <v>0</v>
      </c>
      <c r="O55" s="2">
        <f t="shared" si="0"/>
        <v>0</v>
      </c>
    </row>
    <row r="56" spans="1:15" x14ac:dyDescent="0.25">
      <c r="A56" s="1">
        <v>44980</v>
      </c>
      <c r="B56" s="3">
        <f t="array" ref="B56">MIN(IF(A56=Timesheet!$A$13:$A$2615,Timesheet!$D$13:$D$2615))</f>
        <v>0</v>
      </c>
      <c r="C56" s="3">
        <f t="array" ref="C56">MAX(IF(A56=Timesheet!$A$13:$A$2615,Timesheet!$E$13:$E$2615))</f>
        <v>0</v>
      </c>
      <c r="E56" s="1">
        <v>44980</v>
      </c>
      <c r="F56" s="2">
        <f>SUMIFS(Timesheet!$F$13:$F$11483,Timesheet!$A$13:$A$11483,'Início|Fim 1'!E56,Timesheet!$C$13:$C$11483,'Início|Fim 1'!$F$2)</f>
        <v>0</v>
      </c>
      <c r="G56" s="2">
        <f>SUMIFS(Timesheet!$F$13:$F$11483,Timesheet!$A$13:$A$11483,'Início|Fim 1'!E56,Timesheet!$C$13:$C$11483,'Início|Fim 1'!$G$2)</f>
        <v>0</v>
      </c>
      <c r="H56" s="2">
        <f>SUMIFS(Timesheet!$F$13:$F$11483,Timesheet!$A$13:$A$11483,'Início|Fim 1'!E56,Timesheet!$C$13:$C$11483,'Início|Fim 1'!$H$2)</f>
        <v>0</v>
      </c>
      <c r="I56" s="2">
        <f>SUMIFS(Timesheet!$F$13:$F$11483,Timesheet!$A$13:$A$11483,'Início|Fim 1'!E56,Timesheet!$C$13:$C$11483,'Início|Fim 1'!$I$2)</f>
        <v>0</v>
      </c>
      <c r="J56" s="2">
        <f>SUMIFS(Timesheet!$F$13:$F$11483,Timesheet!$A$13:$A$11483,'Início|Fim 1'!E56,Timesheet!$C$13:$C$11483,'Início|Fim 1'!$J$2)</f>
        <v>0</v>
      </c>
      <c r="K56" s="2">
        <f>SUMIFS(Timesheet!$F$13:$F$11483,Timesheet!$A$13:$A$11483,'Início|Fim 1'!E56,Timesheet!$C$13:$C$11483,'Início|Fim 1'!$K$2)</f>
        <v>0</v>
      </c>
      <c r="L56" s="2">
        <f>SUMIFS(Timesheet!$F$13:$F$11483,Timesheet!$A$13:$A$11483,'Início|Fim 1'!E56,Timesheet!$C$13:$C$11483,'Início|Fim 1'!$L$2)</f>
        <v>0</v>
      </c>
      <c r="M56" s="2">
        <f>SUMIFS(Timesheet!$F$13:$F$11483,Timesheet!$A$13:$A$11483,'Início|Fim 1'!E56,Timesheet!$C$13:$C$11483,'Início|Fim 1'!$M$2)</f>
        <v>0</v>
      </c>
      <c r="N56" s="2">
        <f>SUMIFS(Timesheet!$F$13:$F$11483,Timesheet!$A$13:$A$11483,'Início|Fim 1'!E56,Timesheet!$C$13:$C$11483,'Início|Fim 1'!$N$2)</f>
        <v>0</v>
      </c>
      <c r="O56" s="2">
        <f t="shared" si="0"/>
        <v>0</v>
      </c>
    </row>
    <row r="57" spans="1:15" x14ac:dyDescent="0.25">
      <c r="A57" s="1">
        <v>44981</v>
      </c>
      <c r="B57" s="3">
        <f t="array" ref="B57">MIN(IF(A57=Timesheet!$A$13:$A$2615,Timesheet!$D$13:$D$2615))</f>
        <v>0</v>
      </c>
      <c r="C57" s="3">
        <f t="array" ref="C57">MAX(IF(A57=Timesheet!$A$13:$A$2615,Timesheet!$E$13:$E$2615))</f>
        <v>0</v>
      </c>
      <c r="E57" s="1">
        <v>44981</v>
      </c>
      <c r="F57" s="2">
        <f>SUMIFS(Timesheet!$F$13:$F$11483,Timesheet!$A$13:$A$11483,'Início|Fim 1'!E57,Timesheet!$C$13:$C$11483,'Início|Fim 1'!$F$2)</f>
        <v>0</v>
      </c>
      <c r="G57" s="2">
        <f>SUMIFS(Timesheet!$F$13:$F$11483,Timesheet!$A$13:$A$11483,'Início|Fim 1'!E57,Timesheet!$C$13:$C$11483,'Início|Fim 1'!$G$2)</f>
        <v>0</v>
      </c>
      <c r="H57" s="2">
        <f>SUMIFS(Timesheet!$F$13:$F$11483,Timesheet!$A$13:$A$11483,'Início|Fim 1'!E57,Timesheet!$C$13:$C$11483,'Início|Fim 1'!$H$2)</f>
        <v>0</v>
      </c>
      <c r="I57" s="2">
        <f>SUMIFS(Timesheet!$F$13:$F$11483,Timesheet!$A$13:$A$11483,'Início|Fim 1'!E57,Timesheet!$C$13:$C$11483,'Início|Fim 1'!$I$2)</f>
        <v>0</v>
      </c>
      <c r="J57" s="2">
        <f>SUMIFS(Timesheet!$F$13:$F$11483,Timesheet!$A$13:$A$11483,'Início|Fim 1'!E57,Timesheet!$C$13:$C$11483,'Início|Fim 1'!$J$2)</f>
        <v>0</v>
      </c>
      <c r="K57" s="2">
        <f>SUMIFS(Timesheet!$F$13:$F$11483,Timesheet!$A$13:$A$11483,'Início|Fim 1'!E57,Timesheet!$C$13:$C$11483,'Início|Fim 1'!$K$2)</f>
        <v>0</v>
      </c>
      <c r="L57" s="2">
        <f>SUMIFS(Timesheet!$F$13:$F$11483,Timesheet!$A$13:$A$11483,'Início|Fim 1'!E57,Timesheet!$C$13:$C$11483,'Início|Fim 1'!$L$2)</f>
        <v>0</v>
      </c>
      <c r="M57" s="2">
        <f>SUMIFS(Timesheet!$F$13:$F$11483,Timesheet!$A$13:$A$11483,'Início|Fim 1'!E57,Timesheet!$C$13:$C$11483,'Início|Fim 1'!$M$2)</f>
        <v>0</v>
      </c>
      <c r="N57" s="2">
        <f>SUMIFS(Timesheet!$F$13:$F$11483,Timesheet!$A$13:$A$11483,'Início|Fim 1'!E57,Timesheet!$C$13:$C$11483,'Início|Fim 1'!$N$2)</f>
        <v>0</v>
      </c>
      <c r="O57" s="2">
        <f t="shared" si="0"/>
        <v>0</v>
      </c>
    </row>
    <row r="58" spans="1:15" x14ac:dyDescent="0.25">
      <c r="A58" s="1">
        <v>44982</v>
      </c>
      <c r="B58" s="3">
        <f t="array" ref="B58">MIN(IF(A58=Timesheet!$A$13:$A$2615,Timesheet!$D$13:$D$2615))</f>
        <v>0</v>
      </c>
      <c r="C58" s="3">
        <f t="array" ref="C58">MAX(IF(A58=Timesheet!$A$13:$A$2615,Timesheet!$E$13:$E$2615))</f>
        <v>0</v>
      </c>
      <c r="E58" s="1">
        <v>44982</v>
      </c>
      <c r="F58" s="2">
        <f>SUMIFS(Timesheet!$F$13:$F$11483,Timesheet!$A$13:$A$11483,'Início|Fim 1'!E58,Timesheet!$C$13:$C$11483,'Início|Fim 1'!$F$2)</f>
        <v>0</v>
      </c>
      <c r="G58" s="2">
        <f>SUMIFS(Timesheet!$F$13:$F$11483,Timesheet!$A$13:$A$11483,'Início|Fim 1'!E58,Timesheet!$C$13:$C$11483,'Início|Fim 1'!$G$2)</f>
        <v>0</v>
      </c>
      <c r="H58" s="2">
        <f>SUMIFS(Timesheet!$F$13:$F$11483,Timesheet!$A$13:$A$11483,'Início|Fim 1'!E58,Timesheet!$C$13:$C$11483,'Início|Fim 1'!$H$2)</f>
        <v>0</v>
      </c>
      <c r="I58" s="2">
        <f>SUMIFS(Timesheet!$F$13:$F$11483,Timesheet!$A$13:$A$11483,'Início|Fim 1'!E58,Timesheet!$C$13:$C$11483,'Início|Fim 1'!$I$2)</f>
        <v>0</v>
      </c>
      <c r="J58" s="2">
        <f>SUMIFS(Timesheet!$F$13:$F$11483,Timesheet!$A$13:$A$11483,'Início|Fim 1'!E58,Timesheet!$C$13:$C$11483,'Início|Fim 1'!$J$2)</f>
        <v>0</v>
      </c>
      <c r="K58" s="2">
        <f>SUMIFS(Timesheet!$F$13:$F$11483,Timesheet!$A$13:$A$11483,'Início|Fim 1'!E58,Timesheet!$C$13:$C$11483,'Início|Fim 1'!$K$2)</f>
        <v>0</v>
      </c>
      <c r="L58" s="2">
        <f>SUMIFS(Timesheet!$F$13:$F$11483,Timesheet!$A$13:$A$11483,'Início|Fim 1'!E58,Timesheet!$C$13:$C$11483,'Início|Fim 1'!$L$2)</f>
        <v>0</v>
      </c>
      <c r="M58" s="2">
        <f>SUMIFS(Timesheet!$F$13:$F$11483,Timesheet!$A$13:$A$11483,'Início|Fim 1'!E58,Timesheet!$C$13:$C$11483,'Início|Fim 1'!$M$2)</f>
        <v>0</v>
      </c>
      <c r="N58" s="2">
        <f>SUMIFS(Timesheet!$F$13:$F$11483,Timesheet!$A$13:$A$11483,'Início|Fim 1'!E58,Timesheet!$C$13:$C$11483,'Início|Fim 1'!$N$2)</f>
        <v>0</v>
      </c>
      <c r="O58" s="2">
        <f t="shared" si="0"/>
        <v>0</v>
      </c>
    </row>
    <row r="59" spans="1:15" x14ac:dyDescent="0.25">
      <c r="A59" s="1">
        <v>44983</v>
      </c>
      <c r="B59" s="3">
        <f t="array" ref="B59">MIN(IF(A59=Timesheet!$A$13:$A$2615,Timesheet!$D$13:$D$2615))</f>
        <v>0</v>
      </c>
      <c r="C59" s="3">
        <f t="array" ref="C59">MAX(IF(A59=Timesheet!$A$13:$A$2615,Timesheet!$E$13:$E$2615))</f>
        <v>0</v>
      </c>
      <c r="E59" s="1">
        <v>44983</v>
      </c>
      <c r="F59" s="2">
        <f>SUMIFS(Timesheet!$F$13:$F$11483,Timesheet!$A$13:$A$11483,'Início|Fim 1'!E59,Timesheet!$C$13:$C$11483,'Início|Fim 1'!$F$2)</f>
        <v>0</v>
      </c>
      <c r="G59" s="2">
        <f>SUMIFS(Timesheet!$F$13:$F$11483,Timesheet!$A$13:$A$11483,'Início|Fim 1'!E59,Timesheet!$C$13:$C$11483,'Início|Fim 1'!$G$2)</f>
        <v>0</v>
      </c>
      <c r="H59" s="2">
        <f>SUMIFS(Timesheet!$F$13:$F$11483,Timesheet!$A$13:$A$11483,'Início|Fim 1'!E59,Timesheet!$C$13:$C$11483,'Início|Fim 1'!$H$2)</f>
        <v>0</v>
      </c>
      <c r="I59" s="2">
        <f>SUMIFS(Timesheet!$F$13:$F$11483,Timesheet!$A$13:$A$11483,'Início|Fim 1'!E59,Timesheet!$C$13:$C$11483,'Início|Fim 1'!$I$2)</f>
        <v>0</v>
      </c>
      <c r="J59" s="2">
        <f>SUMIFS(Timesheet!$F$13:$F$11483,Timesheet!$A$13:$A$11483,'Início|Fim 1'!E59,Timesheet!$C$13:$C$11483,'Início|Fim 1'!$J$2)</f>
        <v>0</v>
      </c>
      <c r="K59" s="2">
        <f>SUMIFS(Timesheet!$F$13:$F$11483,Timesheet!$A$13:$A$11483,'Início|Fim 1'!E59,Timesheet!$C$13:$C$11483,'Início|Fim 1'!$K$2)</f>
        <v>0</v>
      </c>
      <c r="L59" s="2">
        <f>SUMIFS(Timesheet!$F$13:$F$11483,Timesheet!$A$13:$A$11483,'Início|Fim 1'!E59,Timesheet!$C$13:$C$11483,'Início|Fim 1'!$L$2)</f>
        <v>0</v>
      </c>
      <c r="M59" s="2">
        <f>SUMIFS(Timesheet!$F$13:$F$11483,Timesheet!$A$13:$A$11483,'Início|Fim 1'!E59,Timesheet!$C$13:$C$11483,'Início|Fim 1'!$M$2)</f>
        <v>0</v>
      </c>
      <c r="N59" s="2">
        <f>SUMIFS(Timesheet!$F$13:$F$11483,Timesheet!$A$13:$A$11483,'Início|Fim 1'!E59,Timesheet!$C$13:$C$11483,'Início|Fim 1'!$N$2)</f>
        <v>0</v>
      </c>
      <c r="O59" s="2">
        <f t="shared" si="0"/>
        <v>0</v>
      </c>
    </row>
    <row r="60" spans="1:15" x14ac:dyDescent="0.25">
      <c r="A60" s="1">
        <v>44984</v>
      </c>
      <c r="B60" s="3">
        <f t="array" ref="B60">MIN(IF(A60=Timesheet!$A$13:$A$2615,Timesheet!$D$13:$D$2615))</f>
        <v>0</v>
      </c>
      <c r="C60" s="3">
        <f t="array" ref="C60">MAX(IF(A60=Timesheet!$A$13:$A$2615,Timesheet!$E$13:$E$2615))</f>
        <v>0</v>
      </c>
      <c r="E60" s="1">
        <v>44984</v>
      </c>
      <c r="F60" s="2">
        <f>SUMIFS(Timesheet!$F$13:$F$11483,Timesheet!$A$13:$A$11483,'Início|Fim 1'!E60,Timesheet!$C$13:$C$11483,'Início|Fim 1'!$F$2)</f>
        <v>0</v>
      </c>
      <c r="G60" s="2">
        <f>SUMIFS(Timesheet!$F$13:$F$11483,Timesheet!$A$13:$A$11483,'Início|Fim 1'!E60,Timesheet!$C$13:$C$11483,'Início|Fim 1'!$G$2)</f>
        <v>0</v>
      </c>
      <c r="H60" s="2">
        <f>SUMIFS(Timesheet!$F$13:$F$11483,Timesheet!$A$13:$A$11483,'Início|Fim 1'!E60,Timesheet!$C$13:$C$11483,'Início|Fim 1'!$H$2)</f>
        <v>0</v>
      </c>
      <c r="I60" s="2">
        <f>SUMIFS(Timesheet!$F$13:$F$11483,Timesheet!$A$13:$A$11483,'Início|Fim 1'!E60,Timesheet!$C$13:$C$11483,'Início|Fim 1'!$I$2)</f>
        <v>0</v>
      </c>
      <c r="J60" s="2">
        <f>SUMIFS(Timesheet!$F$13:$F$11483,Timesheet!$A$13:$A$11483,'Início|Fim 1'!E60,Timesheet!$C$13:$C$11483,'Início|Fim 1'!$J$2)</f>
        <v>0</v>
      </c>
      <c r="K60" s="2">
        <f>SUMIFS(Timesheet!$F$13:$F$11483,Timesheet!$A$13:$A$11483,'Início|Fim 1'!E60,Timesheet!$C$13:$C$11483,'Início|Fim 1'!$K$2)</f>
        <v>0</v>
      </c>
      <c r="L60" s="2">
        <f>SUMIFS(Timesheet!$F$13:$F$11483,Timesheet!$A$13:$A$11483,'Início|Fim 1'!E60,Timesheet!$C$13:$C$11483,'Início|Fim 1'!$L$2)</f>
        <v>0</v>
      </c>
      <c r="M60" s="2">
        <f>SUMIFS(Timesheet!$F$13:$F$11483,Timesheet!$A$13:$A$11483,'Início|Fim 1'!E60,Timesheet!$C$13:$C$11483,'Início|Fim 1'!$M$2)</f>
        <v>0</v>
      </c>
      <c r="N60" s="2">
        <f>SUMIFS(Timesheet!$F$13:$F$11483,Timesheet!$A$13:$A$11483,'Início|Fim 1'!E60,Timesheet!$C$13:$C$11483,'Início|Fim 1'!$N$2)</f>
        <v>0</v>
      </c>
      <c r="O60" s="2">
        <f t="shared" si="0"/>
        <v>0</v>
      </c>
    </row>
    <row r="61" spans="1:15" x14ac:dyDescent="0.25">
      <c r="A61" s="1">
        <v>44985</v>
      </c>
      <c r="B61" s="3">
        <f t="array" ref="B61">MIN(IF(A61=Timesheet!$A$13:$A$2615,Timesheet!$D$13:$D$2615))</f>
        <v>0</v>
      </c>
      <c r="C61" s="3">
        <f t="array" ref="C61">MAX(IF(A61=Timesheet!$A$13:$A$2615,Timesheet!$E$13:$E$2615))</f>
        <v>0</v>
      </c>
      <c r="E61" s="1">
        <v>44985</v>
      </c>
      <c r="F61" s="2">
        <f>SUMIFS(Timesheet!$F$13:$F$11483,Timesheet!$A$13:$A$11483,'Início|Fim 1'!E61,Timesheet!$C$13:$C$11483,'Início|Fim 1'!$F$2)</f>
        <v>0</v>
      </c>
      <c r="G61" s="2">
        <f>SUMIFS(Timesheet!$F$13:$F$11483,Timesheet!$A$13:$A$11483,'Início|Fim 1'!E61,Timesheet!$C$13:$C$11483,'Início|Fim 1'!$G$2)</f>
        <v>0</v>
      </c>
      <c r="H61" s="2">
        <f>SUMIFS(Timesheet!$F$13:$F$11483,Timesheet!$A$13:$A$11483,'Início|Fim 1'!E61,Timesheet!$C$13:$C$11483,'Início|Fim 1'!$H$2)</f>
        <v>0</v>
      </c>
      <c r="I61" s="2">
        <f>SUMIFS(Timesheet!$F$13:$F$11483,Timesheet!$A$13:$A$11483,'Início|Fim 1'!E61,Timesheet!$C$13:$C$11483,'Início|Fim 1'!$I$2)</f>
        <v>0</v>
      </c>
      <c r="J61" s="2">
        <f>SUMIFS(Timesheet!$F$13:$F$11483,Timesheet!$A$13:$A$11483,'Início|Fim 1'!E61,Timesheet!$C$13:$C$11483,'Início|Fim 1'!$J$2)</f>
        <v>0</v>
      </c>
      <c r="K61" s="2">
        <f>SUMIFS(Timesheet!$F$13:$F$11483,Timesheet!$A$13:$A$11483,'Início|Fim 1'!E61,Timesheet!$C$13:$C$11483,'Início|Fim 1'!$K$2)</f>
        <v>0</v>
      </c>
      <c r="L61" s="2">
        <f>SUMIFS(Timesheet!$F$13:$F$11483,Timesheet!$A$13:$A$11483,'Início|Fim 1'!E61,Timesheet!$C$13:$C$11483,'Início|Fim 1'!$L$2)</f>
        <v>0</v>
      </c>
      <c r="M61" s="2">
        <f>SUMIFS(Timesheet!$F$13:$F$11483,Timesheet!$A$13:$A$11483,'Início|Fim 1'!E61,Timesheet!$C$13:$C$11483,'Início|Fim 1'!$M$2)</f>
        <v>0</v>
      </c>
      <c r="N61" s="2">
        <f>SUMIFS(Timesheet!$F$13:$F$11483,Timesheet!$A$13:$A$11483,'Início|Fim 1'!E61,Timesheet!$C$13:$C$11483,'Início|Fim 1'!$N$2)</f>
        <v>0</v>
      </c>
      <c r="O61" s="2">
        <f t="shared" si="0"/>
        <v>0</v>
      </c>
    </row>
    <row r="62" spans="1:15" x14ac:dyDescent="0.25">
      <c r="A62" s="1">
        <v>44986</v>
      </c>
      <c r="B62" s="3">
        <f t="array" ref="B62">MIN(IF(A62=Timesheet!$A$13:$A$2615,Timesheet!$D$13:$D$2615))</f>
        <v>0</v>
      </c>
      <c r="C62" s="3">
        <f t="array" ref="C62">MAX(IF(A62=Timesheet!$A$13:$A$2615,Timesheet!$E$13:$E$2615))</f>
        <v>0</v>
      </c>
      <c r="E62" s="1">
        <v>44986</v>
      </c>
      <c r="F62" s="2">
        <f>SUMIFS(Timesheet!$F$13:$F$11483,Timesheet!$A$13:$A$11483,'Início|Fim 1'!E62,Timesheet!$C$13:$C$11483,'Início|Fim 1'!$F$2)</f>
        <v>0</v>
      </c>
      <c r="G62" s="2">
        <f>SUMIFS(Timesheet!$F$13:$F$11483,Timesheet!$A$13:$A$11483,'Início|Fim 1'!E62,Timesheet!$C$13:$C$11483,'Início|Fim 1'!$G$2)</f>
        <v>0</v>
      </c>
      <c r="H62" s="2">
        <f>SUMIFS(Timesheet!$F$13:$F$11483,Timesheet!$A$13:$A$11483,'Início|Fim 1'!E62,Timesheet!$C$13:$C$11483,'Início|Fim 1'!$H$2)</f>
        <v>0</v>
      </c>
      <c r="I62" s="2">
        <f>SUMIFS(Timesheet!$F$13:$F$11483,Timesheet!$A$13:$A$11483,'Início|Fim 1'!E62,Timesheet!$C$13:$C$11483,'Início|Fim 1'!$I$2)</f>
        <v>0</v>
      </c>
      <c r="J62" s="2">
        <f>SUMIFS(Timesheet!$F$13:$F$11483,Timesheet!$A$13:$A$11483,'Início|Fim 1'!E62,Timesheet!$C$13:$C$11483,'Início|Fim 1'!$J$2)</f>
        <v>0</v>
      </c>
      <c r="K62" s="2">
        <f>SUMIFS(Timesheet!$F$13:$F$11483,Timesheet!$A$13:$A$11483,'Início|Fim 1'!E62,Timesheet!$C$13:$C$11483,'Início|Fim 1'!$K$2)</f>
        <v>0</v>
      </c>
      <c r="L62" s="2">
        <f>SUMIFS(Timesheet!$F$13:$F$11483,Timesheet!$A$13:$A$11483,'Início|Fim 1'!E62,Timesheet!$C$13:$C$11483,'Início|Fim 1'!$L$2)</f>
        <v>0</v>
      </c>
      <c r="M62" s="2">
        <f>SUMIFS(Timesheet!$F$13:$F$11483,Timesheet!$A$13:$A$11483,'Início|Fim 1'!E62,Timesheet!$C$13:$C$11483,'Início|Fim 1'!$M$2)</f>
        <v>0</v>
      </c>
      <c r="N62" s="2">
        <f>SUMIFS(Timesheet!$F$13:$F$11483,Timesheet!$A$13:$A$11483,'Início|Fim 1'!E62,Timesheet!$C$13:$C$11483,'Início|Fim 1'!$N$2)</f>
        <v>0</v>
      </c>
      <c r="O62" s="2">
        <f t="shared" si="0"/>
        <v>0</v>
      </c>
    </row>
    <row r="63" spans="1:15" x14ac:dyDescent="0.25">
      <c r="A63" s="1">
        <v>44987</v>
      </c>
      <c r="B63" s="3">
        <f t="array" ref="B63">MIN(IF(A63=Timesheet!$A$13:$A$2615,Timesheet!$D$13:$D$2615))</f>
        <v>0</v>
      </c>
      <c r="C63" s="3">
        <f t="array" ref="C63">MAX(IF(A63=Timesheet!$A$13:$A$2615,Timesheet!$E$13:$E$2615))</f>
        <v>0</v>
      </c>
      <c r="E63" s="1">
        <v>44987</v>
      </c>
      <c r="F63" s="2">
        <f>SUMIFS(Timesheet!$F$13:$F$11483,Timesheet!$A$13:$A$11483,'Início|Fim 1'!E63,Timesheet!$C$13:$C$11483,'Início|Fim 1'!$F$2)</f>
        <v>0</v>
      </c>
      <c r="G63" s="2">
        <f>SUMIFS(Timesheet!$F$13:$F$11483,Timesheet!$A$13:$A$11483,'Início|Fim 1'!E63,Timesheet!$C$13:$C$11483,'Início|Fim 1'!$G$2)</f>
        <v>0</v>
      </c>
      <c r="H63" s="2">
        <f>SUMIFS(Timesheet!$F$13:$F$11483,Timesheet!$A$13:$A$11483,'Início|Fim 1'!E63,Timesheet!$C$13:$C$11483,'Início|Fim 1'!$H$2)</f>
        <v>0</v>
      </c>
      <c r="I63" s="2">
        <f>SUMIFS(Timesheet!$F$13:$F$11483,Timesheet!$A$13:$A$11483,'Início|Fim 1'!E63,Timesheet!$C$13:$C$11483,'Início|Fim 1'!$I$2)</f>
        <v>0</v>
      </c>
      <c r="J63" s="2">
        <f>SUMIFS(Timesheet!$F$13:$F$11483,Timesheet!$A$13:$A$11483,'Início|Fim 1'!E63,Timesheet!$C$13:$C$11483,'Início|Fim 1'!$J$2)</f>
        <v>0</v>
      </c>
      <c r="K63" s="2">
        <f>SUMIFS(Timesheet!$F$13:$F$11483,Timesheet!$A$13:$A$11483,'Início|Fim 1'!E63,Timesheet!$C$13:$C$11483,'Início|Fim 1'!$K$2)</f>
        <v>0</v>
      </c>
      <c r="L63" s="2">
        <f>SUMIFS(Timesheet!$F$13:$F$11483,Timesheet!$A$13:$A$11483,'Início|Fim 1'!E63,Timesheet!$C$13:$C$11483,'Início|Fim 1'!$L$2)</f>
        <v>0</v>
      </c>
      <c r="M63" s="2">
        <f>SUMIFS(Timesheet!$F$13:$F$11483,Timesheet!$A$13:$A$11483,'Início|Fim 1'!E63,Timesheet!$C$13:$C$11483,'Início|Fim 1'!$M$2)</f>
        <v>0</v>
      </c>
      <c r="N63" s="2">
        <f>SUMIFS(Timesheet!$F$13:$F$11483,Timesheet!$A$13:$A$11483,'Início|Fim 1'!E63,Timesheet!$C$13:$C$11483,'Início|Fim 1'!$N$2)</f>
        <v>0</v>
      </c>
      <c r="O63" s="2">
        <f t="shared" si="0"/>
        <v>0</v>
      </c>
    </row>
    <row r="64" spans="1:15" x14ac:dyDescent="0.25">
      <c r="A64" s="1">
        <v>44988</v>
      </c>
      <c r="B64" s="3">
        <f t="array" ref="B64">MIN(IF(A64=Timesheet!$A$13:$A$2615,Timesheet!$D$13:$D$2615))</f>
        <v>0</v>
      </c>
      <c r="C64" s="3">
        <f t="array" ref="C64">MAX(IF(A64=Timesheet!$A$13:$A$2615,Timesheet!$E$13:$E$2615))</f>
        <v>0</v>
      </c>
      <c r="E64" s="1">
        <v>44988</v>
      </c>
      <c r="F64" s="2">
        <f>SUMIFS(Timesheet!$F$13:$F$11483,Timesheet!$A$13:$A$11483,'Início|Fim 1'!E64,Timesheet!$C$13:$C$11483,'Início|Fim 1'!$F$2)</f>
        <v>0</v>
      </c>
      <c r="G64" s="2">
        <f>SUMIFS(Timesheet!$F$13:$F$11483,Timesheet!$A$13:$A$11483,'Início|Fim 1'!E64,Timesheet!$C$13:$C$11483,'Início|Fim 1'!$G$2)</f>
        <v>0</v>
      </c>
      <c r="H64" s="2">
        <f>SUMIFS(Timesheet!$F$13:$F$11483,Timesheet!$A$13:$A$11483,'Início|Fim 1'!E64,Timesheet!$C$13:$C$11483,'Início|Fim 1'!$H$2)</f>
        <v>0</v>
      </c>
      <c r="I64" s="2">
        <f>SUMIFS(Timesheet!$F$13:$F$11483,Timesheet!$A$13:$A$11483,'Início|Fim 1'!E64,Timesheet!$C$13:$C$11483,'Início|Fim 1'!$I$2)</f>
        <v>0</v>
      </c>
      <c r="J64" s="2">
        <f>SUMIFS(Timesheet!$F$13:$F$11483,Timesheet!$A$13:$A$11483,'Início|Fim 1'!E64,Timesheet!$C$13:$C$11483,'Início|Fim 1'!$J$2)</f>
        <v>0</v>
      </c>
      <c r="K64" s="2">
        <f>SUMIFS(Timesheet!$F$13:$F$11483,Timesheet!$A$13:$A$11483,'Início|Fim 1'!E64,Timesheet!$C$13:$C$11483,'Início|Fim 1'!$K$2)</f>
        <v>0</v>
      </c>
      <c r="L64" s="2">
        <f>SUMIFS(Timesheet!$F$13:$F$11483,Timesheet!$A$13:$A$11483,'Início|Fim 1'!E64,Timesheet!$C$13:$C$11483,'Início|Fim 1'!$L$2)</f>
        <v>0</v>
      </c>
      <c r="M64" s="2">
        <f>SUMIFS(Timesheet!$F$13:$F$11483,Timesheet!$A$13:$A$11483,'Início|Fim 1'!E64,Timesheet!$C$13:$C$11483,'Início|Fim 1'!$M$2)</f>
        <v>0</v>
      </c>
      <c r="N64" s="2">
        <f>SUMIFS(Timesheet!$F$13:$F$11483,Timesheet!$A$13:$A$11483,'Início|Fim 1'!E64,Timesheet!$C$13:$C$11483,'Início|Fim 1'!$N$2)</f>
        <v>0</v>
      </c>
      <c r="O64" s="2">
        <f t="shared" si="0"/>
        <v>0</v>
      </c>
    </row>
    <row r="65" spans="1:15" x14ac:dyDescent="0.25">
      <c r="A65" s="1">
        <v>44989</v>
      </c>
      <c r="B65" s="3">
        <f t="array" ref="B65">MIN(IF(A65=Timesheet!$A$13:$A$2615,Timesheet!$D$13:$D$2615))</f>
        <v>0</v>
      </c>
      <c r="C65" s="3">
        <f t="array" ref="C65">MAX(IF(A65=Timesheet!$A$13:$A$2615,Timesheet!$E$13:$E$2615))</f>
        <v>0</v>
      </c>
      <c r="E65" s="1">
        <v>44989</v>
      </c>
      <c r="F65" s="2">
        <f>SUMIFS(Timesheet!$F$13:$F$11483,Timesheet!$A$13:$A$11483,'Início|Fim 1'!E65,Timesheet!$C$13:$C$11483,'Início|Fim 1'!$F$2)</f>
        <v>0</v>
      </c>
      <c r="G65" s="2">
        <f>SUMIFS(Timesheet!$F$13:$F$11483,Timesheet!$A$13:$A$11483,'Início|Fim 1'!E65,Timesheet!$C$13:$C$11483,'Início|Fim 1'!$G$2)</f>
        <v>0</v>
      </c>
      <c r="H65" s="2">
        <f>SUMIFS(Timesheet!$F$13:$F$11483,Timesheet!$A$13:$A$11483,'Início|Fim 1'!E65,Timesheet!$C$13:$C$11483,'Início|Fim 1'!$H$2)</f>
        <v>0</v>
      </c>
      <c r="I65" s="2">
        <f>SUMIFS(Timesheet!$F$13:$F$11483,Timesheet!$A$13:$A$11483,'Início|Fim 1'!E65,Timesheet!$C$13:$C$11483,'Início|Fim 1'!$I$2)</f>
        <v>0</v>
      </c>
      <c r="J65" s="2">
        <f>SUMIFS(Timesheet!$F$13:$F$11483,Timesheet!$A$13:$A$11483,'Início|Fim 1'!E65,Timesheet!$C$13:$C$11483,'Início|Fim 1'!$J$2)</f>
        <v>0</v>
      </c>
      <c r="K65" s="2">
        <f>SUMIFS(Timesheet!$F$13:$F$11483,Timesheet!$A$13:$A$11483,'Início|Fim 1'!E65,Timesheet!$C$13:$C$11483,'Início|Fim 1'!$K$2)</f>
        <v>0</v>
      </c>
      <c r="L65" s="2">
        <f>SUMIFS(Timesheet!$F$13:$F$11483,Timesheet!$A$13:$A$11483,'Início|Fim 1'!E65,Timesheet!$C$13:$C$11483,'Início|Fim 1'!$L$2)</f>
        <v>0</v>
      </c>
      <c r="M65" s="2">
        <f>SUMIFS(Timesheet!$F$13:$F$11483,Timesheet!$A$13:$A$11483,'Início|Fim 1'!E65,Timesheet!$C$13:$C$11483,'Início|Fim 1'!$M$2)</f>
        <v>0</v>
      </c>
      <c r="N65" s="2">
        <f>SUMIFS(Timesheet!$F$13:$F$11483,Timesheet!$A$13:$A$11483,'Início|Fim 1'!E65,Timesheet!$C$13:$C$11483,'Início|Fim 1'!$N$2)</f>
        <v>0</v>
      </c>
      <c r="O65" s="2">
        <f t="shared" si="0"/>
        <v>0</v>
      </c>
    </row>
    <row r="66" spans="1:15" x14ac:dyDescent="0.25">
      <c r="A66" s="1">
        <v>44990</v>
      </c>
      <c r="B66" s="3">
        <f t="array" ref="B66">MIN(IF(A66=Timesheet!$A$13:$A$2615,Timesheet!$D$13:$D$2615))</f>
        <v>0</v>
      </c>
      <c r="C66" s="3">
        <f t="array" ref="C66">MAX(IF(A66=Timesheet!$A$13:$A$2615,Timesheet!$E$13:$E$2615))</f>
        <v>0</v>
      </c>
      <c r="E66" s="1">
        <v>44990</v>
      </c>
      <c r="F66" s="2">
        <f>SUMIFS(Timesheet!$F$13:$F$11483,Timesheet!$A$13:$A$11483,'Início|Fim 1'!E66,Timesheet!$C$13:$C$11483,'Início|Fim 1'!$F$2)</f>
        <v>0</v>
      </c>
      <c r="G66" s="2">
        <f>SUMIFS(Timesheet!$F$13:$F$11483,Timesheet!$A$13:$A$11483,'Início|Fim 1'!E66,Timesheet!$C$13:$C$11483,'Início|Fim 1'!$G$2)</f>
        <v>0</v>
      </c>
      <c r="H66" s="2">
        <f>SUMIFS(Timesheet!$F$13:$F$11483,Timesheet!$A$13:$A$11483,'Início|Fim 1'!E66,Timesheet!$C$13:$C$11483,'Início|Fim 1'!$H$2)</f>
        <v>0</v>
      </c>
      <c r="I66" s="2">
        <f>SUMIFS(Timesheet!$F$13:$F$11483,Timesheet!$A$13:$A$11483,'Início|Fim 1'!E66,Timesheet!$C$13:$C$11483,'Início|Fim 1'!$I$2)</f>
        <v>0</v>
      </c>
      <c r="J66" s="2">
        <f>SUMIFS(Timesheet!$F$13:$F$11483,Timesheet!$A$13:$A$11483,'Início|Fim 1'!E66,Timesheet!$C$13:$C$11483,'Início|Fim 1'!$J$2)</f>
        <v>0</v>
      </c>
      <c r="K66" s="2">
        <f>SUMIFS(Timesheet!$F$13:$F$11483,Timesheet!$A$13:$A$11483,'Início|Fim 1'!E66,Timesheet!$C$13:$C$11483,'Início|Fim 1'!$K$2)</f>
        <v>0</v>
      </c>
      <c r="L66" s="2">
        <f>SUMIFS(Timesheet!$F$13:$F$11483,Timesheet!$A$13:$A$11483,'Início|Fim 1'!E66,Timesheet!$C$13:$C$11483,'Início|Fim 1'!$L$2)</f>
        <v>0</v>
      </c>
      <c r="M66" s="2">
        <f>SUMIFS(Timesheet!$F$13:$F$11483,Timesheet!$A$13:$A$11483,'Início|Fim 1'!E66,Timesheet!$C$13:$C$11483,'Início|Fim 1'!$M$2)</f>
        <v>0</v>
      </c>
      <c r="N66" s="2">
        <f>SUMIFS(Timesheet!$F$13:$F$11483,Timesheet!$A$13:$A$11483,'Início|Fim 1'!E66,Timesheet!$C$13:$C$11483,'Início|Fim 1'!$N$2)</f>
        <v>0</v>
      </c>
      <c r="O66" s="2">
        <f t="shared" si="0"/>
        <v>0</v>
      </c>
    </row>
    <row r="67" spans="1:15" x14ac:dyDescent="0.25">
      <c r="A67" s="1">
        <v>44991</v>
      </c>
      <c r="B67" s="3">
        <f t="array" ref="B67">MIN(IF(A67=Timesheet!$A$13:$A$2615,Timesheet!$D$13:$D$2615))</f>
        <v>0</v>
      </c>
      <c r="C67" s="3">
        <f t="array" ref="C67">MAX(IF(A67=Timesheet!$A$13:$A$2615,Timesheet!$E$13:$E$2615))</f>
        <v>0</v>
      </c>
      <c r="E67" s="1">
        <v>44991</v>
      </c>
      <c r="F67" s="2">
        <f>SUMIFS(Timesheet!$F$13:$F$11483,Timesheet!$A$13:$A$11483,'Início|Fim 1'!E67,Timesheet!$C$13:$C$11483,'Início|Fim 1'!$F$2)</f>
        <v>0</v>
      </c>
      <c r="G67" s="2">
        <f>SUMIFS(Timesheet!$F$13:$F$11483,Timesheet!$A$13:$A$11483,'Início|Fim 1'!E67,Timesheet!$C$13:$C$11483,'Início|Fim 1'!$G$2)</f>
        <v>0</v>
      </c>
      <c r="H67" s="2">
        <f>SUMIFS(Timesheet!$F$13:$F$11483,Timesheet!$A$13:$A$11483,'Início|Fim 1'!E67,Timesheet!$C$13:$C$11483,'Início|Fim 1'!$H$2)</f>
        <v>0</v>
      </c>
      <c r="I67" s="2">
        <f>SUMIFS(Timesheet!$F$13:$F$11483,Timesheet!$A$13:$A$11483,'Início|Fim 1'!E67,Timesheet!$C$13:$C$11483,'Início|Fim 1'!$I$2)</f>
        <v>0</v>
      </c>
      <c r="J67" s="2">
        <f>SUMIFS(Timesheet!$F$13:$F$11483,Timesheet!$A$13:$A$11483,'Início|Fim 1'!E67,Timesheet!$C$13:$C$11483,'Início|Fim 1'!$J$2)</f>
        <v>0</v>
      </c>
      <c r="K67" s="2">
        <f>SUMIFS(Timesheet!$F$13:$F$11483,Timesheet!$A$13:$A$11483,'Início|Fim 1'!E67,Timesheet!$C$13:$C$11483,'Início|Fim 1'!$K$2)</f>
        <v>0</v>
      </c>
      <c r="L67" s="2">
        <f>SUMIFS(Timesheet!$F$13:$F$11483,Timesheet!$A$13:$A$11483,'Início|Fim 1'!E67,Timesheet!$C$13:$C$11483,'Início|Fim 1'!$L$2)</f>
        <v>0</v>
      </c>
      <c r="M67" s="2">
        <f>SUMIFS(Timesheet!$F$13:$F$11483,Timesheet!$A$13:$A$11483,'Início|Fim 1'!E67,Timesheet!$C$13:$C$11483,'Início|Fim 1'!$M$2)</f>
        <v>0</v>
      </c>
      <c r="N67" s="2">
        <f>SUMIFS(Timesheet!$F$13:$F$11483,Timesheet!$A$13:$A$11483,'Início|Fim 1'!E67,Timesheet!$C$13:$C$11483,'Início|Fim 1'!$N$2)</f>
        <v>0</v>
      </c>
      <c r="O67" s="2">
        <f t="shared" ref="O67:O130" si="1">SUM(F67:K67)</f>
        <v>0</v>
      </c>
    </row>
    <row r="68" spans="1:15" x14ac:dyDescent="0.25">
      <c r="A68" s="1">
        <v>44992</v>
      </c>
      <c r="B68" s="3">
        <f t="array" ref="B68">MIN(IF(A68=Timesheet!$A$13:$A$2615,Timesheet!$D$13:$D$2615))</f>
        <v>0</v>
      </c>
      <c r="C68" s="3">
        <f t="array" ref="C68">MAX(IF(A68=Timesheet!$A$13:$A$2615,Timesheet!$E$13:$E$2615))</f>
        <v>0</v>
      </c>
      <c r="E68" s="1">
        <v>44992</v>
      </c>
      <c r="F68" s="2">
        <f>SUMIFS(Timesheet!$F$13:$F$11483,Timesheet!$A$13:$A$11483,'Início|Fim 1'!E68,Timesheet!$C$13:$C$11483,'Início|Fim 1'!$F$2)</f>
        <v>0</v>
      </c>
      <c r="G68" s="2">
        <f>SUMIFS(Timesheet!$F$13:$F$11483,Timesheet!$A$13:$A$11483,'Início|Fim 1'!E68,Timesheet!$C$13:$C$11483,'Início|Fim 1'!$G$2)</f>
        <v>0</v>
      </c>
      <c r="H68" s="2">
        <f>SUMIFS(Timesheet!$F$13:$F$11483,Timesheet!$A$13:$A$11483,'Início|Fim 1'!E68,Timesheet!$C$13:$C$11483,'Início|Fim 1'!$H$2)</f>
        <v>0</v>
      </c>
      <c r="I68" s="2">
        <f>SUMIFS(Timesheet!$F$13:$F$11483,Timesheet!$A$13:$A$11483,'Início|Fim 1'!E68,Timesheet!$C$13:$C$11483,'Início|Fim 1'!$I$2)</f>
        <v>0</v>
      </c>
      <c r="J68" s="2">
        <f>SUMIFS(Timesheet!$F$13:$F$11483,Timesheet!$A$13:$A$11483,'Início|Fim 1'!E68,Timesheet!$C$13:$C$11483,'Início|Fim 1'!$J$2)</f>
        <v>0</v>
      </c>
      <c r="K68" s="2">
        <f>SUMIFS(Timesheet!$F$13:$F$11483,Timesheet!$A$13:$A$11483,'Início|Fim 1'!E68,Timesheet!$C$13:$C$11483,'Início|Fim 1'!$K$2)</f>
        <v>0</v>
      </c>
      <c r="L68" s="2">
        <f>SUMIFS(Timesheet!$F$13:$F$11483,Timesheet!$A$13:$A$11483,'Início|Fim 1'!E68,Timesheet!$C$13:$C$11483,'Início|Fim 1'!$L$2)</f>
        <v>0</v>
      </c>
      <c r="M68" s="2">
        <f>SUMIFS(Timesheet!$F$13:$F$11483,Timesheet!$A$13:$A$11483,'Início|Fim 1'!E68,Timesheet!$C$13:$C$11483,'Início|Fim 1'!$M$2)</f>
        <v>0</v>
      </c>
      <c r="N68" s="2">
        <f>SUMIFS(Timesheet!$F$13:$F$11483,Timesheet!$A$13:$A$11483,'Início|Fim 1'!E68,Timesheet!$C$13:$C$11483,'Início|Fim 1'!$N$2)</f>
        <v>0</v>
      </c>
      <c r="O68" s="2">
        <f t="shared" si="1"/>
        <v>0</v>
      </c>
    </row>
    <row r="69" spans="1:15" x14ac:dyDescent="0.25">
      <c r="A69" s="1">
        <v>44993</v>
      </c>
      <c r="B69" s="3">
        <f t="array" ref="B69">MIN(IF(A69=Timesheet!$A$13:$A$2615,Timesheet!$D$13:$D$2615))</f>
        <v>0</v>
      </c>
      <c r="C69" s="3">
        <f t="array" ref="C69">MAX(IF(A69=Timesheet!$A$13:$A$2615,Timesheet!$E$13:$E$2615))</f>
        <v>0</v>
      </c>
      <c r="E69" s="1">
        <v>44993</v>
      </c>
      <c r="F69" s="2">
        <f>SUMIFS(Timesheet!$F$13:$F$11483,Timesheet!$A$13:$A$11483,'Início|Fim 1'!E69,Timesheet!$C$13:$C$11483,'Início|Fim 1'!$F$2)</f>
        <v>0</v>
      </c>
      <c r="G69" s="2">
        <f>SUMIFS(Timesheet!$F$13:$F$11483,Timesheet!$A$13:$A$11483,'Início|Fim 1'!E69,Timesheet!$C$13:$C$11483,'Início|Fim 1'!$G$2)</f>
        <v>0</v>
      </c>
      <c r="H69" s="2">
        <f>SUMIFS(Timesheet!$F$13:$F$11483,Timesheet!$A$13:$A$11483,'Início|Fim 1'!E69,Timesheet!$C$13:$C$11483,'Início|Fim 1'!$H$2)</f>
        <v>0</v>
      </c>
      <c r="I69" s="2">
        <f>SUMIFS(Timesheet!$F$13:$F$11483,Timesheet!$A$13:$A$11483,'Início|Fim 1'!E69,Timesheet!$C$13:$C$11483,'Início|Fim 1'!$I$2)</f>
        <v>0</v>
      </c>
      <c r="J69" s="2">
        <f>SUMIFS(Timesheet!$F$13:$F$11483,Timesheet!$A$13:$A$11483,'Início|Fim 1'!E69,Timesheet!$C$13:$C$11483,'Início|Fim 1'!$J$2)</f>
        <v>0</v>
      </c>
      <c r="K69" s="2">
        <f>SUMIFS(Timesheet!$F$13:$F$11483,Timesheet!$A$13:$A$11483,'Início|Fim 1'!E69,Timesheet!$C$13:$C$11483,'Início|Fim 1'!$K$2)</f>
        <v>0</v>
      </c>
      <c r="L69" s="2">
        <f>SUMIFS(Timesheet!$F$13:$F$11483,Timesheet!$A$13:$A$11483,'Início|Fim 1'!E69,Timesheet!$C$13:$C$11483,'Início|Fim 1'!$L$2)</f>
        <v>0</v>
      </c>
      <c r="M69" s="2">
        <f>SUMIFS(Timesheet!$F$13:$F$11483,Timesheet!$A$13:$A$11483,'Início|Fim 1'!E69,Timesheet!$C$13:$C$11483,'Início|Fim 1'!$M$2)</f>
        <v>0</v>
      </c>
      <c r="N69" s="2">
        <f>SUMIFS(Timesheet!$F$13:$F$11483,Timesheet!$A$13:$A$11483,'Início|Fim 1'!E69,Timesheet!$C$13:$C$11483,'Início|Fim 1'!$N$2)</f>
        <v>0</v>
      </c>
      <c r="O69" s="2">
        <f t="shared" si="1"/>
        <v>0</v>
      </c>
    </row>
    <row r="70" spans="1:15" x14ac:dyDescent="0.25">
      <c r="A70" s="1">
        <v>44994</v>
      </c>
      <c r="B70" s="3">
        <f t="array" ref="B70">MIN(IF(A70=Timesheet!$A$13:$A$2615,Timesheet!$D$13:$D$2615))</f>
        <v>0</v>
      </c>
      <c r="C70" s="3">
        <f t="array" ref="C70">MAX(IF(A70=Timesheet!$A$13:$A$2615,Timesheet!$E$13:$E$2615))</f>
        <v>0</v>
      </c>
      <c r="E70" s="1">
        <v>44994</v>
      </c>
      <c r="F70" s="2">
        <f>SUMIFS(Timesheet!$F$13:$F$11483,Timesheet!$A$13:$A$11483,'Início|Fim 1'!E70,Timesheet!$C$13:$C$11483,'Início|Fim 1'!$F$2)</f>
        <v>0</v>
      </c>
      <c r="G70" s="2">
        <f>SUMIFS(Timesheet!$F$13:$F$11483,Timesheet!$A$13:$A$11483,'Início|Fim 1'!E70,Timesheet!$C$13:$C$11483,'Início|Fim 1'!$G$2)</f>
        <v>0</v>
      </c>
      <c r="H70" s="2">
        <f>SUMIFS(Timesheet!$F$13:$F$11483,Timesheet!$A$13:$A$11483,'Início|Fim 1'!E70,Timesheet!$C$13:$C$11483,'Início|Fim 1'!$H$2)</f>
        <v>0</v>
      </c>
      <c r="I70" s="2">
        <f>SUMIFS(Timesheet!$F$13:$F$11483,Timesheet!$A$13:$A$11483,'Início|Fim 1'!E70,Timesheet!$C$13:$C$11483,'Início|Fim 1'!$I$2)</f>
        <v>0</v>
      </c>
      <c r="J70" s="2">
        <f>SUMIFS(Timesheet!$F$13:$F$11483,Timesheet!$A$13:$A$11483,'Início|Fim 1'!E70,Timesheet!$C$13:$C$11483,'Início|Fim 1'!$J$2)</f>
        <v>0</v>
      </c>
      <c r="K70" s="2">
        <f>SUMIFS(Timesheet!$F$13:$F$11483,Timesheet!$A$13:$A$11483,'Início|Fim 1'!E70,Timesheet!$C$13:$C$11483,'Início|Fim 1'!$K$2)</f>
        <v>0</v>
      </c>
      <c r="L70" s="2">
        <f>SUMIFS(Timesheet!$F$13:$F$11483,Timesheet!$A$13:$A$11483,'Início|Fim 1'!E70,Timesheet!$C$13:$C$11483,'Início|Fim 1'!$L$2)</f>
        <v>0</v>
      </c>
      <c r="M70" s="2">
        <f>SUMIFS(Timesheet!$F$13:$F$11483,Timesheet!$A$13:$A$11483,'Início|Fim 1'!E70,Timesheet!$C$13:$C$11483,'Início|Fim 1'!$M$2)</f>
        <v>0</v>
      </c>
      <c r="N70" s="2">
        <f>SUMIFS(Timesheet!$F$13:$F$11483,Timesheet!$A$13:$A$11483,'Início|Fim 1'!E70,Timesheet!$C$13:$C$11483,'Início|Fim 1'!$N$2)</f>
        <v>0</v>
      </c>
      <c r="O70" s="2">
        <f t="shared" si="1"/>
        <v>0</v>
      </c>
    </row>
    <row r="71" spans="1:15" x14ac:dyDescent="0.25">
      <c r="A71" s="1">
        <v>44995</v>
      </c>
      <c r="B71" s="3">
        <f t="array" ref="B71">MIN(IF(A71=Timesheet!$A$13:$A$2615,Timesheet!$D$13:$D$2615))</f>
        <v>0</v>
      </c>
      <c r="C71" s="3">
        <f t="array" ref="C71">MAX(IF(A71=Timesheet!$A$13:$A$2615,Timesheet!$E$13:$E$2615))</f>
        <v>0</v>
      </c>
      <c r="E71" s="1">
        <v>44995</v>
      </c>
      <c r="F71" s="2">
        <f>SUMIFS(Timesheet!$F$13:$F$11483,Timesheet!$A$13:$A$11483,'Início|Fim 1'!E71,Timesheet!$C$13:$C$11483,'Início|Fim 1'!$F$2)</f>
        <v>0</v>
      </c>
      <c r="G71" s="2">
        <f>SUMIFS(Timesheet!$F$13:$F$11483,Timesheet!$A$13:$A$11483,'Início|Fim 1'!E71,Timesheet!$C$13:$C$11483,'Início|Fim 1'!$G$2)</f>
        <v>0</v>
      </c>
      <c r="H71" s="2">
        <f>SUMIFS(Timesheet!$F$13:$F$11483,Timesheet!$A$13:$A$11483,'Início|Fim 1'!E71,Timesheet!$C$13:$C$11483,'Início|Fim 1'!$H$2)</f>
        <v>0</v>
      </c>
      <c r="I71" s="2">
        <f>SUMIFS(Timesheet!$F$13:$F$11483,Timesheet!$A$13:$A$11483,'Início|Fim 1'!E71,Timesheet!$C$13:$C$11483,'Início|Fim 1'!$I$2)</f>
        <v>0</v>
      </c>
      <c r="J71" s="2">
        <f>SUMIFS(Timesheet!$F$13:$F$11483,Timesheet!$A$13:$A$11483,'Início|Fim 1'!E71,Timesheet!$C$13:$C$11483,'Início|Fim 1'!$J$2)</f>
        <v>0</v>
      </c>
      <c r="K71" s="2">
        <f>SUMIFS(Timesheet!$F$13:$F$11483,Timesheet!$A$13:$A$11483,'Início|Fim 1'!E71,Timesheet!$C$13:$C$11483,'Início|Fim 1'!$K$2)</f>
        <v>0</v>
      </c>
      <c r="L71" s="2">
        <f>SUMIFS(Timesheet!$F$13:$F$11483,Timesheet!$A$13:$A$11483,'Início|Fim 1'!E71,Timesheet!$C$13:$C$11483,'Início|Fim 1'!$L$2)</f>
        <v>0</v>
      </c>
      <c r="M71" s="2">
        <f>SUMIFS(Timesheet!$F$13:$F$11483,Timesheet!$A$13:$A$11483,'Início|Fim 1'!E71,Timesheet!$C$13:$C$11483,'Início|Fim 1'!$M$2)</f>
        <v>0</v>
      </c>
      <c r="N71" s="2">
        <f>SUMIFS(Timesheet!$F$13:$F$11483,Timesheet!$A$13:$A$11483,'Início|Fim 1'!E71,Timesheet!$C$13:$C$11483,'Início|Fim 1'!$N$2)</f>
        <v>0</v>
      </c>
      <c r="O71" s="2">
        <f t="shared" si="1"/>
        <v>0</v>
      </c>
    </row>
    <row r="72" spans="1:15" x14ac:dyDescent="0.25">
      <c r="A72" s="1">
        <v>44996</v>
      </c>
      <c r="B72" s="3">
        <f t="array" ref="B72">MIN(IF(A72=Timesheet!$A$13:$A$2615,Timesheet!$D$13:$D$2615))</f>
        <v>0</v>
      </c>
      <c r="C72" s="3">
        <f t="array" ref="C72">MAX(IF(A72=Timesheet!$A$13:$A$2615,Timesheet!$E$13:$E$2615))</f>
        <v>0</v>
      </c>
      <c r="E72" s="1">
        <v>44996</v>
      </c>
      <c r="F72" s="2">
        <f>SUMIFS(Timesheet!$F$13:$F$11483,Timesheet!$A$13:$A$11483,'Início|Fim 1'!E72,Timesheet!$C$13:$C$11483,'Início|Fim 1'!$F$2)</f>
        <v>0</v>
      </c>
      <c r="G72" s="2">
        <f>SUMIFS(Timesheet!$F$13:$F$11483,Timesheet!$A$13:$A$11483,'Início|Fim 1'!E72,Timesheet!$C$13:$C$11483,'Início|Fim 1'!$G$2)</f>
        <v>0</v>
      </c>
      <c r="H72" s="2">
        <f>SUMIFS(Timesheet!$F$13:$F$11483,Timesheet!$A$13:$A$11483,'Início|Fim 1'!E72,Timesheet!$C$13:$C$11483,'Início|Fim 1'!$H$2)</f>
        <v>0</v>
      </c>
      <c r="I72" s="2">
        <f>SUMIFS(Timesheet!$F$13:$F$11483,Timesheet!$A$13:$A$11483,'Início|Fim 1'!E72,Timesheet!$C$13:$C$11483,'Início|Fim 1'!$I$2)</f>
        <v>0</v>
      </c>
      <c r="J72" s="2">
        <f>SUMIFS(Timesheet!$F$13:$F$11483,Timesheet!$A$13:$A$11483,'Início|Fim 1'!E72,Timesheet!$C$13:$C$11483,'Início|Fim 1'!$J$2)</f>
        <v>0</v>
      </c>
      <c r="K72" s="2">
        <f>SUMIFS(Timesheet!$F$13:$F$11483,Timesheet!$A$13:$A$11483,'Início|Fim 1'!E72,Timesheet!$C$13:$C$11483,'Início|Fim 1'!$K$2)</f>
        <v>0</v>
      </c>
      <c r="L72" s="2">
        <f>SUMIFS(Timesheet!$F$13:$F$11483,Timesheet!$A$13:$A$11483,'Início|Fim 1'!E72,Timesheet!$C$13:$C$11483,'Início|Fim 1'!$L$2)</f>
        <v>0</v>
      </c>
      <c r="M72" s="2">
        <f>SUMIFS(Timesheet!$F$13:$F$11483,Timesheet!$A$13:$A$11483,'Início|Fim 1'!E72,Timesheet!$C$13:$C$11483,'Início|Fim 1'!$M$2)</f>
        <v>0</v>
      </c>
      <c r="N72" s="2">
        <f>SUMIFS(Timesheet!$F$13:$F$11483,Timesheet!$A$13:$A$11483,'Início|Fim 1'!E72,Timesheet!$C$13:$C$11483,'Início|Fim 1'!$N$2)</f>
        <v>0</v>
      </c>
      <c r="O72" s="2">
        <f t="shared" si="1"/>
        <v>0</v>
      </c>
    </row>
    <row r="73" spans="1:15" x14ac:dyDescent="0.25">
      <c r="A73" s="1">
        <v>44997</v>
      </c>
      <c r="B73" s="3">
        <f t="array" ref="B73">MIN(IF(A73=Timesheet!$A$13:$A$2615,Timesheet!$D$13:$D$2615))</f>
        <v>0</v>
      </c>
      <c r="C73" s="3">
        <f t="array" ref="C73">MAX(IF(A73=Timesheet!$A$13:$A$2615,Timesheet!$E$13:$E$2615))</f>
        <v>0</v>
      </c>
      <c r="E73" s="1">
        <v>44997</v>
      </c>
      <c r="F73" s="2">
        <f>SUMIFS(Timesheet!$F$13:$F$11483,Timesheet!$A$13:$A$11483,'Início|Fim 1'!E73,Timesheet!$C$13:$C$11483,'Início|Fim 1'!$F$2)</f>
        <v>0</v>
      </c>
      <c r="G73" s="2">
        <f>SUMIFS(Timesheet!$F$13:$F$11483,Timesheet!$A$13:$A$11483,'Início|Fim 1'!E73,Timesheet!$C$13:$C$11483,'Início|Fim 1'!$G$2)</f>
        <v>0</v>
      </c>
      <c r="H73" s="2">
        <f>SUMIFS(Timesheet!$F$13:$F$11483,Timesheet!$A$13:$A$11483,'Início|Fim 1'!E73,Timesheet!$C$13:$C$11483,'Início|Fim 1'!$H$2)</f>
        <v>0</v>
      </c>
      <c r="I73" s="2">
        <f>SUMIFS(Timesheet!$F$13:$F$11483,Timesheet!$A$13:$A$11483,'Início|Fim 1'!E73,Timesheet!$C$13:$C$11483,'Início|Fim 1'!$I$2)</f>
        <v>0</v>
      </c>
      <c r="J73" s="2">
        <f>SUMIFS(Timesheet!$F$13:$F$11483,Timesheet!$A$13:$A$11483,'Início|Fim 1'!E73,Timesheet!$C$13:$C$11483,'Início|Fim 1'!$J$2)</f>
        <v>0</v>
      </c>
      <c r="K73" s="2">
        <f>SUMIFS(Timesheet!$F$13:$F$11483,Timesheet!$A$13:$A$11483,'Início|Fim 1'!E73,Timesheet!$C$13:$C$11483,'Início|Fim 1'!$K$2)</f>
        <v>0</v>
      </c>
      <c r="L73" s="2">
        <f>SUMIFS(Timesheet!$F$13:$F$11483,Timesheet!$A$13:$A$11483,'Início|Fim 1'!E73,Timesheet!$C$13:$C$11483,'Início|Fim 1'!$L$2)</f>
        <v>0</v>
      </c>
      <c r="M73" s="2">
        <f>SUMIFS(Timesheet!$F$13:$F$11483,Timesheet!$A$13:$A$11483,'Início|Fim 1'!E73,Timesheet!$C$13:$C$11483,'Início|Fim 1'!$M$2)</f>
        <v>0</v>
      </c>
      <c r="N73" s="2">
        <f>SUMIFS(Timesheet!$F$13:$F$11483,Timesheet!$A$13:$A$11483,'Início|Fim 1'!E73,Timesheet!$C$13:$C$11483,'Início|Fim 1'!$N$2)</f>
        <v>0</v>
      </c>
      <c r="O73" s="2">
        <f t="shared" si="1"/>
        <v>0</v>
      </c>
    </row>
    <row r="74" spans="1:15" x14ac:dyDescent="0.25">
      <c r="A74" s="1">
        <v>44998</v>
      </c>
      <c r="B74" s="3">
        <f t="array" ref="B74">MIN(IF(A74=Timesheet!$A$13:$A$2615,Timesheet!$D$13:$D$2615))</f>
        <v>0</v>
      </c>
      <c r="C74" s="3">
        <f t="array" ref="C74">MAX(IF(A74=Timesheet!$A$13:$A$2615,Timesheet!$E$13:$E$2615))</f>
        <v>0</v>
      </c>
      <c r="E74" s="1">
        <v>44998</v>
      </c>
      <c r="F74" s="2">
        <f>SUMIFS(Timesheet!$F$13:$F$11483,Timesheet!$A$13:$A$11483,'Início|Fim 1'!E74,Timesheet!$C$13:$C$11483,'Início|Fim 1'!$F$2)</f>
        <v>0</v>
      </c>
      <c r="G74" s="2">
        <f>SUMIFS(Timesheet!$F$13:$F$11483,Timesheet!$A$13:$A$11483,'Início|Fim 1'!E74,Timesheet!$C$13:$C$11483,'Início|Fim 1'!$G$2)</f>
        <v>0</v>
      </c>
      <c r="H74" s="2">
        <f>SUMIFS(Timesheet!$F$13:$F$11483,Timesheet!$A$13:$A$11483,'Início|Fim 1'!E74,Timesheet!$C$13:$C$11483,'Início|Fim 1'!$H$2)</f>
        <v>0</v>
      </c>
      <c r="I74" s="2">
        <f>SUMIFS(Timesheet!$F$13:$F$11483,Timesheet!$A$13:$A$11483,'Início|Fim 1'!E74,Timesheet!$C$13:$C$11483,'Início|Fim 1'!$I$2)</f>
        <v>0</v>
      </c>
      <c r="J74" s="2">
        <f>SUMIFS(Timesheet!$F$13:$F$11483,Timesheet!$A$13:$A$11483,'Início|Fim 1'!E74,Timesheet!$C$13:$C$11483,'Início|Fim 1'!$J$2)</f>
        <v>0</v>
      </c>
      <c r="K74" s="2">
        <f>SUMIFS(Timesheet!$F$13:$F$11483,Timesheet!$A$13:$A$11483,'Início|Fim 1'!E74,Timesheet!$C$13:$C$11483,'Início|Fim 1'!$K$2)</f>
        <v>0</v>
      </c>
      <c r="L74" s="2">
        <f>SUMIFS(Timesheet!$F$13:$F$11483,Timesheet!$A$13:$A$11483,'Início|Fim 1'!E74,Timesheet!$C$13:$C$11483,'Início|Fim 1'!$L$2)</f>
        <v>0</v>
      </c>
      <c r="M74" s="2">
        <f>SUMIFS(Timesheet!$F$13:$F$11483,Timesheet!$A$13:$A$11483,'Início|Fim 1'!E74,Timesheet!$C$13:$C$11483,'Início|Fim 1'!$M$2)</f>
        <v>0</v>
      </c>
      <c r="N74" s="2">
        <f>SUMIFS(Timesheet!$F$13:$F$11483,Timesheet!$A$13:$A$11483,'Início|Fim 1'!E74,Timesheet!$C$13:$C$11483,'Início|Fim 1'!$N$2)</f>
        <v>0</v>
      </c>
      <c r="O74" s="2">
        <f t="shared" si="1"/>
        <v>0</v>
      </c>
    </row>
    <row r="75" spans="1:15" x14ac:dyDescent="0.25">
      <c r="A75" s="1">
        <v>44999</v>
      </c>
      <c r="B75" s="3">
        <f t="array" ref="B75">MIN(IF(A75=Timesheet!$A$13:$A$2615,Timesheet!$D$13:$D$2615))</f>
        <v>0</v>
      </c>
      <c r="C75" s="3">
        <f t="array" ref="C75">MAX(IF(A75=Timesheet!$A$13:$A$2615,Timesheet!$E$13:$E$2615))</f>
        <v>0</v>
      </c>
      <c r="E75" s="1">
        <v>44999</v>
      </c>
      <c r="F75" s="2">
        <f>SUMIFS(Timesheet!$F$13:$F$11483,Timesheet!$A$13:$A$11483,'Início|Fim 1'!E75,Timesheet!$C$13:$C$11483,'Início|Fim 1'!$F$2)</f>
        <v>0</v>
      </c>
      <c r="G75" s="2">
        <f>SUMIFS(Timesheet!$F$13:$F$11483,Timesheet!$A$13:$A$11483,'Início|Fim 1'!E75,Timesheet!$C$13:$C$11483,'Início|Fim 1'!$G$2)</f>
        <v>0</v>
      </c>
      <c r="H75" s="2">
        <f>SUMIFS(Timesheet!$F$13:$F$11483,Timesheet!$A$13:$A$11483,'Início|Fim 1'!E75,Timesheet!$C$13:$C$11483,'Início|Fim 1'!$H$2)</f>
        <v>0</v>
      </c>
      <c r="I75" s="2">
        <f>SUMIFS(Timesheet!$F$13:$F$11483,Timesheet!$A$13:$A$11483,'Início|Fim 1'!E75,Timesheet!$C$13:$C$11483,'Início|Fim 1'!$I$2)</f>
        <v>0</v>
      </c>
      <c r="J75" s="2">
        <f>SUMIFS(Timesheet!$F$13:$F$11483,Timesheet!$A$13:$A$11483,'Início|Fim 1'!E75,Timesheet!$C$13:$C$11483,'Início|Fim 1'!$J$2)</f>
        <v>0</v>
      </c>
      <c r="K75" s="2">
        <f>SUMIFS(Timesheet!$F$13:$F$11483,Timesheet!$A$13:$A$11483,'Início|Fim 1'!E75,Timesheet!$C$13:$C$11483,'Início|Fim 1'!$K$2)</f>
        <v>0</v>
      </c>
      <c r="L75" s="2">
        <f>SUMIFS(Timesheet!$F$13:$F$11483,Timesheet!$A$13:$A$11483,'Início|Fim 1'!E75,Timesheet!$C$13:$C$11483,'Início|Fim 1'!$L$2)</f>
        <v>0</v>
      </c>
      <c r="M75" s="2">
        <f>SUMIFS(Timesheet!$F$13:$F$11483,Timesheet!$A$13:$A$11483,'Início|Fim 1'!E75,Timesheet!$C$13:$C$11483,'Início|Fim 1'!$M$2)</f>
        <v>0</v>
      </c>
      <c r="N75" s="2">
        <f>SUMIFS(Timesheet!$F$13:$F$11483,Timesheet!$A$13:$A$11483,'Início|Fim 1'!E75,Timesheet!$C$13:$C$11483,'Início|Fim 1'!$N$2)</f>
        <v>0</v>
      </c>
      <c r="O75" s="2">
        <f t="shared" si="1"/>
        <v>0</v>
      </c>
    </row>
    <row r="76" spans="1:15" x14ac:dyDescent="0.25">
      <c r="A76" s="1">
        <v>45000</v>
      </c>
      <c r="B76" s="3">
        <f t="array" ref="B76">MIN(IF(A76=Timesheet!$A$13:$A$2615,Timesheet!$D$13:$D$2615))</f>
        <v>0</v>
      </c>
      <c r="C76" s="3">
        <f t="array" ref="C76">MAX(IF(A76=Timesheet!$A$13:$A$2615,Timesheet!$E$13:$E$2615))</f>
        <v>0</v>
      </c>
      <c r="E76" s="1">
        <v>45000</v>
      </c>
      <c r="F76" s="2">
        <f>SUMIFS(Timesheet!$F$13:$F$11483,Timesheet!$A$13:$A$11483,'Início|Fim 1'!E76,Timesheet!$C$13:$C$11483,'Início|Fim 1'!$F$2)</f>
        <v>0</v>
      </c>
      <c r="G76" s="2">
        <f>SUMIFS(Timesheet!$F$13:$F$11483,Timesheet!$A$13:$A$11483,'Início|Fim 1'!E76,Timesheet!$C$13:$C$11483,'Início|Fim 1'!$G$2)</f>
        <v>0</v>
      </c>
      <c r="H76" s="2">
        <f>SUMIFS(Timesheet!$F$13:$F$11483,Timesheet!$A$13:$A$11483,'Início|Fim 1'!E76,Timesheet!$C$13:$C$11483,'Início|Fim 1'!$H$2)</f>
        <v>0</v>
      </c>
      <c r="I76" s="2">
        <f>SUMIFS(Timesheet!$F$13:$F$11483,Timesheet!$A$13:$A$11483,'Início|Fim 1'!E76,Timesheet!$C$13:$C$11483,'Início|Fim 1'!$I$2)</f>
        <v>0</v>
      </c>
      <c r="J76" s="2">
        <f>SUMIFS(Timesheet!$F$13:$F$11483,Timesheet!$A$13:$A$11483,'Início|Fim 1'!E76,Timesheet!$C$13:$C$11483,'Início|Fim 1'!$J$2)</f>
        <v>0</v>
      </c>
      <c r="K76" s="2">
        <f>SUMIFS(Timesheet!$F$13:$F$11483,Timesheet!$A$13:$A$11483,'Início|Fim 1'!E76,Timesheet!$C$13:$C$11483,'Início|Fim 1'!$K$2)</f>
        <v>0</v>
      </c>
      <c r="L76" s="2">
        <f>SUMIFS(Timesheet!$F$13:$F$11483,Timesheet!$A$13:$A$11483,'Início|Fim 1'!E76,Timesheet!$C$13:$C$11483,'Início|Fim 1'!$L$2)</f>
        <v>0</v>
      </c>
      <c r="M76" s="2">
        <f>SUMIFS(Timesheet!$F$13:$F$11483,Timesheet!$A$13:$A$11483,'Início|Fim 1'!E76,Timesheet!$C$13:$C$11483,'Início|Fim 1'!$M$2)</f>
        <v>0</v>
      </c>
      <c r="N76" s="2">
        <f>SUMIFS(Timesheet!$F$13:$F$11483,Timesheet!$A$13:$A$11483,'Início|Fim 1'!E76,Timesheet!$C$13:$C$11483,'Início|Fim 1'!$N$2)</f>
        <v>0</v>
      </c>
      <c r="O76" s="2">
        <f t="shared" si="1"/>
        <v>0</v>
      </c>
    </row>
    <row r="77" spans="1:15" x14ac:dyDescent="0.25">
      <c r="A77" s="1">
        <v>45001</v>
      </c>
      <c r="B77" s="3">
        <f t="array" ref="B77">MIN(IF(A77=Timesheet!$A$13:$A$2615,Timesheet!$D$13:$D$2615))</f>
        <v>0</v>
      </c>
      <c r="C77" s="3">
        <f t="array" ref="C77">MAX(IF(A77=Timesheet!$A$13:$A$2615,Timesheet!$E$13:$E$2615))</f>
        <v>0</v>
      </c>
      <c r="E77" s="1">
        <v>45001</v>
      </c>
      <c r="F77" s="2">
        <f>SUMIFS(Timesheet!$F$13:$F$11483,Timesheet!$A$13:$A$11483,'Início|Fim 1'!E77,Timesheet!$C$13:$C$11483,'Início|Fim 1'!$F$2)</f>
        <v>0</v>
      </c>
      <c r="G77" s="2">
        <f>SUMIFS(Timesheet!$F$13:$F$11483,Timesheet!$A$13:$A$11483,'Início|Fim 1'!E77,Timesheet!$C$13:$C$11483,'Início|Fim 1'!$G$2)</f>
        <v>0</v>
      </c>
      <c r="H77" s="2">
        <f>SUMIFS(Timesheet!$F$13:$F$11483,Timesheet!$A$13:$A$11483,'Início|Fim 1'!E77,Timesheet!$C$13:$C$11483,'Início|Fim 1'!$H$2)</f>
        <v>0</v>
      </c>
      <c r="I77" s="2">
        <f>SUMIFS(Timesheet!$F$13:$F$11483,Timesheet!$A$13:$A$11483,'Início|Fim 1'!E77,Timesheet!$C$13:$C$11483,'Início|Fim 1'!$I$2)</f>
        <v>0</v>
      </c>
      <c r="J77" s="2">
        <f>SUMIFS(Timesheet!$F$13:$F$11483,Timesheet!$A$13:$A$11483,'Início|Fim 1'!E77,Timesheet!$C$13:$C$11483,'Início|Fim 1'!$J$2)</f>
        <v>0</v>
      </c>
      <c r="K77" s="2">
        <f>SUMIFS(Timesheet!$F$13:$F$11483,Timesheet!$A$13:$A$11483,'Início|Fim 1'!E77,Timesheet!$C$13:$C$11483,'Início|Fim 1'!$K$2)</f>
        <v>0</v>
      </c>
      <c r="L77" s="2">
        <f>SUMIFS(Timesheet!$F$13:$F$11483,Timesheet!$A$13:$A$11483,'Início|Fim 1'!E77,Timesheet!$C$13:$C$11483,'Início|Fim 1'!$L$2)</f>
        <v>0</v>
      </c>
      <c r="M77" s="2">
        <f>SUMIFS(Timesheet!$F$13:$F$11483,Timesheet!$A$13:$A$11483,'Início|Fim 1'!E77,Timesheet!$C$13:$C$11483,'Início|Fim 1'!$M$2)</f>
        <v>0</v>
      </c>
      <c r="N77" s="2">
        <f>SUMIFS(Timesheet!$F$13:$F$11483,Timesheet!$A$13:$A$11483,'Início|Fim 1'!E77,Timesheet!$C$13:$C$11483,'Início|Fim 1'!$N$2)</f>
        <v>0</v>
      </c>
      <c r="O77" s="2">
        <f t="shared" si="1"/>
        <v>0</v>
      </c>
    </row>
    <row r="78" spans="1:15" x14ac:dyDescent="0.25">
      <c r="A78" s="1">
        <v>45002</v>
      </c>
      <c r="B78" s="3">
        <f t="array" ref="B78">MIN(IF(A78=Timesheet!$A$13:$A$2615,Timesheet!$D$13:$D$2615))</f>
        <v>0</v>
      </c>
      <c r="C78" s="3">
        <f t="array" ref="C78">MAX(IF(A78=Timesheet!$A$13:$A$2615,Timesheet!$E$13:$E$2615))</f>
        <v>0</v>
      </c>
      <c r="E78" s="1">
        <v>45002</v>
      </c>
      <c r="F78" s="2">
        <f>SUMIFS(Timesheet!$F$13:$F$11483,Timesheet!$A$13:$A$11483,'Início|Fim 1'!E78,Timesheet!$C$13:$C$11483,'Início|Fim 1'!$F$2)</f>
        <v>0</v>
      </c>
      <c r="G78" s="2">
        <f>SUMIFS(Timesheet!$F$13:$F$11483,Timesheet!$A$13:$A$11483,'Início|Fim 1'!E78,Timesheet!$C$13:$C$11483,'Início|Fim 1'!$G$2)</f>
        <v>0</v>
      </c>
      <c r="H78" s="2">
        <f>SUMIFS(Timesheet!$F$13:$F$11483,Timesheet!$A$13:$A$11483,'Início|Fim 1'!E78,Timesheet!$C$13:$C$11483,'Início|Fim 1'!$H$2)</f>
        <v>0</v>
      </c>
      <c r="I78" s="2">
        <f>SUMIFS(Timesheet!$F$13:$F$11483,Timesheet!$A$13:$A$11483,'Início|Fim 1'!E78,Timesheet!$C$13:$C$11483,'Início|Fim 1'!$I$2)</f>
        <v>0</v>
      </c>
      <c r="J78" s="2">
        <f>SUMIFS(Timesheet!$F$13:$F$11483,Timesheet!$A$13:$A$11483,'Início|Fim 1'!E78,Timesheet!$C$13:$C$11483,'Início|Fim 1'!$J$2)</f>
        <v>0</v>
      </c>
      <c r="K78" s="2">
        <f>SUMIFS(Timesheet!$F$13:$F$11483,Timesheet!$A$13:$A$11483,'Início|Fim 1'!E78,Timesheet!$C$13:$C$11483,'Início|Fim 1'!$K$2)</f>
        <v>0</v>
      </c>
      <c r="L78" s="2">
        <f>SUMIFS(Timesheet!$F$13:$F$11483,Timesheet!$A$13:$A$11483,'Início|Fim 1'!E78,Timesheet!$C$13:$C$11483,'Início|Fim 1'!$L$2)</f>
        <v>0</v>
      </c>
      <c r="M78" s="2">
        <f>SUMIFS(Timesheet!$F$13:$F$11483,Timesheet!$A$13:$A$11483,'Início|Fim 1'!E78,Timesheet!$C$13:$C$11483,'Início|Fim 1'!$M$2)</f>
        <v>0</v>
      </c>
      <c r="N78" s="2">
        <f>SUMIFS(Timesheet!$F$13:$F$11483,Timesheet!$A$13:$A$11483,'Início|Fim 1'!E78,Timesheet!$C$13:$C$11483,'Início|Fim 1'!$N$2)</f>
        <v>0</v>
      </c>
      <c r="O78" s="2">
        <f t="shared" si="1"/>
        <v>0</v>
      </c>
    </row>
    <row r="79" spans="1:15" x14ac:dyDescent="0.25">
      <c r="A79" s="1">
        <v>45003</v>
      </c>
      <c r="B79" s="3">
        <f t="array" ref="B79">MIN(IF(A79=Timesheet!$A$13:$A$2615,Timesheet!$D$13:$D$2615))</f>
        <v>0</v>
      </c>
      <c r="C79" s="3">
        <f t="array" ref="C79">MAX(IF(A79=Timesheet!$A$13:$A$2615,Timesheet!$E$13:$E$2615))</f>
        <v>0</v>
      </c>
      <c r="E79" s="1">
        <v>45003</v>
      </c>
      <c r="F79" s="2">
        <f>SUMIFS(Timesheet!$F$13:$F$11483,Timesheet!$A$13:$A$11483,'Início|Fim 1'!E79,Timesheet!$C$13:$C$11483,'Início|Fim 1'!$F$2)</f>
        <v>0</v>
      </c>
      <c r="G79" s="2">
        <f>SUMIFS(Timesheet!$F$13:$F$11483,Timesheet!$A$13:$A$11483,'Início|Fim 1'!E79,Timesheet!$C$13:$C$11483,'Início|Fim 1'!$G$2)</f>
        <v>0</v>
      </c>
      <c r="H79" s="2">
        <f>SUMIFS(Timesheet!$F$13:$F$11483,Timesheet!$A$13:$A$11483,'Início|Fim 1'!E79,Timesheet!$C$13:$C$11483,'Início|Fim 1'!$H$2)</f>
        <v>0</v>
      </c>
      <c r="I79" s="2">
        <f>SUMIFS(Timesheet!$F$13:$F$11483,Timesheet!$A$13:$A$11483,'Início|Fim 1'!E79,Timesheet!$C$13:$C$11483,'Início|Fim 1'!$I$2)</f>
        <v>0</v>
      </c>
      <c r="J79" s="2">
        <f>SUMIFS(Timesheet!$F$13:$F$11483,Timesheet!$A$13:$A$11483,'Início|Fim 1'!E79,Timesheet!$C$13:$C$11483,'Início|Fim 1'!$J$2)</f>
        <v>0</v>
      </c>
      <c r="K79" s="2">
        <f>SUMIFS(Timesheet!$F$13:$F$11483,Timesheet!$A$13:$A$11483,'Início|Fim 1'!E79,Timesheet!$C$13:$C$11483,'Início|Fim 1'!$K$2)</f>
        <v>0</v>
      </c>
      <c r="L79" s="2">
        <f>SUMIFS(Timesheet!$F$13:$F$11483,Timesheet!$A$13:$A$11483,'Início|Fim 1'!E79,Timesheet!$C$13:$C$11483,'Início|Fim 1'!$L$2)</f>
        <v>0</v>
      </c>
      <c r="M79" s="2">
        <f>SUMIFS(Timesheet!$F$13:$F$11483,Timesheet!$A$13:$A$11483,'Início|Fim 1'!E79,Timesheet!$C$13:$C$11483,'Início|Fim 1'!$M$2)</f>
        <v>0</v>
      </c>
      <c r="N79" s="2">
        <f>SUMIFS(Timesheet!$F$13:$F$11483,Timesheet!$A$13:$A$11483,'Início|Fim 1'!E79,Timesheet!$C$13:$C$11483,'Início|Fim 1'!$N$2)</f>
        <v>0</v>
      </c>
      <c r="O79" s="2">
        <f t="shared" si="1"/>
        <v>0</v>
      </c>
    </row>
    <row r="80" spans="1:15" x14ac:dyDescent="0.25">
      <c r="A80" s="1">
        <v>45004</v>
      </c>
      <c r="B80" s="3">
        <f t="array" ref="B80">MIN(IF(A80=Timesheet!$A$13:$A$2615,Timesheet!$D$13:$D$2615))</f>
        <v>0</v>
      </c>
      <c r="C80" s="3">
        <f t="array" ref="C80">MAX(IF(A80=Timesheet!$A$13:$A$2615,Timesheet!$E$13:$E$2615))</f>
        <v>0</v>
      </c>
      <c r="E80" s="1">
        <v>45004</v>
      </c>
      <c r="F80" s="2">
        <f>SUMIFS(Timesheet!$F$13:$F$11483,Timesheet!$A$13:$A$11483,'Início|Fim 1'!E80,Timesheet!$C$13:$C$11483,'Início|Fim 1'!$F$2)</f>
        <v>0</v>
      </c>
      <c r="G80" s="2">
        <f>SUMIFS(Timesheet!$F$13:$F$11483,Timesheet!$A$13:$A$11483,'Início|Fim 1'!E80,Timesheet!$C$13:$C$11483,'Início|Fim 1'!$G$2)</f>
        <v>0</v>
      </c>
      <c r="H80" s="2">
        <f>SUMIFS(Timesheet!$F$13:$F$11483,Timesheet!$A$13:$A$11483,'Início|Fim 1'!E80,Timesheet!$C$13:$C$11483,'Início|Fim 1'!$H$2)</f>
        <v>0</v>
      </c>
      <c r="I80" s="2">
        <f>SUMIFS(Timesheet!$F$13:$F$11483,Timesheet!$A$13:$A$11483,'Início|Fim 1'!E80,Timesheet!$C$13:$C$11483,'Início|Fim 1'!$I$2)</f>
        <v>0</v>
      </c>
      <c r="J80" s="2">
        <f>SUMIFS(Timesheet!$F$13:$F$11483,Timesheet!$A$13:$A$11483,'Início|Fim 1'!E80,Timesheet!$C$13:$C$11483,'Início|Fim 1'!$J$2)</f>
        <v>0</v>
      </c>
      <c r="K80" s="2">
        <f>SUMIFS(Timesheet!$F$13:$F$11483,Timesheet!$A$13:$A$11483,'Início|Fim 1'!E80,Timesheet!$C$13:$C$11483,'Início|Fim 1'!$K$2)</f>
        <v>0</v>
      </c>
      <c r="L80" s="2">
        <f>SUMIFS(Timesheet!$F$13:$F$11483,Timesheet!$A$13:$A$11483,'Início|Fim 1'!E80,Timesheet!$C$13:$C$11483,'Início|Fim 1'!$L$2)</f>
        <v>0</v>
      </c>
      <c r="M80" s="2">
        <f>SUMIFS(Timesheet!$F$13:$F$11483,Timesheet!$A$13:$A$11483,'Início|Fim 1'!E80,Timesheet!$C$13:$C$11483,'Início|Fim 1'!$M$2)</f>
        <v>0</v>
      </c>
      <c r="N80" s="2">
        <f>SUMIFS(Timesheet!$F$13:$F$11483,Timesheet!$A$13:$A$11483,'Início|Fim 1'!E80,Timesheet!$C$13:$C$11483,'Início|Fim 1'!$N$2)</f>
        <v>0</v>
      </c>
      <c r="O80" s="2">
        <f t="shared" si="1"/>
        <v>0</v>
      </c>
    </row>
    <row r="81" spans="1:15" x14ac:dyDescent="0.25">
      <c r="A81" s="1">
        <v>45005</v>
      </c>
      <c r="B81" s="3">
        <f t="array" ref="B81">MIN(IF(A81=Timesheet!$A$13:$A$2615,Timesheet!$D$13:$D$2615))</f>
        <v>0</v>
      </c>
      <c r="C81" s="3">
        <f t="array" ref="C81">MAX(IF(A81=Timesheet!$A$13:$A$2615,Timesheet!$E$13:$E$2615))</f>
        <v>0</v>
      </c>
      <c r="E81" s="1">
        <v>45005</v>
      </c>
      <c r="F81" s="2">
        <f>SUMIFS(Timesheet!$F$13:$F$11483,Timesheet!$A$13:$A$11483,'Início|Fim 1'!E81,Timesheet!$C$13:$C$11483,'Início|Fim 1'!$F$2)</f>
        <v>0</v>
      </c>
      <c r="G81" s="2">
        <f>SUMIFS(Timesheet!$F$13:$F$11483,Timesheet!$A$13:$A$11483,'Início|Fim 1'!E81,Timesheet!$C$13:$C$11483,'Início|Fim 1'!$G$2)</f>
        <v>0</v>
      </c>
      <c r="H81" s="2">
        <f>SUMIFS(Timesheet!$F$13:$F$11483,Timesheet!$A$13:$A$11483,'Início|Fim 1'!E81,Timesheet!$C$13:$C$11483,'Início|Fim 1'!$H$2)</f>
        <v>0</v>
      </c>
      <c r="I81" s="2">
        <f>SUMIFS(Timesheet!$F$13:$F$11483,Timesheet!$A$13:$A$11483,'Início|Fim 1'!E81,Timesheet!$C$13:$C$11483,'Início|Fim 1'!$I$2)</f>
        <v>0</v>
      </c>
      <c r="J81" s="2">
        <f>SUMIFS(Timesheet!$F$13:$F$11483,Timesheet!$A$13:$A$11483,'Início|Fim 1'!E81,Timesheet!$C$13:$C$11483,'Início|Fim 1'!$J$2)</f>
        <v>0</v>
      </c>
      <c r="K81" s="2">
        <f>SUMIFS(Timesheet!$F$13:$F$11483,Timesheet!$A$13:$A$11483,'Início|Fim 1'!E81,Timesheet!$C$13:$C$11483,'Início|Fim 1'!$K$2)</f>
        <v>0</v>
      </c>
      <c r="L81" s="2">
        <f>SUMIFS(Timesheet!$F$13:$F$11483,Timesheet!$A$13:$A$11483,'Início|Fim 1'!E81,Timesheet!$C$13:$C$11483,'Início|Fim 1'!$L$2)</f>
        <v>0</v>
      </c>
      <c r="M81" s="2">
        <f>SUMIFS(Timesheet!$F$13:$F$11483,Timesheet!$A$13:$A$11483,'Início|Fim 1'!E81,Timesheet!$C$13:$C$11483,'Início|Fim 1'!$M$2)</f>
        <v>0</v>
      </c>
      <c r="N81" s="2">
        <f>SUMIFS(Timesheet!$F$13:$F$11483,Timesheet!$A$13:$A$11483,'Início|Fim 1'!E81,Timesheet!$C$13:$C$11483,'Início|Fim 1'!$N$2)</f>
        <v>0</v>
      </c>
      <c r="O81" s="2">
        <f t="shared" si="1"/>
        <v>0</v>
      </c>
    </row>
    <row r="82" spans="1:15" x14ac:dyDescent="0.25">
      <c r="A82" s="1">
        <v>45006</v>
      </c>
      <c r="B82" s="3">
        <f t="array" ref="B82">MIN(IF(A82=Timesheet!$A$13:$A$2615,Timesheet!$D$13:$D$2615))</f>
        <v>0</v>
      </c>
      <c r="C82" s="3">
        <f t="array" ref="C82">MAX(IF(A82=Timesheet!$A$13:$A$2615,Timesheet!$E$13:$E$2615))</f>
        <v>0</v>
      </c>
      <c r="E82" s="1">
        <v>45006</v>
      </c>
      <c r="F82" s="2">
        <f>SUMIFS(Timesheet!$F$13:$F$11483,Timesheet!$A$13:$A$11483,'Início|Fim 1'!E82,Timesheet!$C$13:$C$11483,'Início|Fim 1'!$F$2)</f>
        <v>0</v>
      </c>
      <c r="G82" s="2">
        <f>SUMIFS(Timesheet!$F$13:$F$11483,Timesheet!$A$13:$A$11483,'Início|Fim 1'!E82,Timesheet!$C$13:$C$11483,'Início|Fim 1'!$G$2)</f>
        <v>0</v>
      </c>
      <c r="H82" s="2">
        <f>SUMIFS(Timesheet!$F$13:$F$11483,Timesheet!$A$13:$A$11483,'Início|Fim 1'!E82,Timesheet!$C$13:$C$11483,'Início|Fim 1'!$H$2)</f>
        <v>0</v>
      </c>
      <c r="I82" s="2">
        <f>SUMIFS(Timesheet!$F$13:$F$11483,Timesheet!$A$13:$A$11483,'Início|Fim 1'!E82,Timesheet!$C$13:$C$11483,'Início|Fim 1'!$I$2)</f>
        <v>0</v>
      </c>
      <c r="J82" s="2">
        <f>SUMIFS(Timesheet!$F$13:$F$11483,Timesheet!$A$13:$A$11483,'Início|Fim 1'!E82,Timesheet!$C$13:$C$11483,'Início|Fim 1'!$J$2)</f>
        <v>0</v>
      </c>
      <c r="K82" s="2">
        <f>SUMIFS(Timesheet!$F$13:$F$11483,Timesheet!$A$13:$A$11483,'Início|Fim 1'!E82,Timesheet!$C$13:$C$11483,'Início|Fim 1'!$K$2)</f>
        <v>0</v>
      </c>
      <c r="L82" s="2">
        <f>SUMIFS(Timesheet!$F$13:$F$11483,Timesheet!$A$13:$A$11483,'Início|Fim 1'!E82,Timesheet!$C$13:$C$11483,'Início|Fim 1'!$L$2)</f>
        <v>0</v>
      </c>
      <c r="M82" s="2">
        <f>SUMIFS(Timesheet!$F$13:$F$11483,Timesheet!$A$13:$A$11483,'Início|Fim 1'!E82,Timesheet!$C$13:$C$11483,'Início|Fim 1'!$M$2)</f>
        <v>0</v>
      </c>
      <c r="N82" s="2">
        <f>SUMIFS(Timesheet!$F$13:$F$11483,Timesheet!$A$13:$A$11483,'Início|Fim 1'!E82,Timesheet!$C$13:$C$11483,'Início|Fim 1'!$N$2)</f>
        <v>0</v>
      </c>
      <c r="O82" s="2">
        <f t="shared" si="1"/>
        <v>0</v>
      </c>
    </row>
    <row r="83" spans="1:15" x14ac:dyDescent="0.25">
      <c r="A83" s="1">
        <v>45007</v>
      </c>
      <c r="B83" s="3">
        <f t="array" ref="B83">MIN(IF(A83=Timesheet!$A$13:$A$2615,Timesheet!$D$13:$D$2615))</f>
        <v>0</v>
      </c>
      <c r="C83" s="3">
        <f t="array" ref="C83">MAX(IF(A83=Timesheet!$A$13:$A$2615,Timesheet!$E$13:$E$2615))</f>
        <v>0</v>
      </c>
      <c r="E83" s="1">
        <v>45007</v>
      </c>
      <c r="F83" s="2">
        <f>SUMIFS(Timesheet!$F$13:$F$11483,Timesheet!$A$13:$A$11483,'Início|Fim 1'!E83,Timesheet!$C$13:$C$11483,'Início|Fim 1'!$F$2)</f>
        <v>0</v>
      </c>
      <c r="G83" s="2">
        <f>SUMIFS(Timesheet!$F$13:$F$11483,Timesheet!$A$13:$A$11483,'Início|Fim 1'!E83,Timesheet!$C$13:$C$11483,'Início|Fim 1'!$G$2)</f>
        <v>0</v>
      </c>
      <c r="H83" s="2">
        <f>SUMIFS(Timesheet!$F$13:$F$11483,Timesheet!$A$13:$A$11483,'Início|Fim 1'!E83,Timesheet!$C$13:$C$11483,'Início|Fim 1'!$H$2)</f>
        <v>0</v>
      </c>
      <c r="I83" s="2">
        <f>SUMIFS(Timesheet!$F$13:$F$11483,Timesheet!$A$13:$A$11483,'Início|Fim 1'!E83,Timesheet!$C$13:$C$11483,'Início|Fim 1'!$I$2)</f>
        <v>0</v>
      </c>
      <c r="J83" s="2">
        <f>SUMIFS(Timesheet!$F$13:$F$11483,Timesheet!$A$13:$A$11483,'Início|Fim 1'!E83,Timesheet!$C$13:$C$11483,'Início|Fim 1'!$J$2)</f>
        <v>0</v>
      </c>
      <c r="K83" s="2">
        <f>SUMIFS(Timesheet!$F$13:$F$11483,Timesheet!$A$13:$A$11483,'Início|Fim 1'!E83,Timesheet!$C$13:$C$11483,'Início|Fim 1'!$K$2)</f>
        <v>0</v>
      </c>
      <c r="L83" s="2">
        <f>SUMIFS(Timesheet!$F$13:$F$11483,Timesheet!$A$13:$A$11483,'Início|Fim 1'!E83,Timesheet!$C$13:$C$11483,'Início|Fim 1'!$L$2)</f>
        <v>0</v>
      </c>
      <c r="M83" s="2">
        <f>SUMIFS(Timesheet!$F$13:$F$11483,Timesheet!$A$13:$A$11483,'Início|Fim 1'!E83,Timesheet!$C$13:$C$11483,'Início|Fim 1'!$M$2)</f>
        <v>0</v>
      </c>
      <c r="N83" s="2">
        <f>SUMIFS(Timesheet!$F$13:$F$11483,Timesheet!$A$13:$A$11483,'Início|Fim 1'!E83,Timesheet!$C$13:$C$11483,'Início|Fim 1'!$N$2)</f>
        <v>0</v>
      </c>
      <c r="O83" s="2">
        <f t="shared" si="1"/>
        <v>0</v>
      </c>
    </row>
    <row r="84" spans="1:15" x14ac:dyDescent="0.25">
      <c r="A84" s="1">
        <v>45008</v>
      </c>
      <c r="B84" s="3">
        <f t="array" ref="B84">MIN(IF(A84=Timesheet!$A$13:$A$2615,Timesheet!$D$13:$D$2615))</f>
        <v>0</v>
      </c>
      <c r="C84" s="3">
        <f t="array" ref="C84">MAX(IF(A84=Timesheet!$A$13:$A$2615,Timesheet!$E$13:$E$2615))</f>
        <v>0</v>
      </c>
      <c r="E84" s="1">
        <v>45008</v>
      </c>
      <c r="F84" s="2">
        <f>SUMIFS(Timesheet!$F$13:$F$11483,Timesheet!$A$13:$A$11483,'Início|Fim 1'!E84,Timesheet!$C$13:$C$11483,'Início|Fim 1'!$F$2)</f>
        <v>0</v>
      </c>
      <c r="G84" s="2">
        <f>SUMIFS(Timesheet!$F$13:$F$11483,Timesheet!$A$13:$A$11483,'Início|Fim 1'!E84,Timesheet!$C$13:$C$11483,'Início|Fim 1'!$G$2)</f>
        <v>0</v>
      </c>
      <c r="H84" s="2">
        <f>SUMIFS(Timesheet!$F$13:$F$11483,Timesheet!$A$13:$A$11483,'Início|Fim 1'!E84,Timesheet!$C$13:$C$11483,'Início|Fim 1'!$H$2)</f>
        <v>0</v>
      </c>
      <c r="I84" s="2">
        <f>SUMIFS(Timesheet!$F$13:$F$11483,Timesheet!$A$13:$A$11483,'Início|Fim 1'!E84,Timesheet!$C$13:$C$11483,'Início|Fim 1'!$I$2)</f>
        <v>0</v>
      </c>
      <c r="J84" s="2">
        <f>SUMIFS(Timesheet!$F$13:$F$11483,Timesheet!$A$13:$A$11483,'Início|Fim 1'!E84,Timesheet!$C$13:$C$11483,'Início|Fim 1'!$J$2)</f>
        <v>0</v>
      </c>
      <c r="K84" s="2">
        <f>SUMIFS(Timesheet!$F$13:$F$11483,Timesheet!$A$13:$A$11483,'Início|Fim 1'!E84,Timesheet!$C$13:$C$11483,'Início|Fim 1'!$K$2)</f>
        <v>0</v>
      </c>
      <c r="L84" s="2">
        <f>SUMIFS(Timesheet!$F$13:$F$11483,Timesheet!$A$13:$A$11483,'Início|Fim 1'!E84,Timesheet!$C$13:$C$11483,'Início|Fim 1'!$L$2)</f>
        <v>0</v>
      </c>
      <c r="M84" s="2">
        <f>SUMIFS(Timesheet!$F$13:$F$11483,Timesheet!$A$13:$A$11483,'Início|Fim 1'!E84,Timesheet!$C$13:$C$11483,'Início|Fim 1'!$M$2)</f>
        <v>0</v>
      </c>
      <c r="N84" s="2">
        <f>SUMIFS(Timesheet!$F$13:$F$11483,Timesheet!$A$13:$A$11483,'Início|Fim 1'!E84,Timesheet!$C$13:$C$11483,'Início|Fim 1'!$N$2)</f>
        <v>0</v>
      </c>
      <c r="O84" s="2">
        <f t="shared" si="1"/>
        <v>0</v>
      </c>
    </row>
    <row r="85" spans="1:15" x14ac:dyDescent="0.25">
      <c r="A85" s="1">
        <v>45009</v>
      </c>
      <c r="B85" s="3">
        <f t="array" ref="B85">MIN(IF(A85=Timesheet!$A$13:$A$2615,Timesheet!$D$13:$D$2615))</f>
        <v>0</v>
      </c>
      <c r="C85" s="3">
        <f t="array" ref="C85">MAX(IF(A85=Timesheet!$A$13:$A$2615,Timesheet!$E$13:$E$2615))</f>
        <v>0</v>
      </c>
      <c r="E85" s="1">
        <v>45009</v>
      </c>
      <c r="F85" s="2">
        <f>SUMIFS(Timesheet!$F$13:$F$11483,Timesheet!$A$13:$A$11483,'Início|Fim 1'!E85,Timesheet!$C$13:$C$11483,'Início|Fim 1'!$F$2)</f>
        <v>0</v>
      </c>
      <c r="G85" s="2">
        <f>SUMIFS(Timesheet!$F$13:$F$11483,Timesheet!$A$13:$A$11483,'Início|Fim 1'!E85,Timesheet!$C$13:$C$11483,'Início|Fim 1'!$G$2)</f>
        <v>0</v>
      </c>
      <c r="H85" s="2">
        <f>SUMIFS(Timesheet!$F$13:$F$11483,Timesheet!$A$13:$A$11483,'Início|Fim 1'!E85,Timesheet!$C$13:$C$11483,'Início|Fim 1'!$H$2)</f>
        <v>0</v>
      </c>
      <c r="I85" s="2">
        <f>SUMIFS(Timesheet!$F$13:$F$11483,Timesheet!$A$13:$A$11483,'Início|Fim 1'!E85,Timesheet!$C$13:$C$11483,'Início|Fim 1'!$I$2)</f>
        <v>0</v>
      </c>
      <c r="J85" s="2">
        <f>SUMIFS(Timesheet!$F$13:$F$11483,Timesheet!$A$13:$A$11483,'Início|Fim 1'!E85,Timesheet!$C$13:$C$11483,'Início|Fim 1'!$J$2)</f>
        <v>0</v>
      </c>
      <c r="K85" s="2">
        <f>SUMIFS(Timesheet!$F$13:$F$11483,Timesheet!$A$13:$A$11483,'Início|Fim 1'!E85,Timesheet!$C$13:$C$11483,'Início|Fim 1'!$K$2)</f>
        <v>0</v>
      </c>
      <c r="L85" s="2">
        <f>SUMIFS(Timesheet!$F$13:$F$11483,Timesheet!$A$13:$A$11483,'Início|Fim 1'!E85,Timesheet!$C$13:$C$11483,'Início|Fim 1'!$L$2)</f>
        <v>0</v>
      </c>
      <c r="M85" s="2">
        <f>SUMIFS(Timesheet!$F$13:$F$11483,Timesheet!$A$13:$A$11483,'Início|Fim 1'!E85,Timesheet!$C$13:$C$11483,'Início|Fim 1'!$M$2)</f>
        <v>0</v>
      </c>
      <c r="N85" s="2">
        <f>SUMIFS(Timesheet!$F$13:$F$11483,Timesheet!$A$13:$A$11483,'Início|Fim 1'!E85,Timesheet!$C$13:$C$11483,'Início|Fim 1'!$N$2)</f>
        <v>0</v>
      </c>
      <c r="O85" s="2">
        <f t="shared" si="1"/>
        <v>0</v>
      </c>
    </row>
    <row r="86" spans="1:15" x14ac:dyDescent="0.25">
      <c r="A86" s="1">
        <v>45010</v>
      </c>
      <c r="B86" s="3">
        <f t="array" ref="B86">MIN(IF(A86=Timesheet!$A$13:$A$2615,Timesheet!$D$13:$D$2615))</f>
        <v>0</v>
      </c>
      <c r="C86" s="3">
        <f t="array" ref="C86">MAX(IF(A86=Timesheet!$A$13:$A$2615,Timesheet!$E$13:$E$2615))</f>
        <v>0</v>
      </c>
      <c r="E86" s="1">
        <v>45010</v>
      </c>
      <c r="F86" s="2">
        <f>SUMIFS(Timesheet!$F$13:$F$11483,Timesheet!$A$13:$A$11483,'Início|Fim 1'!E86,Timesheet!$C$13:$C$11483,'Início|Fim 1'!$F$2)</f>
        <v>0</v>
      </c>
      <c r="G86" s="2">
        <f>SUMIFS(Timesheet!$F$13:$F$11483,Timesheet!$A$13:$A$11483,'Início|Fim 1'!E86,Timesheet!$C$13:$C$11483,'Início|Fim 1'!$G$2)</f>
        <v>0</v>
      </c>
      <c r="H86" s="2">
        <f>SUMIFS(Timesheet!$F$13:$F$11483,Timesheet!$A$13:$A$11483,'Início|Fim 1'!E86,Timesheet!$C$13:$C$11483,'Início|Fim 1'!$H$2)</f>
        <v>0</v>
      </c>
      <c r="I86" s="2">
        <f>SUMIFS(Timesheet!$F$13:$F$11483,Timesheet!$A$13:$A$11483,'Início|Fim 1'!E86,Timesheet!$C$13:$C$11483,'Início|Fim 1'!$I$2)</f>
        <v>0</v>
      </c>
      <c r="J86" s="2">
        <f>SUMIFS(Timesheet!$F$13:$F$11483,Timesheet!$A$13:$A$11483,'Início|Fim 1'!E86,Timesheet!$C$13:$C$11483,'Início|Fim 1'!$J$2)</f>
        <v>0</v>
      </c>
      <c r="K86" s="2">
        <f>SUMIFS(Timesheet!$F$13:$F$11483,Timesheet!$A$13:$A$11483,'Início|Fim 1'!E86,Timesheet!$C$13:$C$11483,'Início|Fim 1'!$K$2)</f>
        <v>0</v>
      </c>
      <c r="L86" s="2">
        <f>SUMIFS(Timesheet!$F$13:$F$11483,Timesheet!$A$13:$A$11483,'Início|Fim 1'!E86,Timesheet!$C$13:$C$11483,'Início|Fim 1'!$L$2)</f>
        <v>0</v>
      </c>
      <c r="M86" s="2">
        <f>SUMIFS(Timesheet!$F$13:$F$11483,Timesheet!$A$13:$A$11483,'Início|Fim 1'!E86,Timesheet!$C$13:$C$11483,'Início|Fim 1'!$M$2)</f>
        <v>0</v>
      </c>
      <c r="N86" s="2">
        <f>SUMIFS(Timesheet!$F$13:$F$11483,Timesheet!$A$13:$A$11483,'Início|Fim 1'!E86,Timesheet!$C$13:$C$11483,'Início|Fim 1'!$N$2)</f>
        <v>0</v>
      </c>
      <c r="O86" s="2">
        <f t="shared" si="1"/>
        <v>0</v>
      </c>
    </row>
    <row r="87" spans="1:15" x14ac:dyDescent="0.25">
      <c r="A87" s="1">
        <v>45011</v>
      </c>
      <c r="B87" s="3">
        <f t="array" ref="B87">MIN(IF(A87=Timesheet!$A$13:$A$2615,Timesheet!$D$13:$D$2615))</f>
        <v>0</v>
      </c>
      <c r="C87" s="3">
        <f t="array" ref="C87">MAX(IF(A87=Timesheet!$A$13:$A$2615,Timesheet!$E$13:$E$2615))</f>
        <v>0</v>
      </c>
      <c r="E87" s="1">
        <v>45011</v>
      </c>
      <c r="F87" s="2">
        <f>SUMIFS(Timesheet!$F$13:$F$11483,Timesheet!$A$13:$A$11483,'Início|Fim 1'!E87,Timesheet!$C$13:$C$11483,'Início|Fim 1'!$F$2)</f>
        <v>0</v>
      </c>
      <c r="G87" s="2">
        <f>SUMIFS(Timesheet!$F$13:$F$11483,Timesheet!$A$13:$A$11483,'Início|Fim 1'!E87,Timesheet!$C$13:$C$11483,'Início|Fim 1'!$G$2)</f>
        <v>0</v>
      </c>
      <c r="H87" s="2">
        <f>SUMIFS(Timesheet!$F$13:$F$11483,Timesheet!$A$13:$A$11483,'Início|Fim 1'!E87,Timesheet!$C$13:$C$11483,'Início|Fim 1'!$H$2)</f>
        <v>0</v>
      </c>
      <c r="I87" s="2">
        <f>SUMIFS(Timesheet!$F$13:$F$11483,Timesheet!$A$13:$A$11483,'Início|Fim 1'!E87,Timesheet!$C$13:$C$11483,'Início|Fim 1'!$I$2)</f>
        <v>0</v>
      </c>
      <c r="J87" s="2">
        <f>SUMIFS(Timesheet!$F$13:$F$11483,Timesheet!$A$13:$A$11483,'Início|Fim 1'!E87,Timesheet!$C$13:$C$11483,'Início|Fim 1'!$J$2)</f>
        <v>0</v>
      </c>
      <c r="K87" s="2">
        <f>SUMIFS(Timesheet!$F$13:$F$11483,Timesheet!$A$13:$A$11483,'Início|Fim 1'!E87,Timesheet!$C$13:$C$11483,'Início|Fim 1'!$K$2)</f>
        <v>0</v>
      </c>
      <c r="L87" s="2">
        <f>SUMIFS(Timesheet!$F$13:$F$11483,Timesheet!$A$13:$A$11483,'Início|Fim 1'!E87,Timesheet!$C$13:$C$11483,'Início|Fim 1'!$L$2)</f>
        <v>0</v>
      </c>
      <c r="M87" s="2">
        <f>SUMIFS(Timesheet!$F$13:$F$11483,Timesheet!$A$13:$A$11483,'Início|Fim 1'!E87,Timesheet!$C$13:$C$11483,'Início|Fim 1'!$M$2)</f>
        <v>0</v>
      </c>
      <c r="N87" s="2">
        <f>SUMIFS(Timesheet!$F$13:$F$11483,Timesheet!$A$13:$A$11483,'Início|Fim 1'!E87,Timesheet!$C$13:$C$11483,'Início|Fim 1'!$N$2)</f>
        <v>0</v>
      </c>
      <c r="O87" s="2">
        <f t="shared" si="1"/>
        <v>0</v>
      </c>
    </row>
    <row r="88" spans="1:15" x14ac:dyDescent="0.25">
      <c r="A88" s="1">
        <v>45012</v>
      </c>
      <c r="B88" s="3">
        <f t="array" ref="B88">MIN(IF(A88=Timesheet!$A$13:$A$2615,Timesheet!$D$13:$D$2615))</f>
        <v>0</v>
      </c>
      <c r="C88" s="3">
        <f t="array" ref="C88">MAX(IF(A88=Timesheet!$A$13:$A$2615,Timesheet!$E$13:$E$2615))</f>
        <v>0</v>
      </c>
      <c r="E88" s="1">
        <v>45012</v>
      </c>
      <c r="F88" s="2">
        <f>SUMIFS(Timesheet!$F$13:$F$11483,Timesheet!$A$13:$A$11483,'Início|Fim 1'!E88,Timesheet!$C$13:$C$11483,'Início|Fim 1'!$F$2)</f>
        <v>0</v>
      </c>
      <c r="G88" s="2">
        <f>SUMIFS(Timesheet!$F$13:$F$11483,Timesheet!$A$13:$A$11483,'Início|Fim 1'!E88,Timesheet!$C$13:$C$11483,'Início|Fim 1'!$G$2)</f>
        <v>0</v>
      </c>
      <c r="H88" s="2">
        <f>SUMIFS(Timesheet!$F$13:$F$11483,Timesheet!$A$13:$A$11483,'Início|Fim 1'!E88,Timesheet!$C$13:$C$11483,'Início|Fim 1'!$H$2)</f>
        <v>0</v>
      </c>
      <c r="I88" s="2">
        <f>SUMIFS(Timesheet!$F$13:$F$11483,Timesheet!$A$13:$A$11483,'Início|Fim 1'!E88,Timesheet!$C$13:$C$11483,'Início|Fim 1'!$I$2)</f>
        <v>0</v>
      </c>
      <c r="J88" s="2">
        <f>SUMIFS(Timesheet!$F$13:$F$11483,Timesheet!$A$13:$A$11483,'Início|Fim 1'!E88,Timesheet!$C$13:$C$11483,'Início|Fim 1'!$J$2)</f>
        <v>0</v>
      </c>
      <c r="K88" s="2">
        <f>SUMIFS(Timesheet!$F$13:$F$11483,Timesheet!$A$13:$A$11483,'Início|Fim 1'!E88,Timesheet!$C$13:$C$11483,'Início|Fim 1'!$K$2)</f>
        <v>0</v>
      </c>
      <c r="L88" s="2">
        <f>SUMIFS(Timesheet!$F$13:$F$11483,Timesheet!$A$13:$A$11483,'Início|Fim 1'!E88,Timesheet!$C$13:$C$11483,'Início|Fim 1'!$L$2)</f>
        <v>0</v>
      </c>
      <c r="M88" s="2">
        <f>SUMIFS(Timesheet!$F$13:$F$11483,Timesheet!$A$13:$A$11483,'Início|Fim 1'!E88,Timesheet!$C$13:$C$11483,'Início|Fim 1'!$M$2)</f>
        <v>0</v>
      </c>
      <c r="N88" s="2">
        <f>SUMIFS(Timesheet!$F$13:$F$11483,Timesheet!$A$13:$A$11483,'Início|Fim 1'!E88,Timesheet!$C$13:$C$11483,'Início|Fim 1'!$N$2)</f>
        <v>0</v>
      </c>
      <c r="O88" s="2">
        <f t="shared" si="1"/>
        <v>0</v>
      </c>
    </row>
    <row r="89" spans="1:15" x14ac:dyDescent="0.25">
      <c r="A89" s="1">
        <v>45013</v>
      </c>
      <c r="B89" s="3">
        <f t="array" ref="B89">MIN(IF(A89=Timesheet!$A$13:$A$2615,Timesheet!$D$13:$D$2615))</f>
        <v>0</v>
      </c>
      <c r="C89" s="3">
        <f t="array" ref="C89">MAX(IF(A89=Timesheet!$A$13:$A$2615,Timesheet!$E$13:$E$2615))</f>
        <v>0</v>
      </c>
      <c r="E89" s="1">
        <v>45013</v>
      </c>
      <c r="F89" s="2">
        <f>SUMIFS(Timesheet!$F$13:$F$11483,Timesheet!$A$13:$A$11483,'Início|Fim 1'!E89,Timesheet!$C$13:$C$11483,'Início|Fim 1'!$F$2)</f>
        <v>0</v>
      </c>
      <c r="G89" s="2">
        <f>SUMIFS(Timesheet!$F$13:$F$11483,Timesheet!$A$13:$A$11483,'Início|Fim 1'!E89,Timesheet!$C$13:$C$11483,'Início|Fim 1'!$G$2)</f>
        <v>0</v>
      </c>
      <c r="H89" s="2">
        <f>SUMIFS(Timesheet!$F$13:$F$11483,Timesheet!$A$13:$A$11483,'Início|Fim 1'!E89,Timesheet!$C$13:$C$11483,'Início|Fim 1'!$H$2)</f>
        <v>0</v>
      </c>
      <c r="I89" s="2">
        <f>SUMIFS(Timesheet!$F$13:$F$11483,Timesheet!$A$13:$A$11483,'Início|Fim 1'!E89,Timesheet!$C$13:$C$11483,'Início|Fim 1'!$I$2)</f>
        <v>0</v>
      </c>
      <c r="J89" s="2">
        <f>SUMIFS(Timesheet!$F$13:$F$11483,Timesheet!$A$13:$A$11483,'Início|Fim 1'!E89,Timesheet!$C$13:$C$11483,'Início|Fim 1'!$J$2)</f>
        <v>0</v>
      </c>
      <c r="K89" s="2">
        <f>SUMIFS(Timesheet!$F$13:$F$11483,Timesheet!$A$13:$A$11483,'Início|Fim 1'!E89,Timesheet!$C$13:$C$11483,'Início|Fim 1'!$K$2)</f>
        <v>0</v>
      </c>
      <c r="L89" s="2">
        <f>SUMIFS(Timesheet!$F$13:$F$11483,Timesheet!$A$13:$A$11483,'Início|Fim 1'!E89,Timesheet!$C$13:$C$11483,'Início|Fim 1'!$L$2)</f>
        <v>0</v>
      </c>
      <c r="M89" s="2">
        <f>SUMIFS(Timesheet!$F$13:$F$11483,Timesheet!$A$13:$A$11483,'Início|Fim 1'!E89,Timesheet!$C$13:$C$11483,'Início|Fim 1'!$M$2)</f>
        <v>0</v>
      </c>
      <c r="N89" s="2">
        <f>SUMIFS(Timesheet!$F$13:$F$11483,Timesheet!$A$13:$A$11483,'Início|Fim 1'!E89,Timesheet!$C$13:$C$11483,'Início|Fim 1'!$N$2)</f>
        <v>0</v>
      </c>
      <c r="O89" s="2">
        <f t="shared" si="1"/>
        <v>0</v>
      </c>
    </row>
    <row r="90" spans="1:15" x14ac:dyDescent="0.25">
      <c r="A90" s="1">
        <v>45014</v>
      </c>
      <c r="B90" s="3">
        <f t="array" ref="B90">MIN(IF(A90=Timesheet!$A$13:$A$2615,Timesheet!$D$13:$D$2615))</f>
        <v>0</v>
      </c>
      <c r="C90" s="3">
        <f t="array" ref="C90">MAX(IF(A90=Timesheet!$A$13:$A$2615,Timesheet!$E$13:$E$2615))</f>
        <v>0</v>
      </c>
      <c r="E90" s="1">
        <v>45014</v>
      </c>
      <c r="F90" s="2">
        <f>SUMIFS(Timesheet!$F$13:$F$11483,Timesheet!$A$13:$A$11483,'Início|Fim 1'!E90,Timesheet!$C$13:$C$11483,'Início|Fim 1'!$F$2)</f>
        <v>0</v>
      </c>
      <c r="G90" s="2">
        <f>SUMIFS(Timesheet!$F$13:$F$11483,Timesheet!$A$13:$A$11483,'Início|Fim 1'!E90,Timesheet!$C$13:$C$11483,'Início|Fim 1'!$G$2)</f>
        <v>0</v>
      </c>
      <c r="H90" s="2">
        <f>SUMIFS(Timesheet!$F$13:$F$11483,Timesheet!$A$13:$A$11483,'Início|Fim 1'!E90,Timesheet!$C$13:$C$11483,'Início|Fim 1'!$H$2)</f>
        <v>0</v>
      </c>
      <c r="I90" s="2">
        <f>SUMIFS(Timesheet!$F$13:$F$11483,Timesheet!$A$13:$A$11483,'Início|Fim 1'!E90,Timesheet!$C$13:$C$11483,'Início|Fim 1'!$I$2)</f>
        <v>0</v>
      </c>
      <c r="J90" s="2">
        <f>SUMIFS(Timesheet!$F$13:$F$11483,Timesheet!$A$13:$A$11483,'Início|Fim 1'!E90,Timesheet!$C$13:$C$11483,'Início|Fim 1'!$J$2)</f>
        <v>0</v>
      </c>
      <c r="K90" s="2">
        <f>SUMIFS(Timesheet!$F$13:$F$11483,Timesheet!$A$13:$A$11483,'Início|Fim 1'!E90,Timesheet!$C$13:$C$11483,'Início|Fim 1'!$K$2)</f>
        <v>0</v>
      </c>
      <c r="L90" s="2">
        <f>SUMIFS(Timesheet!$F$13:$F$11483,Timesheet!$A$13:$A$11483,'Início|Fim 1'!E90,Timesheet!$C$13:$C$11483,'Início|Fim 1'!$L$2)</f>
        <v>0</v>
      </c>
      <c r="M90" s="2">
        <f>SUMIFS(Timesheet!$F$13:$F$11483,Timesheet!$A$13:$A$11483,'Início|Fim 1'!E90,Timesheet!$C$13:$C$11483,'Início|Fim 1'!$M$2)</f>
        <v>0</v>
      </c>
      <c r="N90" s="2">
        <f>SUMIFS(Timesheet!$F$13:$F$11483,Timesheet!$A$13:$A$11483,'Início|Fim 1'!E90,Timesheet!$C$13:$C$11483,'Início|Fim 1'!$N$2)</f>
        <v>0</v>
      </c>
      <c r="O90" s="2">
        <f t="shared" si="1"/>
        <v>0</v>
      </c>
    </row>
    <row r="91" spans="1:15" x14ac:dyDescent="0.25">
      <c r="A91" s="1">
        <v>45015</v>
      </c>
      <c r="B91" s="3">
        <f t="array" ref="B91">MIN(IF(A91=Timesheet!$A$13:$A$2615,Timesheet!$D$13:$D$2615))</f>
        <v>0</v>
      </c>
      <c r="C91" s="3">
        <f t="array" ref="C91">MAX(IF(A91=Timesheet!$A$13:$A$2615,Timesheet!$E$13:$E$2615))</f>
        <v>0</v>
      </c>
      <c r="E91" s="1">
        <v>45015</v>
      </c>
      <c r="F91" s="2">
        <f>SUMIFS(Timesheet!$F$13:$F$11483,Timesheet!$A$13:$A$11483,'Início|Fim 1'!E91,Timesheet!$C$13:$C$11483,'Início|Fim 1'!$F$2)</f>
        <v>0</v>
      </c>
      <c r="G91" s="2">
        <f>SUMIFS(Timesheet!$F$13:$F$11483,Timesheet!$A$13:$A$11483,'Início|Fim 1'!E91,Timesheet!$C$13:$C$11483,'Início|Fim 1'!$G$2)</f>
        <v>0</v>
      </c>
      <c r="H91" s="2">
        <f>SUMIFS(Timesheet!$F$13:$F$11483,Timesheet!$A$13:$A$11483,'Início|Fim 1'!E91,Timesheet!$C$13:$C$11483,'Início|Fim 1'!$H$2)</f>
        <v>0</v>
      </c>
      <c r="I91" s="2">
        <f>SUMIFS(Timesheet!$F$13:$F$11483,Timesheet!$A$13:$A$11483,'Início|Fim 1'!E91,Timesheet!$C$13:$C$11483,'Início|Fim 1'!$I$2)</f>
        <v>0</v>
      </c>
      <c r="J91" s="2">
        <f>SUMIFS(Timesheet!$F$13:$F$11483,Timesheet!$A$13:$A$11483,'Início|Fim 1'!E91,Timesheet!$C$13:$C$11483,'Início|Fim 1'!$J$2)</f>
        <v>0</v>
      </c>
      <c r="K91" s="2">
        <f>SUMIFS(Timesheet!$F$13:$F$11483,Timesheet!$A$13:$A$11483,'Início|Fim 1'!E91,Timesheet!$C$13:$C$11483,'Início|Fim 1'!$K$2)</f>
        <v>0</v>
      </c>
      <c r="L91" s="2">
        <f>SUMIFS(Timesheet!$F$13:$F$11483,Timesheet!$A$13:$A$11483,'Início|Fim 1'!E91,Timesheet!$C$13:$C$11483,'Início|Fim 1'!$L$2)</f>
        <v>0</v>
      </c>
      <c r="M91" s="2">
        <f>SUMIFS(Timesheet!$F$13:$F$11483,Timesheet!$A$13:$A$11483,'Início|Fim 1'!E91,Timesheet!$C$13:$C$11483,'Início|Fim 1'!$M$2)</f>
        <v>0</v>
      </c>
      <c r="N91" s="2">
        <f>SUMIFS(Timesheet!$F$13:$F$11483,Timesheet!$A$13:$A$11483,'Início|Fim 1'!E91,Timesheet!$C$13:$C$11483,'Início|Fim 1'!$N$2)</f>
        <v>0</v>
      </c>
      <c r="O91" s="2">
        <f t="shared" si="1"/>
        <v>0</v>
      </c>
    </row>
    <row r="92" spans="1:15" x14ac:dyDescent="0.25">
      <c r="A92" s="1">
        <v>45016</v>
      </c>
      <c r="B92" s="3">
        <f t="array" ref="B92">MIN(IF(A92=Timesheet!$A$13:$A$2615,Timesheet!$D$13:$D$2615))</f>
        <v>0</v>
      </c>
      <c r="C92" s="3">
        <f t="array" ref="C92">MAX(IF(A92=Timesheet!$A$13:$A$2615,Timesheet!$E$13:$E$2615))</f>
        <v>0</v>
      </c>
      <c r="E92" s="1">
        <v>45016</v>
      </c>
      <c r="F92" s="2">
        <f>SUMIFS(Timesheet!$F$13:$F$11483,Timesheet!$A$13:$A$11483,'Início|Fim 1'!E92,Timesheet!$C$13:$C$11483,'Início|Fim 1'!$F$2)</f>
        <v>0</v>
      </c>
      <c r="G92" s="2">
        <f>SUMIFS(Timesheet!$F$13:$F$11483,Timesheet!$A$13:$A$11483,'Início|Fim 1'!E92,Timesheet!$C$13:$C$11483,'Início|Fim 1'!$G$2)</f>
        <v>0</v>
      </c>
      <c r="H92" s="2">
        <f>SUMIFS(Timesheet!$F$13:$F$11483,Timesheet!$A$13:$A$11483,'Início|Fim 1'!E92,Timesheet!$C$13:$C$11483,'Início|Fim 1'!$H$2)</f>
        <v>0</v>
      </c>
      <c r="I92" s="2">
        <f>SUMIFS(Timesheet!$F$13:$F$11483,Timesheet!$A$13:$A$11483,'Início|Fim 1'!E92,Timesheet!$C$13:$C$11483,'Início|Fim 1'!$I$2)</f>
        <v>0</v>
      </c>
      <c r="J92" s="2">
        <f>SUMIFS(Timesheet!$F$13:$F$11483,Timesheet!$A$13:$A$11483,'Início|Fim 1'!E92,Timesheet!$C$13:$C$11483,'Início|Fim 1'!$J$2)</f>
        <v>0</v>
      </c>
      <c r="K92" s="2">
        <f>SUMIFS(Timesheet!$F$13:$F$11483,Timesheet!$A$13:$A$11483,'Início|Fim 1'!E92,Timesheet!$C$13:$C$11483,'Início|Fim 1'!$K$2)</f>
        <v>0</v>
      </c>
      <c r="L92" s="2">
        <f>SUMIFS(Timesheet!$F$13:$F$11483,Timesheet!$A$13:$A$11483,'Início|Fim 1'!E92,Timesheet!$C$13:$C$11483,'Início|Fim 1'!$L$2)</f>
        <v>0</v>
      </c>
      <c r="M92" s="2">
        <f>SUMIFS(Timesheet!$F$13:$F$11483,Timesheet!$A$13:$A$11483,'Início|Fim 1'!E92,Timesheet!$C$13:$C$11483,'Início|Fim 1'!$M$2)</f>
        <v>0</v>
      </c>
      <c r="N92" s="2">
        <f>SUMIFS(Timesheet!$F$13:$F$11483,Timesheet!$A$13:$A$11483,'Início|Fim 1'!E92,Timesheet!$C$13:$C$11483,'Início|Fim 1'!$N$2)</f>
        <v>0</v>
      </c>
      <c r="O92" s="2">
        <f t="shared" si="1"/>
        <v>0</v>
      </c>
    </row>
    <row r="93" spans="1:15" x14ac:dyDescent="0.25">
      <c r="A93" s="1">
        <v>45017</v>
      </c>
      <c r="B93" s="3">
        <f t="array" ref="B93">MIN(IF(A93=Timesheet!$A$13:$A$2615,Timesheet!$D$13:$D$2615))</f>
        <v>0</v>
      </c>
      <c r="C93" s="3">
        <f t="array" ref="C93">MAX(IF(A93=Timesheet!$A$13:$A$2615,Timesheet!$E$13:$E$2615))</f>
        <v>0</v>
      </c>
      <c r="E93" s="1">
        <v>45017</v>
      </c>
      <c r="F93" s="2">
        <f>SUMIFS(Timesheet!$F$13:$F$11483,Timesheet!$A$13:$A$11483,'Início|Fim 1'!E93,Timesheet!$C$13:$C$11483,'Início|Fim 1'!$F$2)</f>
        <v>0</v>
      </c>
      <c r="G93" s="2">
        <f>SUMIFS(Timesheet!$F$13:$F$11483,Timesheet!$A$13:$A$11483,'Início|Fim 1'!E93,Timesheet!$C$13:$C$11483,'Início|Fim 1'!$G$2)</f>
        <v>0</v>
      </c>
      <c r="H93" s="2">
        <f>SUMIFS(Timesheet!$F$13:$F$11483,Timesheet!$A$13:$A$11483,'Início|Fim 1'!E93,Timesheet!$C$13:$C$11483,'Início|Fim 1'!$H$2)</f>
        <v>0</v>
      </c>
      <c r="I93" s="2">
        <f>SUMIFS(Timesheet!$F$13:$F$11483,Timesheet!$A$13:$A$11483,'Início|Fim 1'!E93,Timesheet!$C$13:$C$11483,'Início|Fim 1'!$I$2)</f>
        <v>0</v>
      </c>
      <c r="J93" s="2">
        <f>SUMIFS(Timesheet!$F$13:$F$11483,Timesheet!$A$13:$A$11483,'Início|Fim 1'!E93,Timesheet!$C$13:$C$11483,'Início|Fim 1'!$J$2)</f>
        <v>0</v>
      </c>
      <c r="K93" s="2">
        <f>SUMIFS(Timesheet!$F$13:$F$11483,Timesheet!$A$13:$A$11483,'Início|Fim 1'!E93,Timesheet!$C$13:$C$11483,'Início|Fim 1'!$K$2)</f>
        <v>0</v>
      </c>
      <c r="L93" s="2">
        <f>SUMIFS(Timesheet!$F$13:$F$11483,Timesheet!$A$13:$A$11483,'Início|Fim 1'!E93,Timesheet!$C$13:$C$11483,'Início|Fim 1'!$L$2)</f>
        <v>0</v>
      </c>
      <c r="M93" s="2">
        <f>SUMIFS(Timesheet!$F$13:$F$11483,Timesheet!$A$13:$A$11483,'Início|Fim 1'!E93,Timesheet!$C$13:$C$11483,'Início|Fim 1'!$M$2)</f>
        <v>0</v>
      </c>
      <c r="N93" s="2">
        <f>SUMIFS(Timesheet!$F$13:$F$11483,Timesheet!$A$13:$A$11483,'Início|Fim 1'!E93,Timesheet!$C$13:$C$11483,'Início|Fim 1'!$N$2)</f>
        <v>0</v>
      </c>
      <c r="O93" s="2">
        <f t="shared" si="1"/>
        <v>0</v>
      </c>
    </row>
    <row r="94" spans="1:15" x14ac:dyDescent="0.25">
      <c r="A94" s="1">
        <v>45018</v>
      </c>
      <c r="B94" s="3">
        <f t="array" ref="B94">MIN(IF(A94=Timesheet!$A$13:$A$2615,Timesheet!$D$13:$D$2615))</f>
        <v>0</v>
      </c>
      <c r="C94" s="3">
        <f t="array" ref="C94">MAX(IF(A94=Timesheet!$A$13:$A$2615,Timesheet!$E$13:$E$2615))</f>
        <v>0</v>
      </c>
      <c r="E94" s="1">
        <v>45018</v>
      </c>
      <c r="F94" s="2">
        <f>SUMIFS(Timesheet!$F$13:$F$11483,Timesheet!$A$13:$A$11483,'Início|Fim 1'!E94,Timesheet!$C$13:$C$11483,'Início|Fim 1'!$F$2)</f>
        <v>0</v>
      </c>
      <c r="G94" s="2">
        <f>SUMIFS(Timesheet!$F$13:$F$11483,Timesheet!$A$13:$A$11483,'Início|Fim 1'!E94,Timesheet!$C$13:$C$11483,'Início|Fim 1'!$G$2)</f>
        <v>0</v>
      </c>
      <c r="H94" s="2">
        <f>SUMIFS(Timesheet!$F$13:$F$11483,Timesheet!$A$13:$A$11483,'Início|Fim 1'!E94,Timesheet!$C$13:$C$11483,'Início|Fim 1'!$H$2)</f>
        <v>0</v>
      </c>
      <c r="I94" s="2">
        <f>SUMIFS(Timesheet!$F$13:$F$11483,Timesheet!$A$13:$A$11483,'Início|Fim 1'!E94,Timesheet!$C$13:$C$11483,'Início|Fim 1'!$I$2)</f>
        <v>0</v>
      </c>
      <c r="J94" s="2">
        <f>SUMIFS(Timesheet!$F$13:$F$11483,Timesheet!$A$13:$A$11483,'Início|Fim 1'!E94,Timesheet!$C$13:$C$11483,'Início|Fim 1'!$J$2)</f>
        <v>0</v>
      </c>
      <c r="K94" s="2">
        <f>SUMIFS(Timesheet!$F$13:$F$11483,Timesheet!$A$13:$A$11483,'Início|Fim 1'!E94,Timesheet!$C$13:$C$11483,'Início|Fim 1'!$K$2)</f>
        <v>0</v>
      </c>
      <c r="L94" s="2">
        <f>SUMIFS(Timesheet!$F$13:$F$11483,Timesheet!$A$13:$A$11483,'Início|Fim 1'!E94,Timesheet!$C$13:$C$11483,'Início|Fim 1'!$L$2)</f>
        <v>0</v>
      </c>
      <c r="M94" s="2">
        <f>SUMIFS(Timesheet!$F$13:$F$11483,Timesheet!$A$13:$A$11483,'Início|Fim 1'!E94,Timesheet!$C$13:$C$11483,'Início|Fim 1'!$M$2)</f>
        <v>0</v>
      </c>
      <c r="N94" s="2">
        <f>SUMIFS(Timesheet!$F$13:$F$11483,Timesheet!$A$13:$A$11483,'Início|Fim 1'!E94,Timesheet!$C$13:$C$11483,'Início|Fim 1'!$N$2)</f>
        <v>0</v>
      </c>
      <c r="O94" s="2">
        <f t="shared" si="1"/>
        <v>0</v>
      </c>
    </row>
    <row r="95" spans="1:15" x14ac:dyDescent="0.25">
      <c r="A95" s="1">
        <v>45019</v>
      </c>
      <c r="B95" s="3">
        <f t="array" ref="B95">MIN(IF(A95=Timesheet!$A$13:$A$2615,Timesheet!$D$13:$D$2615))</f>
        <v>0.42708333333333331</v>
      </c>
      <c r="C95" s="3">
        <f t="array" ref="C95">MAX(IF(A95=Timesheet!$A$13:$A$2615,Timesheet!$E$13:$E$2615))</f>
        <v>0.70138888888888884</v>
      </c>
      <c r="E95" s="1">
        <v>45019</v>
      </c>
      <c r="F95" s="2">
        <f>SUMIFS(Timesheet!$F$13:$F$11483,Timesheet!$A$13:$A$11483,'Início|Fim 1'!E95,Timesheet!$C$13:$C$11483,'Início|Fim 1'!$F$2)</f>
        <v>3.4027777777777768E-2</v>
      </c>
      <c r="G95" s="2">
        <f>SUMIFS(Timesheet!$F$13:$F$11483,Timesheet!$A$13:$A$11483,'Início|Fim 1'!E95,Timesheet!$C$13:$C$11483,'Início|Fim 1'!$G$2)</f>
        <v>0</v>
      </c>
      <c r="H95" s="2">
        <f>SUMIFS(Timesheet!$F$13:$F$11483,Timesheet!$A$13:$A$11483,'Início|Fim 1'!E95,Timesheet!$C$13:$C$11483,'Início|Fim 1'!$H$2)</f>
        <v>0</v>
      </c>
      <c r="I95" s="2">
        <f>SUMIFS(Timesheet!$F$13:$F$11483,Timesheet!$A$13:$A$11483,'Início|Fim 1'!E95,Timesheet!$C$13:$C$11483,'Início|Fim 1'!$I$2)</f>
        <v>0</v>
      </c>
      <c r="J95" s="2">
        <f>SUMIFS(Timesheet!$F$13:$F$11483,Timesheet!$A$13:$A$11483,'Início|Fim 1'!E95,Timesheet!$C$13:$C$11483,'Início|Fim 1'!$J$2)</f>
        <v>0</v>
      </c>
      <c r="K95" s="2">
        <f>SUMIFS(Timesheet!$F$13:$F$11483,Timesheet!$A$13:$A$11483,'Início|Fim 1'!E95,Timesheet!$C$13:$C$11483,'Início|Fim 1'!$K$2)</f>
        <v>0</v>
      </c>
      <c r="L95" s="2">
        <f>SUMIFS(Timesheet!$F$13:$F$11483,Timesheet!$A$13:$A$11483,'Início|Fim 1'!E95,Timesheet!$C$13:$C$11483,'Início|Fim 1'!$L$2)</f>
        <v>0</v>
      </c>
      <c r="M95" s="2">
        <f>SUMIFS(Timesheet!$F$13:$F$11483,Timesheet!$A$13:$A$11483,'Início|Fim 1'!E95,Timesheet!$C$13:$C$11483,'Início|Fim 1'!$M$2)</f>
        <v>0.3263888888888889</v>
      </c>
      <c r="N95" s="2">
        <f>SUMIFS(Timesheet!$F$13:$F$11483,Timesheet!$A$13:$A$11483,'Início|Fim 1'!E95,Timesheet!$C$13:$C$11483,'Início|Fim 1'!$N$2)</f>
        <v>0</v>
      </c>
      <c r="O95" s="2">
        <f t="shared" si="1"/>
        <v>3.4027777777777768E-2</v>
      </c>
    </row>
    <row r="96" spans="1:15" x14ac:dyDescent="0.25">
      <c r="A96" s="1">
        <v>45020</v>
      </c>
      <c r="B96" s="3">
        <f t="array" ref="B96">MIN(IF(A96=Timesheet!$A$13:$A$2615,Timesheet!$D$13:$D$2615))</f>
        <v>0.38541666666666669</v>
      </c>
      <c r="C96" s="3">
        <f t="array" ref="C96">MAX(IF(A96=Timesheet!$A$13:$A$2615,Timesheet!$E$13:$E$2615))</f>
        <v>0.58333333333333337</v>
      </c>
      <c r="E96" s="1">
        <v>45020</v>
      </c>
      <c r="F96" s="2">
        <f>SUMIFS(Timesheet!$F$13:$F$11483,Timesheet!$A$13:$A$11483,'Início|Fim 1'!E96,Timesheet!$C$13:$C$11483,'Início|Fim 1'!$F$2)</f>
        <v>0</v>
      </c>
      <c r="G96" s="2">
        <f>SUMIFS(Timesheet!$F$13:$F$11483,Timesheet!$A$13:$A$11483,'Início|Fim 1'!E96,Timesheet!$C$13:$C$11483,'Início|Fim 1'!$G$2)</f>
        <v>0</v>
      </c>
      <c r="H96" s="2">
        <f>SUMIFS(Timesheet!$F$13:$F$11483,Timesheet!$A$13:$A$11483,'Início|Fim 1'!E96,Timesheet!$C$13:$C$11483,'Início|Fim 1'!$H$2)</f>
        <v>0</v>
      </c>
      <c r="I96" s="2">
        <f>SUMIFS(Timesheet!$F$13:$F$11483,Timesheet!$A$13:$A$11483,'Início|Fim 1'!E96,Timesheet!$C$13:$C$11483,'Início|Fim 1'!$I$2)</f>
        <v>0</v>
      </c>
      <c r="J96" s="2">
        <f>SUMIFS(Timesheet!$F$13:$F$11483,Timesheet!$A$13:$A$11483,'Início|Fim 1'!E96,Timesheet!$C$13:$C$11483,'Início|Fim 1'!$J$2)</f>
        <v>0</v>
      </c>
      <c r="K96" s="2">
        <f>SUMIFS(Timesheet!$F$13:$F$11483,Timesheet!$A$13:$A$11483,'Início|Fim 1'!E96,Timesheet!$C$13:$C$11483,'Início|Fim 1'!$K$2)</f>
        <v>0</v>
      </c>
      <c r="L96" s="2">
        <f>SUMIFS(Timesheet!$F$13:$F$11483,Timesheet!$A$13:$A$11483,'Início|Fim 1'!E96,Timesheet!$C$13:$C$11483,'Início|Fim 1'!$L$2)</f>
        <v>0.20138888888888884</v>
      </c>
      <c r="M96" s="2">
        <f>SUMIFS(Timesheet!$F$13:$F$11483,Timesheet!$A$13:$A$11483,'Início|Fim 1'!E96,Timesheet!$C$13:$C$11483,'Início|Fim 1'!$M$2)</f>
        <v>0</v>
      </c>
      <c r="N96" s="2">
        <f>SUMIFS(Timesheet!$F$13:$F$11483,Timesheet!$A$13:$A$11483,'Início|Fim 1'!E96,Timesheet!$C$13:$C$11483,'Início|Fim 1'!$N$2)</f>
        <v>0</v>
      </c>
      <c r="O96" s="2">
        <f t="shared" si="1"/>
        <v>0</v>
      </c>
    </row>
    <row r="97" spans="1:15" x14ac:dyDescent="0.25">
      <c r="A97" s="1">
        <v>45021</v>
      </c>
      <c r="B97" s="3">
        <f t="array" ref="B97">MIN(IF(A97=Timesheet!$A$13:$A$2615,Timesheet!$D$13:$D$2615))</f>
        <v>0.46388888888888885</v>
      </c>
      <c r="C97" s="3">
        <f t="array" ref="C97">MAX(IF(A97=Timesheet!$A$13:$A$2615,Timesheet!$E$13:$E$2615))</f>
        <v>0.67986111111111114</v>
      </c>
      <c r="E97" s="1">
        <v>45021</v>
      </c>
      <c r="F97" s="2">
        <f>SUMIFS(Timesheet!$F$13:$F$11483,Timesheet!$A$13:$A$11483,'Início|Fim 1'!E97,Timesheet!$C$13:$C$11483,'Início|Fim 1'!$F$2)</f>
        <v>0</v>
      </c>
      <c r="G97" s="2">
        <f>SUMIFS(Timesheet!$F$13:$F$11483,Timesheet!$A$13:$A$11483,'Início|Fim 1'!E97,Timesheet!$C$13:$C$11483,'Início|Fim 1'!$G$2)</f>
        <v>4.0972222222222188E-2</v>
      </c>
      <c r="H97" s="2">
        <f>SUMIFS(Timesheet!$F$13:$F$11483,Timesheet!$A$13:$A$11483,'Início|Fim 1'!E97,Timesheet!$C$13:$C$11483,'Início|Fim 1'!$H$2)</f>
        <v>0</v>
      </c>
      <c r="I97" s="2">
        <f>SUMIFS(Timesheet!$F$13:$F$11483,Timesheet!$A$13:$A$11483,'Início|Fim 1'!E97,Timesheet!$C$13:$C$11483,'Início|Fim 1'!$I$2)</f>
        <v>0</v>
      </c>
      <c r="J97" s="2">
        <f>SUMIFS(Timesheet!$F$13:$F$11483,Timesheet!$A$13:$A$11483,'Início|Fim 1'!E97,Timesheet!$C$13:$C$11483,'Início|Fim 1'!$J$2)</f>
        <v>0</v>
      </c>
      <c r="K97" s="2">
        <f>SUMIFS(Timesheet!$F$13:$F$11483,Timesheet!$A$13:$A$11483,'Início|Fim 1'!E97,Timesheet!$C$13:$C$11483,'Início|Fim 1'!$K$2)</f>
        <v>0</v>
      </c>
      <c r="L97" s="2">
        <f>SUMIFS(Timesheet!$F$13:$F$11483,Timesheet!$A$13:$A$11483,'Início|Fim 1'!E97,Timesheet!$C$13:$C$11483,'Início|Fim 1'!$L$2)</f>
        <v>1.388888888888884E-3</v>
      </c>
      <c r="M97" s="2">
        <f>SUMIFS(Timesheet!$F$13:$F$11483,Timesheet!$A$13:$A$11483,'Início|Fim 1'!E97,Timesheet!$C$13:$C$11483,'Início|Fim 1'!$M$2)</f>
        <v>0</v>
      </c>
      <c r="N97" s="2">
        <f>SUMIFS(Timesheet!$F$13:$F$11483,Timesheet!$A$13:$A$11483,'Início|Fim 1'!E97,Timesheet!$C$13:$C$11483,'Início|Fim 1'!$N$2)</f>
        <v>0</v>
      </c>
      <c r="O97" s="2">
        <f t="shared" si="1"/>
        <v>4.0972222222222188E-2</v>
      </c>
    </row>
    <row r="98" spans="1:15" x14ac:dyDescent="0.25">
      <c r="A98" s="1">
        <v>45022</v>
      </c>
      <c r="B98" s="3">
        <f t="array" ref="B98">MIN(IF(A98=Timesheet!$A$13:$A$2615,Timesheet!$D$13:$D$2615))</f>
        <v>0.3611111111111111</v>
      </c>
      <c r="C98" s="3">
        <f t="array" ref="C98">MAX(IF(A98=Timesheet!$A$13:$A$2615,Timesheet!$E$13:$E$2615))</f>
        <v>0.63888888888888895</v>
      </c>
      <c r="E98" s="1">
        <v>45022</v>
      </c>
      <c r="F98" s="2">
        <f>SUMIFS(Timesheet!$F$13:$F$11483,Timesheet!$A$13:$A$11483,'Início|Fim 1'!E98,Timesheet!$C$13:$C$11483,'Início|Fim 1'!$F$2)</f>
        <v>0</v>
      </c>
      <c r="G98" s="2">
        <f>SUMIFS(Timesheet!$F$13:$F$11483,Timesheet!$A$13:$A$11483,'Início|Fim 1'!E98,Timesheet!$C$13:$C$11483,'Início|Fim 1'!$G$2)</f>
        <v>0.27777777777777785</v>
      </c>
      <c r="H98" s="2">
        <f>SUMIFS(Timesheet!$F$13:$F$11483,Timesheet!$A$13:$A$11483,'Início|Fim 1'!E98,Timesheet!$C$13:$C$11483,'Início|Fim 1'!$H$2)</f>
        <v>0</v>
      </c>
      <c r="I98" s="2">
        <f>SUMIFS(Timesheet!$F$13:$F$11483,Timesheet!$A$13:$A$11483,'Início|Fim 1'!E98,Timesheet!$C$13:$C$11483,'Início|Fim 1'!$I$2)</f>
        <v>0</v>
      </c>
      <c r="J98" s="2">
        <f>SUMIFS(Timesheet!$F$13:$F$11483,Timesheet!$A$13:$A$11483,'Início|Fim 1'!E98,Timesheet!$C$13:$C$11483,'Início|Fim 1'!$J$2)</f>
        <v>0</v>
      </c>
      <c r="K98" s="2">
        <f>SUMIFS(Timesheet!$F$13:$F$11483,Timesheet!$A$13:$A$11483,'Início|Fim 1'!E98,Timesheet!$C$13:$C$11483,'Início|Fim 1'!$K$2)</f>
        <v>0</v>
      </c>
      <c r="L98" s="2">
        <f>SUMIFS(Timesheet!$F$13:$F$11483,Timesheet!$A$13:$A$11483,'Início|Fim 1'!E98,Timesheet!$C$13:$C$11483,'Início|Fim 1'!$L$2)</f>
        <v>1.5277777777777779E-2</v>
      </c>
      <c r="M98" s="2">
        <f>SUMIFS(Timesheet!$F$13:$F$11483,Timesheet!$A$13:$A$11483,'Início|Fim 1'!E98,Timesheet!$C$13:$C$11483,'Início|Fim 1'!$M$2)</f>
        <v>0</v>
      </c>
      <c r="N98" s="2">
        <f>SUMIFS(Timesheet!$F$13:$F$11483,Timesheet!$A$13:$A$11483,'Início|Fim 1'!E98,Timesheet!$C$13:$C$11483,'Início|Fim 1'!$N$2)</f>
        <v>0</v>
      </c>
      <c r="O98" s="2">
        <f t="shared" si="1"/>
        <v>0.27777777777777785</v>
      </c>
    </row>
    <row r="99" spans="1:15" x14ac:dyDescent="0.25">
      <c r="A99" s="1">
        <v>45023</v>
      </c>
      <c r="B99" s="3">
        <f t="array" ref="B99">MIN(IF(A99=Timesheet!$A$13:$A$2615,Timesheet!$D$13:$D$2615))</f>
        <v>0</v>
      </c>
      <c r="C99" s="3">
        <f t="array" ref="C99">MAX(IF(A99=Timesheet!$A$13:$A$2615,Timesheet!$E$13:$E$2615))</f>
        <v>0</v>
      </c>
      <c r="E99" s="1">
        <v>45023</v>
      </c>
      <c r="F99" s="2">
        <f>SUMIFS(Timesheet!$F$13:$F$11483,Timesheet!$A$13:$A$11483,'Início|Fim 1'!E99,Timesheet!$C$13:$C$11483,'Início|Fim 1'!$F$2)</f>
        <v>0</v>
      </c>
      <c r="G99" s="2">
        <f>SUMIFS(Timesheet!$F$13:$F$11483,Timesheet!$A$13:$A$11483,'Início|Fim 1'!E99,Timesheet!$C$13:$C$11483,'Início|Fim 1'!$G$2)</f>
        <v>0</v>
      </c>
      <c r="H99" s="2">
        <f>SUMIFS(Timesheet!$F$13:$F$11483,Timesheet!$A$13:$A$11483,'Início|Fim 1'!E99,Timesheet!$C$13:$C$11483,'Início|Fim 1'!$H$2)</f>
        <v>0</v>
      </c>
      <c r="I99" s="2">
        <f>SUMIFS(Timesheet!$F$13:$F$11483,Timesheet!$A$13:$A$11483,'Início|Fim 1'!E99,Timesheet!$C$13:$C$11483,'Início|Fim 1'!$I$2)</f>
        <v>0</v>
      </c>
      <c r="J99" s="2">
        <f>SUMIFS(Timesheet!$F$13:$F$11483,Timesheet!$A$13:$A$11483,'Início|Fim 1'!E99,Timesheet!$C$13:$C$11483,'Início|Fim 1'!$J$2)</f>
        <v>0</v>
      </c>
      <c r="K99" s="2">
        <f>SUMIFS(Timesheet!$F$13:$F$11483,Timesheet!$A$13:$A$11483,'Início|Fim 1'!E99,Timesheet!$C$13:$C$11483,'Início|Fim 1'!$K$2)</f>
        <v>0</v>
      </c>
      <c r="L99" s="2">
        <f>SUMIFS(Timesheet!$F$13:$F$11483,Timesheet!$A$13:$A$11483,'Início|Fim 1'!E99,Timesheet!$C$13:$C$11483,'Início|Fim 1'!$L$2)</f>
        <v>0</v>
      </c>
      <c r="M99" s="2">
        <f>SUMIFS(Timesheet!$F$13:$F$11483,Timesheet!$A$13:$A$11483,'Início|Fim 1'!E99,Timesheet!$C$13:$C$11483,'Início|Fim 1'!$M$2)</f>
        <v>0</v>
      </c>
      <c r="N99" s="2">
        <f>SUMIFS(Timesheet!$F$13:$F$11483,Timesheet!$A$13:$A$11483,'Início|Fim 1'!E99,Timesheet!$C$13:$C$11483,'Início|Fim 1'!$N$2)</f>
        <v>0</v>
      </c>
      <c r="O99" s="2">
        <f t="shared" si="1"/>
        <v>0</v>
      </c>
    </row>
    <row r="100" spans="1:15" x14ac:dyDescent="0.25">
      <c r="A100" s="1">
        <v>45024</v>
      </c>
      <c r="B100" s="3">
        <f t="array" ref="B100">MIN(IF(A100=Timesheet!$A$13:$A$2615,Timesheet!$D$13:$D$2615))</f>
        <v>0</v>
      </c>
      <c r="C100" s="3">
        <f t="array" ref="C100">MAX(IF(A100=Timesheet!$A$13:$A$2615,Timesheet!$E$13:$E$2615))</f>
        <v>0</v>
      </c>
      <c r="E100" s="1">
        <v>45024</v>
      </c>
      <c r="F100" s="2">
        <f>SUMIFS(Timesheet!$F$13:$F$11483,Timesheet!$A$13:$A$11483,'Início|Fim 1'!E100,Timesheet!$C$13:$C$11483,'Início|Fim 1'!$F$2)</f>
        <v>0</v>
      </c>
      <c r="G100" s="2">
        <f>SUMIFS(Timesheet!$F$13:$F$11483,Timesheet!$A$13:$A$11483,'Início|Fim 1'!E100,Timesheet!$C$13:$C$11483,'Início|Fim 1'!$G$2)</f>
        <v>0</v>
      </c>
      <c r="H100" s="2">
        <f>SUMIFS(Timesheet!$F$13:$F$11483,Timesheet!$A$13:$A$11483,'Início|Fim 1'!E100,Timesheet!$C$13:$C$11483,'Início|Fim 1'!$H$2)</f>
        <v>0</v>
      </c>
      <c r="I100" s="2">
        <f>SUMIFS(Timesheet!$F$13:$F$11483,Timesheet!$A$13:$A$11483,'Início|Fim 1'!E100,Timesheet!$C$13:$C$11483,'Início|Fim 1'!$I$2)</f>
        <v>0</v>
      </c>
      <c r="J100" s="2">
        <f>SUMIFS(Timesheet!$F$13:$F$11483,Timesheet!$A$13:$A$11483,'Início|Fim 1'!E100,Timesheet!$C$13:$C$11483,'Início|Fim 1'!$J$2)</f>
        <v>0</v>
      </c>
      <c r="K100" s="2">
        <f>SUMIFS(Timesheet!$F$13:$F$11483,Timesheet!$A$13:$A$11483,'Início|Fim 1'!E100,Timesheet!$C$13:$C$11483,'Início|Fim 1'!$K$2)</f>
        <v>0</v>
      </c>
      <c r="L100" s="2">
        <f>SUMIFS(Timesheet!$F$13:$F$11483,Timesheet!$A$13:$A$11483,'Início|Fim 1'!E100,Timesheet!$C$13:$C$11483,'Início|Fim 1'!$L$2)</f>
        <v>0</v>
      </c>
      <c r="M100" s="2">
        <f>SUMIFS(Timesheet!$F$13:$F$11483,Timesheet!$A$13:$A$11483,'Início|Fim 1'!E100,Timesheet!$C$13:$C$11483,'Início|Fim 1'!$M$2)</f>
        <v>0</v>
      </c>
      <c r="N100" s="2">
        <f>SUMIFS(Timesheet!$F$13:$F$11483,Timesheet!$A$13:$A$11483,'Início|Fim 1'!E100,Timesheet!$C$13:$C$11483,'Início|Fim 1'!$N$2)</f>
        <v>0</v>
      </c>
      <c r="O100" s="2">
        <f t="shared" si="1"/>
        <v>0</v>
      </c>
    </row>
    <row r="101" spans="1:15" x14ac:dyDescent="0.25">
      <c r="A101" s="1">
        <v>45025</v>
      </c>
      <c r="B101" s="3">
        <f t="array" ref="B101">MIN(IF(A101=Timesheet!$A$13:$A$2615,Timesheet!$D$13:$D$2615))</f>
        <v>0</v>
      </c>
      <c r="C101" s="3">
        <f t="array" ref="C101">MAX(IF(A101=Timesheet!$A$13:$A$2615,Timesheet!$E$13:$E$2615))</f>
        <v>0</v>
      </c>
      <c r="E101" s="1">
        <v>45025</v>
      </c>
      <c r="F101" s="2">
        <f>SUMIFS(Timesheet!$F$13:$F$11483,Timesheet!$A$13:$A$11483,'Início|Fim 1'!E101,Timesheet!$C$13:$C$11483,'Início|Fim 1'!$F$2)</f>
        <v>0</v>
      </c>
      <c r="G101" s="2">
        <f>SUMIFS(Timesheet!$F$13:$F$11483,Timesheet!$A$13:$A$11483,'Início|Fim 1'!E101,Timesheet!$C$13:$C$11483,'Início|Fim 1'!$G$2)</f>
        <v>0</v>
      </c>
      <c r="H101" s="2">
        <f>SUMIFS(Timesheet!$F$13:$F$11483,Timesheet!$A$13:$A$11483,'Início|Fim 1'!E101,Timesheet!$C$13:$C$11483,'Início|Fim 1'!$H$2)</f>
        <v>0</v>
      </c>
      <c r="I101" s="2">
        <f>SUMIFS(Timesheet!$F$13:$F$11483,Timesheet!$A$13:$A$11483,'Início|Fim 1'!E101,Timesheet!$C$13:$C$11483,'Início|Fim 1'!$I$2)</f>
        <v>0</v>
      </c>
      <c r="J101" s="2">
        <f>SUMIFS(Timesheet!$F$13:$F$11483,Timesheet!$A$13:$A$11483,'Início|Fim 1'!E101,Timesheet!$C$13:$C$11483,'Início|Fim 1'!$J$2)</f>
        <v>0</v>
      </c>
      <c r="K101" s="2">
        <f>SUMIFS(Timesheet!$F$13:$F$11483,Timesheet!$A$13:$A$11483,'Início|Fim 1'!E101,Timesheet!$C$13:$C$11483,'Início|Fim 1'!$K$2)</f>
        <v>0</v>
      </c>
      <c r="L101" s="2">
        <f>SUMIFS(Timesheet!$F$13:$F$11483,Timesheet!$A$13:$A$11483,'Início|Fim 1'!E101,Timesheet!$C$13:$C$11483,'Início|Fim 1'!$L$2)</f>
        <v>0</v>
      </c>
      <c r="M101" s="2">
        <f>SUMIFS(Timesheet!$F$13:$F$11483,Timesheet!$A$13:$A$11483,'Início|Fim 1'!E101,Timesheet!$C$13:$C$11483,'Início|Fim 1'!$M$2)</f>
        <v>0</v>
      </c>
      <c r="N101" s="2">
        <f>SUMIFS(Timesheet!$F$13:$F$11483,Timesheet!$A$13:$A$11483,'Início|Fim 1'!E101,Timesheet!$C$13:$C$11483,'Início|Fim 1'!$N$2)</f>
        <v>0</v>
      </c>
      <c r="O101" s="2">
        <f t="shared" si="1"/>
        <v>0</v>
      </c>
    </row>
    <row r="102" spans="1:15" x14ac:dyDescent="0.25">
      <c r="A102" s="1">
        <v>45026</v>
      </c>
      <c r="B102" s="3">
        <f t="array" ref="B102">MIN(IF(A102=Timesheet!$A$13:$A$2615,Timesheet!$D$13:$D$2615))</f>
        <v>0</v>
      </c>
      <c r="C102" s="3">
        <f t="array" ref="C102">MAX(IF(A102=Timesheet!$A$13:$A$2615,Timesheet!$E$13:$E$2615))</f>
        <v>0</v>
      </c>
      <c r="E102" s="1">
        <v>45026</v>
      </c>
      <c r="F102" s="2">
        <f>SUMIFS(Timesheet!$F$13:$F$11483,Timesheet!$A$13:$A$11483,'Início|Fim 1'!E102,Timesheet!$C$13:$C$11483,'Início|Fim 1'!$F$2)</f>
        <v>0</v>
      </c>
      <c r="G102" s="2">
        <f>SUMIFS(Timesheet!$F$13:$F$11483,Timesheet!$A$13:$A$11483,'Início|Fim 1'!E102,Timesheet!$C$13:$C$11483,'Início|Fim 1'!$G$2)</f>
        <v>0</v>
      </c>
      <c r="H102" s="2">
        <f>SUMIFS(Timesheet!$F$13:$F$11483,Timesheet!$A$13:$A$11483,'Início|Fim 1'!E102,Timesheet!$C$13:$C$11483,'Início|Fim 1'!$H$2)</f>
        <v>0</v>
      </c>
      <c r="I102" s="2">
        <f>SUMIFS(Timesheet!$F$13:$F$11483,Timesheet!$A$13:$A$11483,'Início|Fim 1'!E102,Timesheet!$C$13:$C$11483,'Início|Fim 1'!$I$2)</f>
        <v>0</v>
      </c>
      <c r="J102" s="2">
        <f>SUMIFS(Timesheet!$F$13:$F$11483,Timesheet!$A$13:$A$11483,'Início|Fim 1'!E102,Timesheet!$C$13:$C$11483,'Início|Fim 1'!$J$2)</f>
        <v>0</v>
      </c>
      <c r="K102" s="2">
        <f>SUMIFS(Timesheet!$F$13:$F$11483,Timesheet!$A$13:$A$11483,'Início|Fim 1'!E102,Timesheet!$C$13:$C$11483,'Início|Fim 1'!$K$2)</f>
        <v>0</v>
      </c>
      <c r="L102" s="2">
        <f>SUMIFS(Timesheet!$F$13:$F$11483,Timesheet!$A$13:$A$11483,'Início|Fim 1'!E102,Timesheet!$C$13:$C$11483,'Início|Fim 1'!$L$2)</f>
        <v>0</v>
      </c>
      <c r="M102" s="2">
        <f>SUMIFS(Timesheet!$F$13:$F$11483,Timesheet!$A$13:$A$11483,'Início|Fim 1'!E102,Timesheet!$C$13:$C$11483,'Início|Fim 1'!$M$2)</f>
        <v>0</v>
      </c>
      <c r="N102" s="2">
        <f>SUMIFS(Timesheet!$F$13:$F$11483,Timesheet!$A$13:$A$11483,'Início|Fim 1'!E102,Timesheet!$C$13:$C$11483,'Início|Fim 1'!$N$2)</f>
        <v>0</v>
      </c>
      <c r="O102" s="2">
        <f t="shared" si="1"/>
        <v>0</v>
      </c>
    </row>
    <row r="103" spans="1:15" x14ac:dyDescent="0.25">
      <c r="A103" s="1">
        <v>45027</v>
      </c>
      <c r="B103" s="3">
        <f t="array" ref="B103">MIN(IF(A103=Timesheet!$A$13:$A$2615,Timesheet!$D$13:$D$2615))</f>
        <v>0</v>
      </c>
      <c r="C103" s="3">
        <f t="array" ref="C103">MAX(IF(A103=Timesheet!$A$13:$A$2615,Timesheet!$E$13:$E$2615))</f>
        <v>0</v>
      </c>
      <c r="E103" s="1">
        <v>45027</v>
      </c>
      <c r="F103" s="2">
        <f>SUMIFS(Timesheet!$F$13:$F$11483,Timesheet!$A$13:$A$11483,'Início|Fim 1'!E103,Timesheet!$C$13:$C$11483,'Início|Fim 1'!$F$2)</f>
        <v>0</v>
      </c>
      <c r="G103" s="2">
        <f>SUMIFS(Timesheet!$F$13:$F$11483,Timesheet!$A$13:$A$11483,'Início|Fim 1'!E103,Timesheet!$C$13:$C$11483,'Início|Fim 1'!$G$2)</f>
        <v>0</v>
      </c>
      <c r="H103" s="2">
        <f>SUMIFS(Timesheet!$F$13:$F$11483,Timesheet!$A$13:$A$11483,'Início|Fim 1'!E103,Timesheet!$C$13:$C$11483,'Início|Fim 1'!$H$2)</f>
        <v>0</v>
      </c>
      <c r="I103" s="2">
        <f>SUMIFS(Timesheet!$F$13:$F$11483,Timesheet!$A$13:$A$11483,'Início|Fim 1'!E103,Timesheet!$C$13:$C$11483,'Início|Fim 1'!$I$2)</f>
        <v>0</v>
      </c>
      <c r="J103" s="2">
        <f>SUMIFS(Timesheet!$F$13:$F$11483,Timesheet!$A$13:$A$11483,'Início|Fim 1'!E103,Timesheet!$C$13:$C$11483,'Início|Fim 1'!$J$2)</f>
        <v>0</v>
      </c>
      <c r="K103" s="2">
        <f>SUMIFS(Timesheet!$F$13:$F$11483,Timesheet!$A$13:$A$11483,'Início|Fim 1'!E103,Timesheet!$C$13:$C$11483,'Início|Fim 1'!$K$2)</f>
        <v>0</v>
      </c>
      <c r="L103" s="2">
        <f>SUMIFS(Timesheet!$F$13:$F$11483,Timesheet!$A$13:$A$11483,'Início|Fim 1'!E103,Timesheet!$C$13:$C$11483,'Início|Fim 1'!$L$2)</f>
        <v>0</v>
      </c>
      <c r="M103" s="2">
        <f>SUMIFS(Timesheet!$F$13:$F$11483,Timesheet!$A$13:$A$11483,'Início|Fim 1'!E103,Timesheet!$C$13:$C$11483,'Início|Fim 1'!$M$2)</f>
        <v>0</v>
      </c>
      <c r="N103" s="2">
        <f>SUMIFS(Timesheet!$F$13:$F$11483,Timesheet!$A$13:$A$11483,'Início|Fim 1'!E103,Timesheet!$C$13:$C$11483,'Início|Fim 1'!$N$2)</f>
        <v>0</v>
      </c>
      <c r="O103" s="2">
        <f t="shared" si="1"/>
        <v>0</v>
      </c>
    </row>
    <row r="104" spans="1:15" x14ac:dyDescent="0.25">
      <c r="A104" s="1">
        <v>45028</v>
      </c>
      <c r="B104" s="3">
        <f t="array" ref="B104">MIN(IF(A104=Timesheet!$A$13:$A$2615,Timesheet!$D$13:$D$2615))</f>
        <v>0</v>
      </c>
      <c r="C104" s="3">
        <f t="array" ref="C104">MAX(IF(A104=Timesheet!$A$13:$A$2615,Timesheet!$E$13:$E$2615))</f>
        <v>0</v>
      </c>
      <c r="E104" s="1">
        <v>45028</v>
      </c>
      <c r="F104" s="2">
        <f>SUMIFS(Timesheet!$F$13:$F$11483,Timesheet!$A$13:$A$11483,'Início|Fim 1'!E104,Timesheet!$C$13:$C$11483,'Início|Fim 1'!$F$2)</f>
        <v>0</v>
      </c>
      <c r="G104" s="2">
        <f>SUMIFS(Timesheet!$F$13:$F$11483,Timesheet!$A$13:$A$11483,'Início|Fim 1'!E104,Timesheet!$C$13:$C$11483,'Início|Fim 1'!$G$2)</f>
        <v>0</v>
      </c>
      <c r="H104" s="2">
        <f>SUMIFS(Timesheet!$F$13:$F$11483,Timesheet!$A$13:$A$11483,'Início|Fim 1'!E104,Timesheet!$C$13:$C$11483,'Início|Fim 1'!$H$2)</f>
        <v>0</v>
      </c>
      <c r="I104" s="2">
        <f>SUMIFS(Timesheet!$F$13:$F$11483,Timesheet!$A$13:$A$11483,'Início|Fim 1'!E104,Timesheet!$C$13:$C$11483,'Início|Fim 1'!$I$2)</f>
        <v>0</v>
      </c>
      <c r="J104" s="2">
        <f>SUMIFS(Timesheet!$F$13:$F$11483,Timesheet!$A$13:$A$11483,'Início|Fim 1'!E104,Timesheet!$C$13:$C$11483,'Início|Fim 1'!$J$2)</f>
        <v>0</v>
      </c>
      <c r="K104" s="2">
        <f>SUMIFS(Timesheet!$F$13:$F$11483,Timesheet!$A$13:$A$11483,'Início|Fim 1'!E104,Timesheet!$C$13:$C$11483,'Início|Fim 1'!$K$2)</f>
        <v>0</v>
      </c>
      <c r="L104" s="2">
        <f>SUMIFS(Timesheet!$F$13:$F$11483,Timesheet!$A$13:$A$11483,'Início|Fim 1'!E104,Timesheet!$C$13:$C$11483,'Início|Fim 1'!$L$2)</f>
        <v>0</v>
      </c>
      <c r="M104" s="2">
        <f>SUMIFS(Timesheet!$F$13:$F$11483,Timesheet!$A$13:$A$11483,'Início|Fim 1'!E104,Timesheet!$C$13:$C$11483,'Início|Fim 1'!$M$2)</f>
        <v>0</v>
      </c>
      <c r="N104" s="2">
        <f>SUMIFS(Timesheet!$F$13:$F$11483,Timesheet!$A$13:$A$11483,'Início|Fim 1'!E104,Timesheet!$C$13:$C$11483,'Início|Fim 1'!$N$2)</f>
        <v>0</v>
      </c>
      <c r="O104" s="2">
        <f t="shared" si="1"/>
        <v>0</v>
      </c>
    </row>
    <row r="105" spans="1:15" x14ac:dyDescent="0.25">
      <c r="A105" s="1">
        <v>45029</v>
      </c>
      <c r="B105" s="3">
        <f t="array" ref="B105">MIN(IF(A105=Timesheet!$A$13:$A$2615,Timesheet!$D$13:$D$2615))</f>
        <v>0.56944444444444442</v>
      </c>
      <c r="C105" s="3">
        <f t="array" ref="C105">MAX(IF(A105=Timesheet!$A$13:$A$2615,Timesheet!$E$13:$E$2615))</f>
        <v>0.61805555555555558</v>
      </c>
      <c r="E105" s="1">
        <v>45029</v>
      </c>
      <c r="F105" s="2">
        <f>SUMIFS(Timesheet!$F$13:$F$11483,Timesheet!$A$13:$A$11483,'Início|Fim 1'!E105,Timesheet!$C$13:$C$11483,'Início|Fim 1'!$F$2)</f>
        <v>0</v>
      </c>
      <c r="G105" s="2">
        <f>SUMIFS(Timesheet!$F$13:$F$11483,Timesheet!$A$13:$A$11483,'Início|Fim 1'!E105,Timesheet!$C$13:$C$11483,'Início|Fim 1'!$G$2)</f>
        <v>0</v>
      </c>
      <c r="H105" s="2">
        <f>SUMIFS(Timesheet!$F$13:$F$11483,Timesheet!$A$13:$A$11483,'Início|Fim 1'!E105,Timesheet!$C$13:$C$11483,'Início|Fim 1'!$H$2)</f>
        <v>0</v>
      </c>
      <c r="I105" s="2">
        <f>SUMIFS(Timesheet!$F$13:$F$11483,Timesheet!$A$13:$A$11483,'Início|Fim 1'!E105,Timesheet!$C$13:$C$11483,'Início|Fim 1'!$I$2)</f>
        <v>0</v>
      </c>
      <c r="J105" s="2">
        <f>SUMIFS(Timesheet!$F$13:$F$11483,Timesheet!$A$13:$A$11483,'Início|Fim 1'!E105,Timesheet!$C$13:$C$11483,'Início|Fim 1'!$J$2)</f>
        <v>0</v>
      </c>
      <c r="K105" s="2">
        <f>SUMIFS(Timesheet!$F$13:$F$11483,Timesheet!$A$13:$A$11483,'Início|Fim 1'!E105,Timesheet!$C$13:$C$11483,'Início|Fim 1'!$K$2)</f>
        <v>0</v>
      </c>
      <c r="L105" s="2">
        <f>SUMIFS(Timesheet!$F$13:$F$11483,Timesheet!$A$13:$A$11483,'Início|Fim 1'!E105,Timesheet!$C$13:$C$11483,'Início|Fim 1'!$L$2)</f>
        <v>0</v>
      </c>
      <c r="M105" s="2">
        <f>SUMIFS(Timesheet!$F$13:$F$11483,Timesheet!$A$13:$A$11483,'Início|Fim 1'!E105,Timesheet!$C$13:$C$11483,'Início|Fim 1'!$M$2)</f>
        <v>4.861111111111116E-2</v>
      </c>
      <c r="N105" s="2">
        <f>SUMIFS(Timesheet!$F$13:$F$11483,Timesheet!$A$13:$A$11483,'Início|Fim 1'!E105,Timesheet!$C$13:$C$11483,'Início|Fim 1'!$N$2)</f>
        <v>0</v>
      </c>
      <c r="O105" s="2">
        <f t="shared" si="1"/>
        <v>0</v>
      </c>
    </row>
    <row r="106" spans="1:15" x14ac:dyDescent="0.25">
      <c r="A106" s="1">
        <v>45030</v>
      </c>
      <c r="B106" s="3">
        <f t="array" ref="B106">MIN(IF(A106=Timesheet!$A$13:$A$2615,Timesheet!$D$13:$D$2615))</f>
        <v>0.39583333333333331</v>
      </c>
      <c r="C106" s="3">
        <f t="array" ref="C106">MAX(IF(A106=Timesheet!$A$13:$A$2615,Timesheet!$E$13:$E$2615))</f>
        <v>0.6875</v>
      </c>
      <c r="E106" s="1">
        <v>45030</v>
      </c>
      <c r="F106" s="2">
        <f>SUMIFS(Timesheet!$F$13:$F$11483,Timesheet!$A$13:$A$11483,'Início|Fim 1'!E106,Timesheet!$C$13:$C$11483,'Início|Fim 1'!$F$2)</f>
        <v>0.16388888888888886</v>
      </c>
      <c r="G106" s="2">
        <f>SUMIFS(Timesheet!$F$13:$F$11483,Timesheet!$A$13:$A$11483,'Início|Fim 1'!E106,Timesheet!$C$13:$C$11483,'Início|Fim 1'!$G$2)</f>
        <v>0</v>
      </c>
      <c r="H106" s="2">
        <f>SUMIFS(Timesheet!$F$13:$F$11483,Timesheet!$A$13:$A$11483,'Início|Fim 1'!E106,Timesheet!$C$13:$C$11483,'Início|Fim 1'!$H$2)</f>
        <v>0</v>
      </c>
      <c r="I106" s="2">
        <f>SUMIFS(Timesheet!$F$13:$F$11483,Timesheet!$A$13:$A$11483,'Início|Fim 1'!E106,Timesheet!$C$13:$C$11483,'Início|Fim 1'!$I$2)</f>
        <v>0</v>
      </c>
      <c r="J106" s="2">
        <f>SUMIFS(Timesheet!$F$13:$F$11483,Timesheet!$A$13:$A$11483,'Início|Fim 1'!E106,Timesheet!$C$13:$C$11483,'Início|Fim 1'!$J$2)</f>
        <v>0</v>
      </c>
      <c r="K106" s="2">
        <f>SUMIFS(Timesheet!$F$13:$F$11483,Timesheet!$A$13:$A$11483,'Início|Fim 1'!E106,Timesheet!$C$13:$C$11483,'Início|Fim 1'!$K$2)</f>
        <v>0</v>
      </c>
      <c r="L106" s="2">
        <f>SUMIFS(Timesheet!$F$13:$F$11483,Timesheet!$A$13:$A$11483,'Início|Fim 1'!E106,Timesheet!$C$13:$C$11483,'Início|Fim 1'!$L$2)</f>
        <v>1.1111111111111072E-2</v>
      </c>
      <c r="M106" s="2">
        <f>SUMIFS(Timesheet!$F$13:$F$11483,Timesheet!$A$13:$A$11483,'Início|Fim 1'!E106,Timesheet!$C$13:$C$11483,'Início|Fim 1'!$M$2)</f>
        <v>0.12500000000000006</v>
      </c>
      <c r="N106" s="2">
        <f>SUMIFS(Timesheet!$F$13:$F$11483,Timesheet!$A$13:$A$11483,'Início|Fim 1'!E106,Timesheet!$C$13:$C$11483,'Início|Fim 1'!$N$2)</f>
        <v>0</v>
      </c>
      <c r="O106" s="2">
        <f t="shared" si="1"/>
        <v>0.16388888888888886</v>
      </c>
    </row>
    <row r="107" spans="1:15" x14ac:dyDescent="0.25">
      <c r="A107" s="1">
        <v>45031</v>
      </c>
      <c r="B107" s="3">
        <f t="array" ref="B107">MIN(IF(A107=Timesheet!$A$13:$A$2615,Timesheet!$D$13:$D$2615))</f>
        <v>0</v>
      </c>
      <c r="C107" s="3">
        <f t="array" ref="C107">MAX(IF(A107=Timesheet!$A$13:$A$2615,Timesheet!$E$13:$E$2615))</f>
        <v>0</v>
      </c>
      <c r="E107" s="1">
        <v>45031</v>
      </c>
      <c r="F107" s="2">
        <f>SUMIFS(Timesheet!$F$13:$F$11483,Timesheet!$A$13:$A$11483,'Início|Fim 1'!E107,Timesheet!$C$13:$C$11483,'Início|Fim 1'!$F$2)</f>
        <v>0</v>
      </c>
      <c r="G107" s="2">
        <f>SUMIFS(Timesheet!$F$13:$F$11483,Timesheet!$A$13:$A$11483,'Início|Fim 1'!E107,Timesheet!$C$13:$C$11483,'Início|Fim 1'!$G$2)</f>
        <v>0</v>
      </c>
      <c r="H107" s="2">
        <f>SUMIFS(Timesheet!$F$13:$F$11483,Timesheet!$A$13:$A$11483,'Início|Fim 1'!E107,Timesheet!$C$13:$C$11483,'Início|Fim 1'!$H$2)</f>
        <v>0</v>
      </c>
      <c r="I107" s="2">
        <f>SUMIFS(Timesheet!$F$13:$F$11483,Timesheet!$A$13:$A$11483,'Início|Fim 1'!E107,Timesheet!$C$13:$C$11483,'Início|Fim 1'!$I$2)</f>
        <v>0</v>
      </c>
      <c r="J107" s="2">
        <f>SUMIFS(Timesheet!$F$13:$F$11483,Timesheet!$A$13:$A$11483,'Início|Fim 1'!E107,Timesheet!$C$13:$C$11483,'Início|Fim 1'!$J$2)</f>
        <v>0</v>
      </c>
      <c r="K107" s="2">
        <f>SUMIFS(Timesheet!$F$13:$F$11483,Timesheet!$A$13:$A$11483,'Início|Fim 1'!E107,Timesheet!$C$13:$C$11483,'Início|Fim 1'!$K$2)</f>
        <v>0</v>
      </c>
      <c r="L107" s="2">
        <f>SUMIFS(Timesheet!$F$13:$F$11483,Timesheet!$A$13:$A$11483,'Início|Fim 1'!E107,Timesheet!$C$13:$C$11483,'Início|Fim 1'!$L$2)</f>
        <v>0</v>
      </c>
      <c r="M107" s="2">
        <f>SUMIFS(Timesheet!$F$13:$F$11483,Timesheet!$A$13:$A$11483,'Início|Fim 1'!E107,Timesheet!$C$13:$C$11483,'Início|Fim 1'!$M$2)</f>
        <v>0</v>
      </c>
      <c r="N107" s="2">
        <f>SUMIFS(Timesheet!$F$13:$F$11483,Timesheet!$A$13:$A$11483,'Início|Fim 1'!E107,Timesheet!$C$13:$C$11483,'Início|Fim 1'!$N$2)</f>
        <v>0</v>
      </c>
      <c r="O107" s="2">
        <f t="shared" si="1"/>
        <v>0</v>
      </c>
    </row>
    <row r="108" spans="1:15" x14ac:dyDescent="0.25">
      <c r="A108" s="1">
        <v>45032</v>
      </c>
      <c r="B108" s="3">
        <f t="array" ref="B108">MIN(IF(A108=Timesheet!$A$13:$A$2615,Timesheet!$D$13:$D$2615))</f>
        <v>0</v>
      </c>
      <c r="C108" s="3">
        <f t="array" ref="C108">MAX(IF(A108=Timesheet!$A$13:$A$2615,Timesheet!$E$13:$E$2615))</f>
        <v>0</v>
      </c>
      <c r="E108" s="1">
        <v>45032</v>
      </c>
      <c r="F108" s="2">
        <f>SUMIFS(Timesheet!$F$13:$F$11483,Timesheet!$A$13:$A$11483,'Início|Fim 1'!E108,Timesheet!$C$13:$C$11483,'Início|Fim 1'!$F$2)</f>
        <v>0</v>
      </c>
      <c r="G108" s="2">
        <f>SUMIFS(Timesheet!$F$13:$F$11483,Timesheet!$A$13:$A$11483,'Início|Fim 1'!E108,Timesheet!$C$13:$C$11483,'Início|Fim 1'!$G$2)</f>
        <v>0</v>
      </c>
      <c r="H108" s="2">
        <f>SUMIFS(Timesheet!$F$13:$F$11483,Timesheet!$A$13:$A$11483,'Início|Fim 1'!E108,Timesheet!$C$13:$C$11483,'Início|Fim 1'!$H$2)</f>
        <v>0</v>
      </c>
      <c r="I108" s="2">
        <f>SUMIFS(Timesheet!$F$13:$F$11483,Timesheet!$A$13:$A$11483,'Início|Fim 1'!E108,Timesheet!$C$13:$C$11483,'Início|Fim 1'!$I$2)</f>
        <v>0</v>
      </c>
      <c r="J108" s="2">
        <f>SUMIFS(Timesheet!$F$13:$F$11483,Timesheet!$A$13:$A$11483,'Início|Fim 1'!E108,Timesheet!$C$13:$C$11483,'Início|Fim 1'!$J$2)</f>
        <v>0</v>
      </c>
      <c r="K108" s="2">
        <f>SUMIFS(Timesheet!$F$13:$F$11483,Timesheet!$A$13:$A$11483,'Início|Fim 1'!E108,Timesheet!$C$13:$C$11483,'Início|Fim 1'!$K$2)</f>
        <v>0</v>
      </c>
      <c r="L108" s="2">
        <f>SUMIFS(Timesheet!$F$13:$F$11483,Timesheet!$A$13:$A$11483,'Início|Fim 1'!E108,Timesheet!$C$13:$C$11483,'Início|Fim 1'!$L$2)</f>
        <v>0</v>
      </c>
      <c r="M108" s="2">
        <f>SUMIFS(Timesheet!$F$13:$F$11483,Timesheet!$A$13:$A$11483,'Início|Fim 1'!E108,Timesheet!$C$13:$C$11483,'Início|Fim 1'!$M$2)</f>
        <v>0</v>
      </c>
      <c r="N108" s="2">
        <f>SUMIFS(Timesheet!$F$13:$F$11483,Timesheet!$A$13:$A$11483,'Início|Fim 1'!E108,Timesheet!$C$13:$C$11483,'Início|Fim 1'!$N$2)</f>
        <v>0</v>
      </c>
      <c r="O108" s="2">
        <f t="shared" si="1"/>
        <v>0</v>
      </c>
    </row>
    <row r="109" spans="1:15" x14ac:dyDescent="0.25">
      <c r="A109" s="1">
        <v>45033</v>
      </c>
      <c r="B109" s="3">
        <f t="array" ref="B109">MIN(IF(A109=Timesheet!$A$13:$A$2615,Timesheet!$D$13:$D$2615))</f>
        <v>0</v>
      </c>
      <c r="C109" s="3">
        <f t="array" ref="C109">MAX(IF(A109=Timesheet!$A$13:$A$2615,Timesheet!$E$13:$E$2615))</f>
        <v>0</v>
      </c>
      <c r="E109" s="1">
        <v>45033</v>
      </c>
      <c r="F109" s="2">
        <f>SUMIFS(Timesheet!$F$13:$F$11483,Timesheet!$A$13:$A$11483,'Início|Fim 1'!E109,Timesheet!$C$13:$C$11483,'Início|Fim 1'!$F$2)</f>
        <v>0</v>
      </c>
      <c r="G109" s="2">
        <f>SUMIFS(Timesheet!$F$13:$F$11483,Timesheet!$A$13:$A$11483,'Início|Fim 1'!E109,Timesheet!$C$13:$C$11483,'Início|Fim 1'!$G$2)</f>
        <v>0</v>
      </c>
      <c r="H109" s="2">
        <f>SUMIFS(Timesheet!$F$13:$F$11483,Timesheet!$A$13:$A$11483,'Início|Fim 1'!E109,Timesheet!$C$13:$C$11483,'Início|Fim 1'!$H$2)</f>
        <v>0</v>
      </c>
      <c r="I109" s="2">
        <f>SUMIFS(Timesheet!$F$13:$F$11483,Timesheet!$A$13:$A$11483,'Início|Fim 1'!E109,Timesheet!$C$13:$C$11483,'Início|Fim 1'!$I$2)</f>
        <v>0</v>
      </c>
      <c r="J109" s="2">
        <f>SUMIFS(Timesheet!$F$13:$F$11483,Timesheet!$A$13:$A$11483,'Início|Fim 1'!E109,Timesheet!$C$13:$C$11483,'Início|Fim 1'!$J$2)</f>
        <v>0</v>
      </c>
      <c r="K109" s="2">
        <f>SUMIFS(Timesheet!$F$13:$F$11483,Timesheet!$A$13:$A$11483,'Início|Fim 1'!E109,Timesheet!$C$13:$C$11483,'Início|Fim 1'!$K$2)</f>
        <v>0</v>
      </c>
      <c r="L109" s="2">
        <f>SUMIFS(Timesheet!$F$13:$F$11483,Timesheet!$A$13:$A$11483,'Início|Fim 1'!E109,Timesheet!$C$13:$C$11483,'Início|Fim 1'!$L$2)</f>
        <v>0</v>
      </c>
      <c r="M109" s="2">
        <f>SUMIFS(Timesheet!$F$13:$F$11483,Timesheet!$A$13:$A$11483,'Início|Fim 1'!E109,Timesheet!$C$13:$C$11483,'Início|Fim 1'!$M$2)</f>
        <v>0</v>
      </c>
      <c r="N109" s="2">
        <f>SUMIFS(Timesheet!$F$13:$F$11483,Timesheet!$A$13:$A$11483,'Início|Fim 1'!E109,Timesheet!$C$13:$C$11483,'Início|Fim 1'!$N$2)</f>
        <v>0</v>
      </c>
      <c r="O109" s="2">
        <f t="shared" si="1"/>
        <v>0</v>
      </c>
    </row>
    <row r="110" spans="1:15" x14ac:dyDescent="0.25">
      <c r="A110" s="1">
        <v>45034</v>
      </c>
      <c r="B110" s="3">
        <f t="array" ref="B110">MIN(IF(A110=Timesheet!$A$13:$A$2615,Timesheet!$D$13:$D$2615))</f>
        <v>0</v>
      </c>
      <c r="C110" s="3">
        <f t="array" ref="C110">MAX(IF(A110=Timesheet!$A$13:$A$2615,Timesheet!$E$13:$E$2615))</f>
        <v>0</v>
      </c>
      <c r="E110" s="1">
        <v>45034</v>
      </c>
      <c r="F110" s="2">
        <f>SUMIFS(Timesheet!$F$13:$F$11483,Timesheet!$A$13:$A$11483,'Início|Fim 1'!E110,Timesheet!$C$13:$C$11483,'Início|Fim 1'!$F$2)</f>
        <v>0</v>
      </c>
      <c r="G110" s="2">
        <f>SUMIFS(Timesheet!$F$13:$F$11483,Timesheet!$A$13:$A$11483,'Início|Fim 1'!E110,Timesheet!$C$13:$C$11483,'Início|Fim 1'!$G$2)</f>
        <v>0</v>
      </c>
      <c r="H110" s="2">
        <f>SUMIFS(Timesheet!$F$13:$F$11483,Timesheet!$A$13:$A$11483,'Início|Fim 1'!E110,Timesheet!$C$13:$C$11483,'Início|Fim 1'!$H$2)</f>
        <v>0</v>
      </c>
      <c r="I110" s="2">
        <f>SUMIFS(Timesheet!$F$13:$F$11483,Timesheet!$A$13:$A$11483,'Início|Fim 1'!E110,Timesheet!$C$13:$C$11483,'Início|Fim 1'!$I$2)</f>
        <v>0</v>
      </c>
      <c r="J110" s="2">
        <f>SUMIFS(Timesheet!$F$13:$F$11483,Timesheet!$A$13:$A$11483,'Início|Fim 1'!E110,Timesheet!$C$13:$C$11483,'Início|Fim 1'!$J$2)</f>
        <v>0</v>
      </c>
      <c r="K110" s="2">
        <f>SUMIFS(Timesheet!$F$13:$F$11483,Timesheet!$A$13:$A$11483,'Início|Fim 1'!E110,Timesheet!$C$13:$C$11483,'Início|Fim 1'!$K$2)</f>
        <v>0</v>
      </c>
      <c r="L110" s="2">
        <f>SUMIFS(Timesheet!$F$13:$F$11483,Timesheet!$A$13:$A$11483,'Início|Fim 1'!E110,Timesheet!$C$13:$C$11483,'Início|Fim 1'!$L$2)</f>
        <v>0</v>
      </c>
      <c r="M110" s="2">
        <f>SUMIFS(Timesheet!$F$13:$F$11483,Timesheet!$A$13:$A$11483,'Início|Fim 1'!E110,Timesheet!$C$13:$C$11483,'Início|Fim 1'!$M$2)</f>
        <v>0</v>
      </c>
      <c r="N110" s="2">
        <f>SUMIFS(Timesheet!$F$13:$F$11483,Timesheet!$A$13:$A$11483,'Início|Fim 1'!E110,Timesheet!$C$13:$C$11483,'Início|Fim 1'!$N$2)</f>
        <v>0</v>
      </c>
      <c r="O110" s="2">
        <f t="shared" si="1"/>
        <v>0</v>
      </c>
    </row>
    <row r="111" spans="1:15" x14ac:dyDescent="0.25">
      <c r="A111" s="1">
        <v>45035</v>
      </c>
      <c r="B111" s="3">
        <f t="array" ref="B111">MIN(IF(A111=Timesheet!$A$13:$A$2615,Timesheet!$D$13:$D$2615))</f>
        <v>0</v>
      </c>
      <c r="C111" s="3">
        <f t="array" ref="C111">MAX(IF(A111=Timesheet!$A$13:$A$2615,Timesheet!$E$13:$E$2615))</f>
        <v>0</v>
      </c>
      <c r="E111" s="1">
        <v>45035</v>
      </c>
      <c r="F111" s="2">
        <f>SUMIFS(Timesheet!$F$13:$F$11483,Timesheet!$A$13:$A$11483,'Início|Fim 1'!E111,Timesheet!$C$13:$C$11483,'Início|Fim 1'!$F$2)</f>
        <v>0</v>
      </c>
      <c r="G111" s="2">
        <f>SUMIFS(Timesheet!$F$13:$F$11483,Timesheet!$A$13:$A$11483,'Início|Fim 1'!E111,Timesheet!$C$13:$C$11483,'Início|Fim 1'!$G$2)</f>
        <v>0</v>
      </c>
      <c r="H111" s="2">
        <f>SUMIFS(Timesheet!$F$13:$F$11483,Timesheet!$A$13:$A$11483,'Início|Fim 1'!E111,Timesheet!$C$13:$C$11483,'Início|Fim 1'!$H$2)</f>
        <v>0</v>
      </c>
      <c r="I111" s="2">
        <f>SUMIFS(Timesheet!$F$13:$F$11483,Timesheet!$A$13:$A$11483,'Início|Fim 1'!E111,Timesheet!$C$13:$C$11483,'Início|Fim 1'!$I$2)</f>
        <v>0</v>
      </c>
      <c r="J111" s="2">
        <f>SUMIFS(Timesheet!$F$13:$F$11483,Timesheet!$A$13:$A$11483,'Início|Fim 1'!E111,Timesheet!$C$13:$C$11483,'Início|Fim 1'!$J$2)</f>
        <v>0</v>
      </c>
      <c r="K111" s="2">
        <f>SUMIFS(Timesheet!$F$13:$F$11483,Timesheet!$A$13:$A$11483,'Início|Fim 1'!E111,Timesheet!$C$13:$C$11483,'Início|Fim 1'!$K$2)</f>
        <v>0</v>
      </c>
      <c r="L111" s="2">
        <f>SUMIFS(Timesheet!$F$13:$F$11483,Timesheet!$A$13:$A$11483,'Início|Fim 1'!E111,Timesheet!$C$13:$C$11483,'Início|Fim 1'!$L$2)</f>
        <v>0</v>
      </c>
      <c r="M111" s="2">
        <f>SUMIFS(Timesheet!$F$13:$F$11483,Timesheet!$A$13:$A$11483,'Início|Fim 1'!E111,Timesheet!$C$13:$C$11483,'Início|Fim 1'!$M$2)</f>
        <v>0</v>
      </c>
      <c r="N111" s="2">
        <f>SUMIFS(Timesheet!$F$13:$F$11483,Timesheet!$A$13:$A$11483,'Início|Fim 1'!E111,Timesheet!$C$13:$C$11483,'Início|Fim 1'!$N$2)</f>
        <v>0</v>
      </c>
      <c r="O111" s="2">
        <f t="shared" si="1"/>
        <v>0</v>
      </c>
    </row>
    <row r="112" spans="1:15" x14ac:dyDescent="0.25">
      <c r="A112" s="1">
        <v>45036</v>
      </c>
      <c r="B112" s="3">
        <f t="array" ref="B112">MIN(IF(A112=Timesheet!$A$13:$A$2615,Timesheet!$D$13:$D$2615))</f>
        <v>0</v>
      </c>
      <c r="C112" s="3">
        <f t="array" ref="C112">MAX(IF(A112=Timesheet!$A$13:$A$2615,Timesheet!$E$13:$E$2615))</f>
        <v>0</v>
      </c>
      <c r="E112" s="1">
        <v>45036</v>
      </c>
      <c r="F112" s="2">
        <f>SUMIFS(Timesheet!$F$13:$F$11483,Timesheet!$A$13:$A$11483,'Início|Fim 1'!E112,Timesheet!$C$13:$C$11483,'Início|Fim 1'!$F$2)</f>
        <v>0</v>
      </c>
      <c r="G112" s="2">
        <f>SUMIFS(Timesheet!$F$13:$F$11483,Timesheet!$A$13:$A$11483,'Início|Fim 1'!E112,Timesheet!$C$13:$C$11483,'Início|Fim 1'!$G$2)</f>
        <v>0</v>
      </c>
      <c r="H112" s="2">
        <f>SUMIFS(Timesheet!$F$13:$F$11483,Timesheet!$A$13:$A$11483,'Início|Fim 1'!E112,Timesheet!$C$13:$C$11483,'Início|Fim 1'!$H$2)</f>
        <v>0</v>
      </c>
      <c r="I112" s="2">
        <f>SUMIFS(Timesheet!$F$13:$F$11483,Timesheet!$A$13:$A$11483,'Início|Fim 1'!E112,Timesheet!$C$13:$C$11483,'Início|Fim 1'!$I$2)</f>
        <v>0</v>
      </c>
      <c r="J112" s="2">
        <f>SUMIFS(Timesheet!$F$13:$F$11483,Timesheet!$A$13:$A$11483,'Início|Fim 1'!E112,Timesheet!$C$13:$C$11483,'Início|Fim 1'!$J$2)</f>
        <v>0</v>
      </c>
      <c r="K112" s="2">
        <f>SUMIFS(Timesheet!$F$13:$F$11483,Timesheet!$A$13:$A$11483,'Início|Fim 1'!E112,Timesheet!$C$13:$C$11483,'Início|Fim 1'!$K$2)</f>
        <v>0</v>
      </c>
      <c r="L112" s="2">
        <f>SUMIFS(Timesheet!$F$13:$F$11483,Timesheet!$A$13:$A$11483,'Início|Fim 1'!E112,Timesheet!$C$13:$C$11483,'Início|Fim 1'!$L$2)</f>
        <v>0</v>
      </c>
      <c r="M112" s="2">
        <f>SUMIFS(Timesheet!$F$13:$F$11483,Timesheet!$A$13:$A$11483,'Início|Fim 1'!E112,Timesheet!$C$13:$C$11483,'Início|Fim 1'!$M$2)</f>
        <v>0</v>
      </c>
      <c r="N112" s="2">
        <f>SUMIFS(Timesheet!$F$13:$F$11483,Timesheet!$A$13:$A$11483,'Início|Fim 1'!E112,Timesheet!$C$13:$C$11483,'Início|Fim 1'!$N$2)</f>
        <v>0</v>
      </c>
      <c r="O112" s="2">
        <f t="shared" si="1"/>
        <v>0</v>
      </c>
    </row>
    <row r="113" spans="1:15" x14ac:dyDescent="0.25">
      <c r="A113" s="1">
        <v>45037</v>
      </c>
      <c r="B113" s="3">
        <f t="array" ref="B113">MIN(IF(A113=Timesheet!$A$13:$A$2615,Timesheet!$D$13:$D$2615))</f>
        <v>0</v>
      </c>
      <c r="C113" s="3">
        <f t="array" ref="C113">MAX(IF(A113=Timesheet!$A$13:$A$2615,Timesheet!$E$13:$E$2615))</f>
        <v>0</v>
      </c>
      <c r="E113" s="1">
        <v>45037</v>
      </c>
      <c r="F113" s="2">
        <f>SUMIFS(Timesheet!$F$13:$F$11483,Timesheet!$A$13:$A$11483,'Início|Fim 1'!E113,Timesheet!$C$13:$C$11483,'Início|Fim 1'!$F$2)</f>
        <v>0</v>
      </c>
      <c r="G113" s="2">
        <f>SUMIFS(Timesheet!$F$13:$F$11483,Timesheet!$A$13:$A$11483,'Início|Fim 1'!E113,Timesheet!$C$13:$C$11483,'Início|Fim 1'!$G$2)</f>
        <v>0</v>
      </c>
      <c r="H113" s="2">
        <f>SUMIFS(Timesheet!$F$13:$F$11483,Timesheet!$A$13:$A$11483,'Início|Fim 1'!E113,Timesheet!$C$13:$C$11483,'Início|Fim 1'!$H$2)</f>
        <v>0</v>
      </c>
      <c r="I113" s="2">
        <f>SUMIFS(Timesheet!$F$13:$F$11483,Timesheet!$A$13:$A$11483,'Início|Fim 1'!E113,Timesheet!$C$13:$C$11483,'Início|Fim 1'!$I$2)</f>
        <v>0</v>
      </c>
      <c r="J113" s="2">
        <f>SUMIFS(Timesheet!$F$13:$F$11483,Timesheet!$A$13:$A$11483,'Início|Fim 1'!E113,Timesheet!$C$13:$C$11483,'Início|Fim 1'!$J$2)</f>
        <v>0</v>
      </c>
      <c r="K113" s="2">
        <f>SUMIFS(Timesheet!$F$13:$F$11483,Timesheet!$A$13:$A$11483,'Início|Fim 1'!E113,Timesheet!$C$13:$C$11483,'Início|Fim 1'!$K$2)</f>
        <v>0</v>
      </c>
      <c r="L113" s="2">
        <f>SUMIFS(Timesheet!$F$13:$F$11483,Timesheet!$A$13:$A$11483,'Início|Fim 1'!E113,Timesheet!$C$13:$C$11483,'Início|Fim 1'!$L$2)</f>
        <v>0</v>
      </c>
      <c r="M113" s="2">
        <f>SUMIFS(Timesheet!$F$13:$F$11483,Timesheet!$A$13:$A$11483,'Início|Fim 1'!E113,Timesheet!$C$13:$C$11483,'Início|Fim 1'!$M$2)</f>
        <v>0</v>
      </c>
      <c r="N113" s="2">
        <f>SUMIFS(Timesheet!$F$13:$F$11483,Timesheet!$A$13:$A$11483,'Início|Fim 1'!E113,Timesheet!$C$13:$C$11483,'Início|Fim 1'!$N$2)</f>
        <v>0</v>
      </c>
      <c r="O113" s="2">
        <f t="shared" si="1"/>
        <v>0</v>
      </c>
    </row>
    <row r="114" spans="1:15" x14ac:dyDescent="0.25">
      <c r="A114" s="1">
        <v>45038</v>
      </c>
      <c r="B114" s="3">
        <f t="array" ref="B114">MIN(IF(A114=Timesheet!$A$13:$A$2615,Timesheet!$D$13:$D$2615))</f>
        <v>0</v>
      </c>
      <c r="C114" s="3">
        <f t="array" ref="C114">MAX(IF(A114=Timesheet!$A$13:$A$2615,Timesheet!$E$13:$E$2615))</f>
        <v>0</v>
      </c>
      <c r="E114" s="1">
        <v>45038</v>
      </c>
      <c r="F114" s="2">
        <f>SUMIFS(Timesheet!$F$13:$F$11483,Timesheet!$A$13:$A$11483,'Início|Fim 1'!E114,Timesheet!$C$13:$C$11483,'Início|Fim 1'!$F$2)</f>
        <v>0</v>
      </c>
      <c r="G114" s="2">
        <f>SUMIFS(Timesheet!$F$13:$F$11483,Timesheet!$A$13:$A$11483,'Início|Fim 1'!E114,Timesheet!$C$13:$C$11483,'Início|Fim 1'!$G$2)</f>
        <v>0</v>
      </c>
      <c r="H114" s="2">
        <f>SUMIFS(Timesheet!$F$13:$F$11483,Timesheet!$A$13:$A$11483,'Início|Fim 1'!E114,Timesheet!$C$13:$C$11483,'Início|Fim 1'!$H$2)</f>
        <v>0</v>
      </c>
      <c r="I114" s="2">
        <f>SUMIFS(Timesheet!$F$13:$F$11483,Timesheet!$A$13:$A$11483,'Início|Fim 1'!E114,Timesheet!$C$13:$C$11483,'Início|Fim 1'!$I$2)</f>
        <v>0</v>
      </c>
      <c r="J114" s="2">
        <f>SUMIFS(Timesheet!$F$13:$F$11483,Timesheet!$A$13:$A$11483,'Início|Fim 1'!E114,Timesheet!$C$13:$C$11483,'Início|Fim 1'!$J$2)</f>
        <v>0</v>
      </c>
      <c r="K114" s="2">
        <f>SUMIFS(Timesheet!$F$13:$F$11483,Timesheet!$A$13:$A$11483,'Início|Fim 1'!E114,Timesheet!$C$13:$C$11483,'Início|Fim 1'!$K$2)</f>
        <v>0</v>
      </c>
      <c r="L114" s="2">
        <f>SUMIFS(Timesheet!$F$13:$F$11483,Timesheet!$A$13:$A$11483,'Início|Fim 1'!E114,Timesheet!$C$13:$C$11483,'Início|Fim 1'!$L$2)</f>
        <v>0</v>
      </c>
      <c r="M114" s="2">
        <f>SUMIFS(Timesheet!$F$13:$F$11483,Timesheet!$A$13:$A$11483,'Início|Fim 1'!E114,Timesheet!$C$13:$C$11483,'Início|Fim 1'!$M$2)</f>
        <v>0</v>
      </c>
      <c r="N114" s="2">
        <f>SUMIFS(Timesheet!$F$13:$F$11483,Timesheet!$A$13:$A$11483,'Início|Fim 1'!E114,Timesheet!$C$13:$C$11483,'Início|Fim 1'!$N$2)</f>
        <v>0</v>
      </c>
      <c r="O114" s="2">
        <f t="shared" si="1"/>
        <v>0</v>
      </c>
    </row>
    <row r="115" spans="1:15" x14ac:dyDescent="0.25">
      <c r="A115" s="1">
        <v>45039</v>
      </c>
      <c r="B115" s="3">
        <f t="array" ref="B115">MIN(IF(A115=Timesheet!$A$13:$A$2615,Timesheet!$D$13:$D$2615))</f>
        <v>0</v>
      </c>
      <c r="C115" s="3">
        <f t="array" ref="C115">MAX(IF(A115=Timesheet!$A$13:$A$2615,Timesheet!$E$13:$E$2615))</f>
        <v>0</v>
      </c>
      <c r="E115" s="1">
        <v>45039</v>
      </c>
      <c r="F115" s="2">
        <f>SUMIFS(Timesheet!$F$13:$F$11483,Timesheet!$A$13:$A$11483,'Início|Fim 1'!E115,Timesheet!$C$13:$C$11483,'Início|Fim 1'!$F$2)</f>
        <v>0</v>
      </c>
      <c r="G115" s="2">
        <f>SUMIFS(Timesheet!$F$13:$F$11483,Timesheet!$A$13:$A$11483,'Início|Fim 1'!E115,Timesheet!$C$13:$C$11483,'Início|Fim 1'!$G$2)</f>
        <v>0</v>
      </c>
      <c r="H115" s="2">
        <f>SUMIFS(Timesheet!$F$13:$F$11483,Timesheet!$A$13:$A$11483,'Início|Fim 1'!E115,Timesheet!$C$13:$C$11483,'Início|Fim 1'!$H$2)</f>
        <v>0</v>
      </c>
      <c r="I115" s="2">
        <f>SUMIFS(Timesheet!$F$13:$F$11483,Timesheet!$A$13:$A$11483,'Início|Fim 1'!E115,Timesheet!$C$13:$C$11483,'Início|Fim 1'!$I$2)</f>
        <v>0</v>
      </c>
      <c r="J115" s="2">
        <f>SUMIFS(Timesheet!$F$13:$F$11483,Timesheet!$A$13:$A$11483,'Início|Fim 1'!E115,Timesheet!$C$13:$C$11483,'Início|Fim 1'!$J$2)</f>
        <v>0</v>
      </c>
      <c r="K115" s="2">
        <f>SUMIFS(Timesheet!$F$13:$F$11483,Timesheet!$A$13:$A$11483,'Início|Fim 1'!E115,Timesheet!$C$13:$C$11483,'Início|Fim 1'!$K$2)</f>
        <v>0</v>
      </c>
      <c r="L115" s="2">
        <f>SUMIFS(Timesheet!$F$13:$F$11483,Timesheet!$A$13:$A$11483,'Início|Fim 1'!E115,Timesheet!$C$13:$C$11483,'Início|Fim 1'!$L$2)</f>
        <v>0</v>
      </c>
      <c r="M115" s="2">
        <f>SUMIFS(Timesheet!$F$13:$F$11483,Timesheet!$A$13:$A$11483,'Início|Fim 1'!E115,Timesheet!$C$13:$C$11483,'Início|Fim 1'!$M$2)</f>
        <v>0</v>
      </c>
      <c r="N115" s="2">
        <f>SUMIFS(Timesheet!$F$13:$F$11483,Timesheet!$A$13:$A$11483,'Início|Fim 1'!E115,Timesheet!$C$13:$C$11483,'Início|Fim 1'!$N$2)</f>
        <v>0</v>
      </c>
      <c r="O115" s="2">
        <f t="shared" si="1"/>
        <v>0</v>
      </c>
    </row>
    <row r="116" spans="1:15" x14ac:dyDescent="0.25">
      <c r="A116" s="1">
        <v>45040</v>
      </c>
      <c r="B116" s="3">
        <f t="array" ref="B116">MIN(IF(A116=Timesheet!$A$13:$A$2615,Timesheet!$D$13:$D$2615))</f>
        <v>0</v>
      </c>
      <c r="C116" s="3">
        <f t="array" ref="C116">MAX(IF(A116=Timesheet!$A$13:$A$2615,Timesheet!$E$13:$E$2615))</f>
        <v>0</v>
      </c>
      <c r="E116" s="1">
        <v>45040</v>
      </c>
      <c r="F116" s="2">
        <f>SUMIFS(Timesheet!$F$13:$F$11483,Timesheet!$A$13:$A$11483,'Início|Fim 1'!E116,Timesheet!$C$13:$C$11483,'Início|Fim 1'!$F$2)</f>
        <v>0</v>
      </c>
      <c r="G116" s="2">
        <f>SUMIFS(Timesheet!$F$13:$F$11483,Timesheet!$A$13:$A$11483,'Início|Fim 1'!E116,Timesheet!$C$13:$C$11483,'Início|Fim 1'!$G$2)</f>
        <v>0</v>
      </c>
      <c r="H116" s="2">
        <f>SUMIFS(Timesheet!$F$13:$F$11483,Timesheet!$A$13:$A$11483,'Início|Fim 1'!E116,Timesheet!$C$13:$C$11483,'Início|Fim 1'!$H$2)</f>
        <v>0</v>
      </c>
      <c r="I116" s="2">
        <f>SUMIFS(Timesheet!$F$13:$F$11483,Timesheet!$A$13:$A$11483,'Início|Fim 1'!E116,Timesheet!$C$13:$C$11483,'Início|Fim 1'!$I$2)</f>
        <v>0</v>
      </c>
      <c r="J116" s="2">
        <f>SUMIFS(Timesheet!$F$13:$F$11483,Timesheet!$A$13:$A$11483,'Início|Fim 1'!E116,Timesheet!$C$13:$C$11483,'Início|Fim 1'!$J$2)</f>
        <v>0</v>
      </c>
      <c r="K116" s="2">
        <f>SUMIFS(Timesheet!$F$13:$F$11483,Timesheet!$A$13:$A$11483,'Início|Fim 1'!E116,Timesheet!$C$13:$C$11483,'Início|Fim 1'!$K$2)</f>
        <v>0</v>
      </c>
      <c r="L116" s="2">
        <f>SUMIFS(Timesheet!$F$13:$F$11483,Timesheet!$A$13:$A$11483,'Início|Fim 1'!E116,Timesheet!$C$13:$C$11483,'Início|Fim 1'!$L$2)</f>
        <v>0</v>
      </c>
      <c r="M116" s="2">
        <f>SUMIFS(Timesheet!$F$13:$F$11483,Timesheet!$A$13:$A$11483,'Início|Fim 1'!E116,Timesheet!$C$13:$C$11483,'Início|Fim 1'!$M$2)</f>
        <v>0</v>
      </c>
      <c r="N116" s="2">
        <f>SUMIFS(Timesheet!$F$13:$F$11483,Timesheet!$A$13:$A$11483,'Início|Fim 1'!E116,Timesheet!$C$13:$C$11483,'Início|Fim 1'!$N$2)</f>
        <v>0</v>
      </c>
      <c r="O116" s="2">
        <f t="shared" si="1"/>
        <v>0</v>
      </c>
    </row>
    <row r="117" spans="1:15" x14ac:dyDescent="0.25">
      <c r="A117" s="1">
        <v>45041</v>
      </c>
      <c r="B117" s="3">
        <f t="array" ref="B117">MIN(IF(A117=Timesheet!$A$13:$A$2615,Timesheet!$D$13:$D$2615))</f>
        <v>0</v>
      </c>
      <c r="C117" s="3">
        <f t="array" ref="C117">MAX(IF(A117=Timesheet!$A$13:$A$2615,Timesheet!$E$13:$E$2615))</f>
        <v>0</v>
      </c>
      <c r="E117" s="1">
        <v>45041</v>
      </c>
      <c r="F117" s="2">
        <f>SUMIFS(Timesheet!$F$13:$F$11483,Timesheet!$A$13:$A$11483,'Início|Fim 1'!E117,Timesheet!$C$13:$C$11483,'Início|Fim 1'!$F$2)</f>
        <v>0</v>
      </c>
      <c r="G117" s="2">
        <f>SUMIFS(Timesheet!$F$13:$F$11483,Timesheet!$A$13:$A$11483,'Início|Fim 1'!E117,Timesheet!$C$13:$C$11483,'Início|Fim 1'!$G$2)</f>
        <v>0</v>
      </c>
      <c r="H117" s="2">
        <f>SUMIFS(Timesheet!$F$13:$F$11483,Timesheet!$A$13:$A$11483,'Início|Fim 1'!E117,Timesheet!$C$13:$C$11483,'Início|Fim 1'!$H$2)</f>
        <v>0</v>
      </c>
      <c r="I117" s="2">
        <f>SUMIFS(Timesheet!$F$13:$F$11483,Timesheet!$A$13:$A$11483,'Início|Fim 1'!E117,Timesheet!$C$13:$C$11483,'Início|Fim 1'!$I$2)</f>
        <v>0</v>
      </c>
      <c r="J117" s="2">
        <f>SUMIFS(Timesheet!$F$13:$F$11483,Timesheet!$A$13:$A$11483,'Início|Fim 1'!E117,Timesheet!$C$13:$C$11483,'Início|Fim 1'!$J$2)</f>
        <v>0</v>
      </c>
      <c r="K117" s="2">
        <f>SUMIFS(Timesheet!$F$13:$F$11483,Timesheet!$A$13:$A$11483,'Início|Fim 1'!E117,Timesheet!$C$13:$C$11483,'Início|Fim 1'!$K$2)</f>
        <v>0</v>
      </c>
      <c r="L117" s="2">
        <f>SUMIFS(Timesheet!$F$13:$F$11483,Timesheet!$A$13:$A$11483,'Início|Fim 1'!E117,Timesheet!$C$13:$C$11483,'Início|Fim 1'!$L$2)</f>
        <v>0</v>
      </c>
      <c r="M117" s="2">
        <f>SUMIFS(Timesheet!$F$13:$F$11483,Timesheet!$A$13:$A$11483,'Início|Fim 1'!E117,Timesheet!$C$13:$C$11483,'Início|Fim 1'!$M$2)</f>
        <v>0</v>
      </c>
      <c r="N117" s="2">
        <f>SUMIFS(Timesheet!$F$13:$F$11483,Timesheet!$A$13:$A$11483,'Início|Fim 1'!E117,Timesheet!$C$13:$C$11483,'Início|Fim 1'!$N$2)</f>
        <v>0</v>
      </c>
      <c r="O117" s="2">
        <f t="shared" si="1"/>
        <v>0</v>
      </c>
    </row>
    <row r="118" spans="1:15" x14ac:dyDescent="0.25">
      <c r="A118" s="1">
        <v>45042</v>
      </c>
      <c r="B118" s="3">
        <f t="array" ref="B118">MIN(IF(A118=Timesheet!$A$13:$A$2615,Timesheet!$D$13:$D$2615))</f>
        <v>0</v>
      </c>
      <c r="C118" s="3">
        <f t="array" ref="C118">MAX(IF(A118=Timesheet!$A$13:$A$2615,Timesheet!$E$13:$E$2615))</f>
        <v>0</v>
      </c>
      <c r="E118" s="1">
        <v>45042</v>
      </c>
      <c r="F118" s="2">
        <f>SUMIFS(Timesheet!$F$13:$F$11483,Timesheet!$A$13:$A$11483,'Início|Fim 1'!E118,Timesheet!$C$13:$C$11483,'Início|Fim 1'!$F$2)</f>
        <v>0</v>
      </c>
      <c r="G118" s="2">
        <f>SUMIFS(Timesheet!$F$13:$F$11483,Timesheet!$A$13:$A$11483,'Início|Fim 1'!E118,Timesheet!$C$13:$C$11483,'Início|Fim 1'!$G$2)</f>
        <v>0</v>
      </c>
      <c r="H118" s="2">
        <f>SUMIFS(Timesheet!$F$13:$F$11483,Timesheet!$A$13:$A$11483,'Início|Fim 1'!E118,Timesheet!$C$13:$C$11483,'Início|Fim 1'!$H$2)</f>
        <v>0</v>
      </c>
      <c r="I118" s="2">
        <f>SUMIFS(Timesheet!$F$13:$F$11483,Timesheet!$A$13:$A$11483,'Início|Fim 1'!E118,Timesheet!$C$13:$C$11483,'Início|Fim 1'!$I$2)</f>
        <v>0</v>
      </c>
      <c r="J118" s="2">
        <f>SUMIFS(Timesheet!$F$13:$F$11483,Timesheet!$A$13:$A$11483,'Início|Fim 1'!E118,Timesheet!$C$13:$C$11483,'Início|Fim 1'!$J$2)</f>
        <v>0</v>
      </c>
      <c r="K118" s="2">
        <f>SUMIFS(Timesheet!$F$13:$F$11483,Timesheet!$A$13:$A$11483,'Início|Fim 1'!E118,Timesheet!$C$13:$C$11483,'Início|Fim 1'!$K$2)</f>
        <v>0</v>
      </c>
      <c r="L118" s="2">
        <f>SUMIFS(Timesheet!$F$13:$F$11483,Timesheet!$A$13:$A$11483,'Início|Fim 1'!E118,Timesheet!$C$13:$C$11483,'Início|Fim 1'!$L$2)</f>
        <v>0</v>
      </c>
      <c r="M118" s="2">
        <f>SUMIFS(Timesheet!$F$13:$F$11483,Timesheet!$A$13:$A$11483,'Início|Fim 1'!E118,Timesheet!$C$13:$C$11483,'Início|Fim 1'!$M$2)</f>
        <v>0</v>
      </c>
      <c r="N118" s="2">
        <f>SUMIFS(Timesheet!$F$13:$F$11483,Timesheet!$A$13:$A$11483,'Início|Fim 1'!E118,Timesheet!$C$13:$C$11483,'Início|Fim 1'!$N$2)</f>
        <v>0</v>
      </c>
      <c r="O118" s="2">
        <f t="shared" si="1"/>
        <v>0</v>
      </c>
    </row>
    <row r="119" spans="1:15" x14ac:dyDescent="0.25">
      <c r="A119" s="1">
        <v>45043</v>
      </c>
      <c r="B119" s="3">
        <f t="array" ref="B119">MIN(IF(A119=Timesheet!$A$13:$A$2615,Timesheet!$D$13:$D$2615))</f>
        <v>0</v>
      </c>
      <c r="C119" s="3">
        <f t="array" ref="C119">MAX(IF(A119=Timesheet!$A$13:$A$2615,Timesheet!$E$13:$E$2615))</f>
        <v>0</v>
      </c>
      <c r="E119" s="1">
        <v>45043</v>
      </c>
      <c r="F119" s="2">
        <f>SUMIFS(Timesheet!$F$13:$F$11483,Timesheet!$A$13:$A$11483,'Início|Fim 1'!E119,Timesheet!$C$13:$C$11483,'Início|Fim 1'!$F$2)</f>
        <v>0</v>
      </c>
      <c r="G119" s="2">
        <f>SUMIFS(Timesheet!$F$13:$F$11483,Timesheet!$A$13:$A$11483,'Início|Fim 1'!E119,Timesheet!$C$13:$C$11483,'Início|Fim 1'!$G$2)</f>
        <v>0</v>
      </c>
      <c r="H119" s="2">
        <f>SUMIFS(Timesheet!$F$13:$F$11483,Timesheet!$A$13:$A$11483,'Início|Fim 1'!E119,Timesheet!$C$13:$C$11483,'Início|Fim 1'!$H$2)</f>
        <v>0</v>
      </c>
      <c r="I119" s="2">
        <f>SUMIFS(Timesheet!$F$13:$F$11483,Timesheet!$A$13:$A$11483,'Início|Fim 1'!E119,Timesheet!$C$13:$C$11483,'Início|Fim 1'!$I$2)</f>
        <v>0</v>
      </c>
      <c r="J119" s="2">
        <f>SUMIFS(Timesheet!$F$13:$F$11483,Timesheet!$A$13:$A$11483,'Início|Fim 1'!E119,Timesheet!$C$13:$C$11483,'Início|Fim 1'!$J$2)</f>
        <v>0</v>
      </c>
      <c r="K119" s="2">
        <f>SUMIFS(Timesheet!$F$13:$F$11483,Timesheet!$A$13:$A$11483,'Início|Fim 1'!E119,Timesheet!$C$13:$C$11483,'Início|Fim 1'!$K$2)</f>
        <v>0</v>
      </c>
      <c r="L119" s="2">
        <f>SUMIFS(Timesheet!$F$13:$F$11483,Timesheet!$A$13:$A$11483,'Início|Fim 1'!E119,Timesheet!$C$13:$C$11483,'Início|Fim 1'!$L$2)</f>
        <v>0</v>
      </c>
      <c r="M119" s="2">
        <f>SUMIFS(Timesheet!$F$13:$F$11483,Timesheet!$A$13:$A$11483,'Início|Fim 1'!E119,Timesheet!$C$13:$C$11483,'Início|Fim 1'!$M$2)</f>
        <v>0</v>
      </c>
      <c r="N119" s="2">
        <f>SUMIFS(Timesheet!$F$13:$F$11483,Timesheet!$A$13:$A$11483,'Início|Fim 1'!E119,Timesheet!$C$13:$C$11483,'Início|Fim 1'!$N$2)</f>
        <v>0</v>
      </c>
      <c r="O119" s="2">
        <f t="shared" si="1"/>
        <v>0</v>
      </c>
    </row>
    <row r="120" spans="1:15" x14ac:dyDescent="0.25">
      <c r="A120" s="1">
        <v>45044</v>
      </c>
      <c r="B120" s="3">
        <f t="array" ref="B120">MIN(IF(A120=Timesheet!$A$13:$A$2615,Timesheet!$D$13:$D$2615))</f>
        <v>0</v>
      </c>
      <c r="C120" s="3">
        <f t="array" ref="C120">MAX(IF(A120=Timesheet!$A$13:$A$2615,Timesheet!$E$13:$E$2615))</f>
        <v>0</v>
      </c>
      <c r="E120" s="1">
        <v>45044</v>
      </c>
      <c r="F120" s="2">
        <f>SUMIFS(Timesheet!$F$13:$F$11483,Timesheet!$A$13:$A$11483,'Início|Fim 1'!E120,Timesheet!$C$13:$C$11483,'Início|Fim 1'!$F$2)</f>
        <v>0</v>
      </c>
      <c r="G120" s="2">
        <f>SUMIFS(Timesheet!$F$13:$F$11483,Timesheet!$A$13:$A$11483,'Início|Fim 1'!E120,Timesheet!$C$13:$C$11483,'Início|Fim 1'!$G$2)</f>
        <v>0</v>
      </c>
      <c r="H120" s="2">
        <f>SUMIFS(Timesheet!$F$13:$F$11483,Timesheet!$A$13:$A$11483,'Início|Fim 1'!E120,Timesheet!$C$13:$C$11483,'Início|Fim 1'!$H$2)</f>
        <v>0</v>
      </c>
      <c r="I120" s="2">
        <f>SUMIFS(Timesheet!$F$13:$F$11483,Timesheet!$A$13:$A$11483,'Início|Fim 1'!E120,Timesheet!$C$13:$C$11483,'Início|Fim 1'!$I$2)</f>
        <v>0</v>
      </c>
      <c r="J120" s="2">
        <f>SUMIFS(Timesheet!$F$13:$F$11483,Timesheet!$A$13:$A$11483,'Início|Fim 1'!E120,Timesheet!$C$13:$C$11483,'Início|Fim 1'!$J$2)</f>
        <v>0</v>
      </c>
      <c r="K120" s="2">
        <f>SUMIFS(Timesheet!$F$13:$F$11483,Timesheet!$A$13:$A$11483,'Início|Fim 1'!E120,Timesheet!$C$13:$C$11483,'Início|Fim 1'!$K$2)</f>
        <v>0</v>
      </c>
      <c r="L120" s="2">
        <f>SUMIFS(Timesheet!$F$13:$F$11483,Timesheet!$A$13:$A$11483,'Início|Fim 1'!E120,Timesheet!$C$13:$C$11483,'Início|Fim 1'!$L$2)</f>
        <v>0</v>
      </c>
      <c r="M120" s="2">
        <f>SUMIFS(Timesheet!$F$13:$F$11483,Timesheet!$A$13:$A$11483,'Início|Fim 1'!E120,Timesheet!$C$13:$C$11483,'Início|Fim 1'!$M$2)</f>
        <v>0</v>
      </c>
      <c r="N120" s="2">
        <f>SUMIFS(Timesheet!$F$13:$F$11483,Timesheet!$A$13:$A$11483,'Início|Fim 1'!E120,Timesheet!$C$13:$C$11483,'Início|Fim 1'!$N$2)</f>
        <v>0</v>
      </c>
      <c r="O120" s="2">
        <f t="shared" si="1"/>
        <v>0</v>
      </c>
    </row>
    <row r="121" spans="1:15" x14ac:dyDescent="0.25">
      <c r="A121" s="1">
        <v>45045</v>
      </c>
      <c r="B121" s="3">
        <f t="array" ref="B121">MIN(IF(A121=Timesheet!$A$13:$A$2615,Timesheet!$D$13:$D$2615))</f>
        <v>0</v>
      </c>
      <c r="C121" s="3">
        <f t="array" ref="C121">MAX(IF(A121=Timesheet!$A$13:$A$2615,Timesheet!$E$13:$E$2615))</f>
        <v>0</v>
      </c>
      <c r="E121" s="1">
        <v>45045</v>
      </c>
      <c r="F121" s="2">
        <f>SUMIFS(Timesheet!$F$13:$F$11483,Timesheet!$A$13:$A$11483,'Início|Fim 1'!E121,Timesheet!$C$13:$C$11483,'Início|Fim 1'!$F$2)</f>
        <v>0</v>
      </c>
      <c r="G121" s="2">
        <f>SUMIFS(Timesheet!$F$13:$F$11483,Timesheet!$A$13:$A$11483,'Início|Fim 1'!E121,Timesheet!$C$13:$C$11483,'Início|Fim 1'!$G$2)</f>
        <v>0</v>
      </c>
      <c r="H121" s="2">
        <f>SUMIFS(Timesheet!$F$13:$F$11483,Timesheet!$A$13:$A$11483,'Início|Fim 1'!E121,Timesheet!$C$13:$C$11483,'Início|Fim 1'!$H$2)</f>
        <v>0</v>
      </c>
      <c r="I121" s="2">
        <f>SUMIFS(Timesheet!$F$13:$F$11483,Timesheet!$A$13:$A$11483,'Início|Fim 1'!E121,Timesheet!$C$13:$C$11483,'Início|Fim 1'!$I$2)</f>
        <v>0</v>
      </c>
      <c r="J121" s="2">
        <f>SUMIFS(Timesheet!$F$13:$F$11483,Timesheet!$A$13:$A$11483,'Início|Fim 1'!E121,Timesheet!$C$13:$C$11483,'Início|Fim 1'!$J$2)</f>
        <v>0</v>
      </c>
      <c r="K121" s="2">
        <f>SUMIFS(Timesheet!$F$13:$F$11483,Timesheet!$A$13:$A$11483,'Início|Fim 1'!E121,Timesheet!$C$13:$C$11483,'Início|Fim 1'!$K$2)</f>
        <v>0</v>
      </c>
      <c r="L121" s="2">
        <f>SUMIFS(Timesheet!$F$13:$F$11483,Timesheet!$A$13:$A$11483,'Início|Fim 1'!E121,Timesheet!$C$13:$C$11483,'Início|Fim 1'!$L$2)</f>
        <v>0</v>
      </c>
      <c r="M121" s="2">
        <f>SUMIFS(Timesheet!$F$13:$F$11483,Timesheet!$A$13:$A$11483,'Início|Fim 1'!E121,Timesheet!$C$13:$C$11483,'Início|Fim 1'!$M$2)</f>
        <v>0</v>
      </c>
      <c r="N121" s="2">
        <f>SUMIFS(Timesheet!$F$13:$F$11483,Timesheet!$A$13:$A$11483,'Início|Fim 1'!E121,Timesheet!$C$13:$C$11483,'Início|Fim 1'!$N$2)</f>
        <v>0</v>
      </c>
      <c r="O121" s="2">
        <f t="shared" si="1"/>
        <v>0</v>
      </c>
    </row>
    <row r="122" spans="1:15" x14ac:dyDescent="0.25">
      <c r="A122" s="1">
        <v>45046</v>
      </c>
      <c r="B122" s="3">
        <f t="array" ref="B122">MIN(IF(A122=Timesheet!$A$13:$A$2615,Timesheet!$D$13:$D$2615))</f>
        <v>0</v>
      </c>
      <c r="C122" s="3">
        <f t="array" ref="C122">MAX(IF(A122=Timesheet!$A$13:$A$2615,Timesheet!$E$13:$E$2615))</f>
        <v>0</v>
      </c>
      <c r="E122" s="1">
        <v>45046</v>
      </c>
      <c r="F122" s="2">
        <f>SUMIFS(Timesheet!$F$13:$F$11483,Timesheet!$A$13:$A$11483,'Início|Fim 1'!E122,Timesheet!$C$13:$C$11483,'Início|Fim 1'!$F$2)</f>
        <v>0</v>
      </c>
      <c r="G122" s="2">
        <f>SUMIFS(Timesheet!$F$13:$F$11483,Timesheet!$A$13:$A$11483,'Início|Fim 1'!E122,Timesheet!$C$13:$C$11483,'Início|Fim 1'!$G$2)</f>
        <v>0</v>
      </c>
      <c r="H122" s="2">
        <f>SUMIFS(Timesheet!$F$13:$F$11483,Timesheet!$A$13:$A$11483,'Início|Fim 1'!E122,Timesheet!$C$13:$C$11483,'Início|Fim 1'!$H$2)</f>
        <v>0</v>
      </c>
      <c r="I122" s="2">
        <f>SUMIFS(Timesheet!$F$13:$F$11483,Timesheet!$A$13:$A$11483,'Início|Fim 1'!E122,Timesheet!$C$13:$C$11483,'Início|Fim 1'!$I$2)</f>
        <v>0</v>
      </c>
      <c r="J122" s="2">
        <f>SUMIFS(Timesheet!$F$13:$F$11483,Timesheet!$A$13:$A$11483,'Início|Fim 1'!E122,Timesheet!$C$13:$C$11483,'Início|Fim 1'!$J$2)</f>
        <v>0</v>
      </c>
      <c r="K122" s="2">
        <f>SUMIFS(Timesheet!$F$13:$F$11483,Timesheet!$A$13:$A$11483,'Início|Fim 1'!E122,Timesheet!$C$13:$C$11483,'Início|Fim 1'!$K$2)</f>
        <v>0</v>
      </c>
      <c r="L122" s="2">
        <f>SUMIFS(Timesheet!$F$13:$F$11483,Timesheet!$A$13:$A$11483,'Início|Fim 1'!E122,Timesheet!$C$13:$C$11483,'Início|Fim 1'!$L$2)</f>
        <v>0</v>
      </c>
      <c r="M122" s="2">
        <f>SUMIFS(Timesheet!$F$13:$F$11483,Timesheet!$A$13:$A$11483,'Início|Fim 1'!E122,Timesheet!$C$13:$C$11483,'Início|Fim 1'!$M$2)</f>
        <v>0</v>
      </c>
      <c r="N122" s="2">
        <f>SUMIFS(Timesheet!$F$13:$F$11483,Timesheet!$A$13:$A$11483,'Início|Fim 1'!E122,Timesheet!$C$13:$C$11483,'Início|Fim 1'!$N$2)</f>
        <v>0</v>
      </c>
      <c r="O122" s="2">
        <f t="shared" si="1"/>
        <v>0</v>
      </c>
    </row>
    <row r="123" spans="1:15" x14ac:dyDescent="0.25">
      <c r="A123" s="1">
        <v>45047</v>
      </c>
      <c r="B123" s="3">
        <f t="array" ref="B123">MIN(IF(A123=Timesheet!$A$13:$A$2615,Timesheet!$D$13:$D$2615))</f>
        <v>0</v>
      </c>
      <c r="C123" s="3">
        <f t="array" ref="C123">MAX(IF(A123=Timesheet!$A$13:$A$2615,Timesheet!$E$13:$E$2615))</f>
        <v>0</v>
      </c>
      <c r="E123" s="1">
        <v>45047</v>
      </c>
      <c r="F123" s="2">
        <f>SUMIFS(Timesheet!$F$13:$F$11483,Timesheet!$A$13:$A$11483,'Início|Fim 1'!E123,Timesheet!$C$13:$C$11483,'Início|Fim 1'!$F$2)</f>
        <v>0</v>
      </c>
      <c r="G123" s="2">
        <f>SUMIFS(Timesheet!$F$13:$F$11483,Timesheet!$A$13:$A$11483,'Início|Fim 1'!E123,Timesheet!$C$13:$C$11483,'Início|Fim 1'!$G$2)</f>
        <v>0</v>
      </c>
      <c r="H123" s="2">
        <f>SUMIFS(Timesheet!$F$13:$F$11483,Timesheet!$A$13:$A$11483,'Início|Fim 1'!E123,Timesheet!$C$13:$C$11483,'Início|Fim 1'!$H$2)</f>
        <v>0</v>
      </c>
      <c r="I123" s="2">
        <f>SUMIFS(Timesheet!$F$13:$F$11483,Timesheet!$A$13:$A$11483,'Início|Fim 1'!E123,Timesheet!$C$13:$C$11483,'Início|Fim 1'!$I$2)</f>
        <v>0</v>
      </c>
      <c r="J123" s="2">
        <f>SUMIFS(Timesheet!$F$13:$F$11483,Timesheet!$A$13:$A$11483,'Início|Fim 1'!E123,Timesheet!$C$13:$C$11483,'Início|Fim 1'!$J$2)</f>
        <v>0</v>
      </c>
      <c r="K123" s="2">
        <f>SUMIFS(Timesheet!$F$13:$F$11483,Timesheet!$A$13:$A$11483,'Início|Fim 1'!E123,Timesheet!$C$13:$C$11483,'Início|Fim 1'!$K$2)</f>
        <v>0</v>
      </c>
      <c r="L123" s="2">
        <f>SUMIFS(Timesheet!$F$13:$F$11483,Timesheet!$A$13:$A$11483,'Início|Fim 1'!E123,Timesheet!$C$13:$C$11483,'Início|Fim 1'!$L$2)</f>
        <v>0</v>
      </c>
      <c r="M123" s="2">
        <f>SUMIFS(Timesheet!$F$13:$F$11483,Timesheet!$A$13:$A$11483,'Início|Fim 1'!E123,Timesheet!$C$13:$C$11483,'Início|Fim 1'!$M$2)</f>
        <v>0</v>
      </c>
      <c r="N123" s="2">
        <f>SUMIFS(Timesheet!$F$13:$F$11483,Timesheet!$A$13:$A$11483,'Início|Fim 1'!E123,Timesheet!$C$13:$C$11483,'Início|Fim 1'!$N$2)</f>
        <v>0</v>
      </c>
      <c r="O123" s="2">
        <f t="shared" si="1"/>
        <v>0</v>
      </c>
    </row>
    <row r="124" spans="1:15" x14ac:dyDescent="0.25">
      <c r="A124" s="1">
        <v>45048</v>
      </c>
      <c r="B124" s="3">
        <f t="array" ref="B124">MIN(IF(A124=Timesheet!$A$13:$A$2615,Timesheet!$D$13:$D$2615))</f>
        <v>0</v>
      </c>
      <c r="C124" s="3">
        <f t="array" ref="C124">MAX(IF(A124=Timesheet!$A$13:$A$2615,Timesheet!$E$13:$E$2615))</f>
        <v>0</v>
      </c>
      <c r="E124" s="1">
        <v>45048</v>
      </c>
      <c r="F124" s="2">
        <f>SUMIFS(Timesheet!$F$13:$F$11483,Timesheet!$A$13:$A$11483,'Início|Fim 1'!E124,Timesheet!$C$13:$C$11483,'Início|Fim 1'!$F$2)</f>
        <v>0</v>
      </c>
      <c r="G124" s="2">
        <f>SUMIFS(Timesheet!$F$13:$F$11483,Timesheet!$A$13:$A$11483,'Início|Fim 1'!E124,Timesheet!$C$13:$C$11483,'Início|Fim 1'!$G$2)</f>
        <v>0</v>
      </c>
      <c r="H124" s="2">
        <f>SUMIFS(Timesheet!$F$13:$F$11483,Timesheet!$A$13:$A$11483,'Início|Fim 1'!E124,Timesheet!$C$13:$C$11483,'Início|Fim 1'!$H$2)</f>
        <v>0</v>
      </c>
      <c r="I124" s="2">
        <f>SUMIFS(Timesheet!$F$13:$F$11483,Timesheet!$A$13:$A$11483,'Início|Fim 1'!E124,Timesheet!$C$13:$C$11483,'Início|Fim 1'!$I$2)</f>
        <v>0</v>
      </c>
      <c r="J124" s="2">
        <f>SUMIFS(Timesheet!$F$13:$F$11483,Timesheet!$A$13:$A$11483,'Início|Fim 1'!E124,Timesheet!$C$13:$C$11483,'Início|Fim 1'!$J$2)</f>
        <v>0</v>
      </c>
      <c r="K124" s="2">
        <f>SUMIFS(Timesheet!$F$13:$F$11483,Timesheet!$A$13:$A$11483,'Início|Fim 1'!E124,Timesheet!$C$13:$C$11483,'Início|Fim 1'!$K$2)</f>
        <v>0</v>
      </c>
      <c r="L124" s="2">
        <f>SUMIFS(Timesheet!$F$13:$F$11483,Timesheet!$A$13:$A$11483,'Início|Fim 1'!E124,Timesheet!$C$13:$C$11483,'Início|Fim 1'!$L$2)</f>
        <v>0</v>
      </c>
      <c r="M124" s="2">
        <f>SUMIFS(Timesheet!$F$13:$F$11483,Timesheet!$A$13:$A$11483,'Início|Fim 1'!E124,Timesheet!$C$13:$C$11483,'Início|Fim 1'!$M$2)</f>
        <v>0</v>
      </c>
      <c r="N124" s="2">
        <f>SUMIFS(Timesheet!$F$13:$F$11483,Timesheet!$A$13:$A$11483,'Início|Fim 1'!E124,Timesheet!$C$13:$C$11483,'Início|Fim 1'!$N$2)</f>
        <v>0</v>
      </c>
      <c r="O124" s="2">
        <f t="shared" si="1"/>
        <v>0</v>
      </c>
    </row>
    <row r="125" spans="1:15" x14ac:dyDescent="0.25">
      <c r="A125" s="1">
        <v>45049</v>
      </c>
      <c r="B125" s="3">
        <f t="array" ref="B125">MIN(IF(A125=Timesheet!$A$13:$A$2615,Timesheet!$D$13:$D$2615))</f>
        <v>0</v>
      </c>
      <c r="C125" s="3">
        <f t="array" ref="C125">MAX(IF(A125=Timesheet!$A$13:$A$2615,Timesheet!$E$13:$E$2615))</f>
        <v>0</v>
      </c>
      <c r="E125" s="1">
        <v>45049</v>
      </c>
      <c r="F125" s="2">
        <f>SUMIFS(Timesheet!$F$13:$F$11483,Timesheet!$A$13:$A$11483,'Início|Fim 1'!E125,Timesheet!$C$13:$C$11483,'Início|Fim 1'!$F$2)</f>
        <v>0</v>
      </c>
      <c r="G125" s="2">
        <f>SUMIFS(Timesheet!$F$13:$F$11483,Timesheet!$A$13:$A$11483,'Início|Fim 1'!E125,Timesheet!$C$13:$C$11483,'Início|Fim 1'!$G$2)</f>
        <v>0</v>
      </c>
      <c r="H125" s="2">
        <f>SUMIFS(Timesheet!$F$13:$F$11483,Timesheet!$A$13:$A$11483,'Início|Fim 1'!E125,Timesheet!$C$13:$C$11483,'Início|Fim 1'!$H$2)</f>
        <v>0</v>
      </c>
      <c r="I125" s="2">
        <f>SUMIFS(Timesheet!$F$13:$F$11483,Timesheet!$A$13:$A$11483,'Início|Fim 1'!E125,Timesheet!$C$13:$C$11483,'Início|Fim 1'!$I$2)</f>
        <v>0</v>
      </c>
      <c r="J125" s="2">
        <f>SUMIFS(Timesheet!$F$13:$F$11483,Timesheet!$A$13:$A$11483,'Início|Fim 1'!E125,Timesheet!$C$13:$C$11483,'Início|Fim 1'!$J$2)</f>
        <v>0</v>
      </c>
      <c r="K125" s="2">
        <f>SUMIFS(Timesheet!$F$13:$F$11483,Timesheet!$A$13:$A$11483,'Início|Fim 1'!E125,Timesheet!$C$13:$C$11483,'Início|Fim 1'!$K$2)</f>
        <v>0</v>
      </c>
      <c r="L125" s="2">
        <f>SUMIFS(Timesheet!$F$13:$F$11483,Timesheet!$A$13:$A$11483,'Início|Fim 1'!E125,Timesheet!$C$13:$C$11483,'Início|Fim 1'!$L$2)</f>
        <v>0</v>
      </c>
      <c r="M125" s="2">
        <f>SUMIFS(Timesheet!$F$13:$F$11483,Timesheet!$A$13:$A$11483,'Início|Fim 1'!E125,Timesheet!$C$13:$C$11483,'Início|Fim 1'!$M$2)</f>
        <v>0</v>
      </c>
      <c r="N125" s="2">
        <f>SUMIFS(Timesheet!$F$13:$F$11483,Timesheet!$A$13:$A$11483,'Início|Fim 1'!E125,Timesheet!$C$13:$C$11483,'Início|Fim 1'!$N$2)</f>
        <v>0</v>
      </c>
      <c r="O125" s="2">
        <f t="shared" si="1"/>
        <v>0</v>
      </c>
    </row>
    <row r="126" spans="1:15" x14ac:dyDescent="0.25">
      <c r="A126" s="1">
        <v>45050</v>
      </c>
      <c r="B126" s="3">
        <f t="array" ref="B126">MIN(IF(A126=Timesheet!$A$13:$A$2615,Timesheet!$D$13:$D$2615))</f>
        <v>0</v>
      </c>
      <c r="C126" s="3">
        <f t="array" ref="C126">MAX(IF(A126=Timesheet!$A$13:$A$2615,Timesheet!$E$13:$E$2615))</f>
        <v>0</v>
      </c>
      <c r="E126" s="1">
        <v>45050</v>
      </c>
      <c r="F126" s="2">
        <f>SUMIFS(Timesheet!$F$13:$F$11483,Timesheet!$A$13:$A$11483,'Início|Fim 1'!E126,Timesheet!$C$13:$C$11483,'Início|Fim 1'!$F$2)</f>
        <v>0</v>
      </c>
      <c r="G126" s="2">
        <f>SUMIFS(Timesheet!$F$13:$F$11483,Timesheet!$A$13:$A$11483,'Início|Fim 1'!E126,Timesheet!$C$13:$C$11483,'Início|Fim 1'!$G$2)</f>
        <v>0</v>
      </c>
      <c r="H126" s="2">
        <f>SUMIFS(Timesheet!$F$13:$F$11483,Timesheet!$A$13:$A$11483,'Início|Fim 1'!E126,Timesheet!$C$13:$C$11483,'Início|Fim 1'!$H$2)</f>
        <v>0</v>
      </c>
      <c r="I126" s="2">
        <f>SUMIFS(Timesheet!$F$13:$F$11483,Timesheet!$A$13:$A$11483,'Início|Fim 1'!E126,Timesheet!$C$13:$C$11483,'Início|Fim 1'!$I$2)</f>
        <v>0</v>
      </c>
      <c r="J126" s="2">
        <f>SUMIFS(Timesheet!$F$13:$F$11483,Timesheet!$A$13:$A$11483,'Início|Fim 1'!E126,Timesheet!$C$13:$C$11483,'Início|Fim 1'!$J$2)</f>
        <v>0</v>
      </c>
      <c r="K126" s="2">
        <f>SUMIFS(Timesheet!$F$13:$F$11483,Timesheet!$A$13:$A$11483,'Início|Fim 1'!E126,Timesheet!$C$13:$C$11483,'Início|Fim 1'!$K$2)</f>
        <v>0</v>
      </c>
      <c r="L126" s="2">
        <f>SUMIFS(Timesheet!$F$13:$F$11483,Timesheet!$A$13:$A$11483,'Início|Fim 1'!E126,Timesheet!$C$13:$C$11483,'Início|Fim 1'!$L$2)</f>
        <v>0</v>
      </c>
      <c r="M126" s="2">
        <f>SUMIFS(Timesheet!$F$13:$F$11483,Timesheet!$A$13:$A$11483,'Início|Fim 1'!E126,Timesheet!$C$13:$C$11483,'Início|Fim 1'!$M$2)</f>
        <v>0</v>
      </c>
      <c r="N126" s="2">
        <f>SUMIFS(Timesheet!$F$13:$F$11483,Timesheet!$A$13:$A$11483,'Início|Fim 1'!E126,Timesheet!$C$13:$C$11483,'Início|Fim 1'!$N$2)</f>
        <v>0</v>
      </c>
      <c r="O126" s="2">
        <f t="shared" si="1"/>
        <v>0</v>
      </c>
    </row>
    <row r="127" spans="1:15" x14ac:dyDescent="0.25">
      <c r="A127" s="1">
        <v>45051</v>
      </c>
      <c r="B127" s="3">
        <f t="array" ref="B127">MIN(IF(A127=Timesheet!$A$13:$A$2615,Timesheet!$D$13:$D$2615))</f>
        <v>0</v>
      </c>
      <c r="C127" s="3">
        <f t="array" ref="C127">MAX(IF(A127=Timesheet!$A$13:$A$2615,Timesheet!$E$13:$E$2615))</f>
        <v>0</v>
      </c>
      <c r="E127" s="1">
        <v>45051</v>
      </c>
      <c r="F127" s="2">
        <f>SUMIFS(Timesheet!$F$13:$F$11483,Timesheet!$A$13:$A$11483,'Início|Fim 1'!E127,Timesheet!$C$13:$C$11483,'Início|Fim 1'!$F$2)</f>
        <v>0</v>
      </c>
      <c r="G127" s="2">
        <f>SUMIFS(Timesheet!$F$13:$F$11483,Timesheet!$A$13:$A$11483,'Início|Fim 1'!E127,Timesheet!$C$13:$C$11483,'Início|Fim 1'!$G$2)</f>
        <v>0</v>
      </c>
      <c r="H127" s="2">
        <f>SUMIFS(Timesheet!$F$13:$F$11483,Timesheet!$A$13:$A$11483,'Início|Fim 1'!E127,Timesheet!$C$13:$C$11483,'Início|Fim 1'!$H$2)</f>
        <v>0</v>
      </c>
      <c r="I127" s="2">
        <f>SUMIFS(Timesheet!$F$13:$F$11483,Timesheet!$A$13:$A$11483,'Início|Fim 1'!E127,Timesheet!$C$13:$C$11483,'Início|Fim 1'!$I$2)</f>
        <v>0</v>
      </c>
      <c r="J127" s="2">
        <f>SUMIFS(Timesheet!$F$13:$F$11483,Timesheet!$A$13:$A$11483,'Início|Fim 1'!E127,Timesheet!$C$13:$C$11483,'Início|Fim 1'!$J$2)</f>
        <v>0</v>
      </c>
      <c r="K127" s="2">
        <f>SUMIFS(Timesheet!$F$13:$F$11483,Timesheet!$A$13:$A$11483,'Início|Fim 1'!E127,Timesheet!$C$13:$C$11483,'Início|Fim 1'!$K$2)</f>
        <v>0</v>
      </c>
      <c r="L127" s="2">
        <f>SUMIFS(Timesheet!$F$13:$F$11483,Timesheet!$A$13:$A$11483,'Início|Fim 1'!E127,Timesheet!$C$13:$C$11483,'Início|Fim 1'!$L$2)</f>
        <v>0</v>
      </c>
      <c r="M127" s="2">
        <f>SUMIFS(Timesheet!$F$13:$F$11483,Timesheet!$A$13:$A$11483,'Início|Fim 1'!E127,Timesheet!$C$13:$C$11483,'Início|Fim 1'!$M$2)</f>
        <v>0</v>
      </c>
      <c r="N127" s="2">
        <f>SUMIFS(Timesheet!$F$13:$F$11483,Timesheet!$A$13:$A$11483,'Início|Fim 1'!E127,Timesheet!$C$13:$C$11483,'Início|Fim 1'!$N$2)</f>
        <v>0</v>
      </c>
      <c r="O127" s="2">
        <f t="shared" si="1"/>
        <v>0</v>
      </c>
    </row>
    <row r="128" spans="1:15" x14ac:dyDescent="0.25">
      <c r="A128" s="1">
        <v>45052</v>
      </c>
      <c r="B128" s="3">
        <f t="array" ref="B128">MIN(IF(A128=Timesheet!$A$13:$A$2615,Timesheet!$D$13:$D$2615))</f>
        <v>0</v>
      </c>
      <c r="C128" s="3">
        <f t="array" ref="C128">MAX(IF(A128=Timesheet!$A$13:$A$2615,Timesheet!$E$13:$E$2615))</f>
        <v>0</v>
      </c>
      <c r="E128" s="1">
        <v>45052</v>
      </c>
      <c r="F128" s="2">
        <f>SUMIFS(Timesheet!$F$13:$F$11483,Timesheet!$A$13:$A$11483,'Início|Fim 1'!E128,Timesheet!$C$13:$C$11483,'Início|Fim 1'!$F$2)</f>
        <v>0</v>
      </c>
      <c r="G128" s="2">
        <f>SUMIFS(Timesheet!$F$13:$F$11483,Timesheet!$A$13:$A$11483,'Início|Fim 1'!E128,Timesheet!$C$13:$C$11483,'Início|Fim 1'!$G$2)</f>
        <v>0</v>
      </c>
      <c r="H128" s="2">
        <f>SUMIFS(Timesheet!$F$13:$F$11483,Timesheet!$A$13:$A$11483,'Início|Fim 1'!E128,Timesheet!$C$13:$C$11483,'Início|Fim 1'!$H$2)</f>
        <v>0</v>
      </c>
      <c r="I128" s="2">
        <f>SUMIFS(Timesheet!$F$13:$F$11483,Timesheet!$A$13:$A$11483,'Início|Fim 1'!E128,Timesheet!$C$13:$C$11483,'Início|Fim 1'!$I$2)</f>
        <v>0</v>
      </c>
      <c r="J128" s="2">
        <f>SUMIFS(Timesheet!$F$13:$F$11483,Timesheet!$A$13:$A$11483,'Início|Fim 1'!E128,Timesheet!$C$13:$C$11483,'Início|Fim 1'!$J$2)</f>
        <v>0</v>
      </c>
      <c r="K128" s="2">
        <f>SUMIFS(Timesheet!$F$13:$F$11483,Timesheet!$A$13:$A$11483,'Início|Fim 1'!E128,Timesheet!$C$13:$C$11483,'Início|Fim 1'!$K$2)</f>
        <v>0</v>
      </c>
      <c r="L128" s="2">
        <f>SUMIFS(Timesheet!$F$13:$F$11483,Timesheet!$A$13:$A$11483,'Início|Fim 1'!E128,Timesheet!$C$13:$C$11483,'Início|Fim 1'!$L$2)</f>
        <v>0</v>
      </c>
      <c r="M128" s="2">
        <f>SUMIFS(Timesheet!$F$13:$F$11483,Timesheet!$A$13:$A$11483,'Início|Fim 1'!E128,Timesheet!$C$13:$C$11483,'Início|Fim 1'!$M$2)</f>
        <v>0</v>
      </c>
      <c r="N128" s="2">
        <f>SUMIFS(Timesheet!$F$13:$F$11483,Timesheet!$A$13:$A$11483,'Início|Fim 1'!E128,Timesheet!$C$13:$C$11483,'Início|Fim 1'!$N$2)</f>
        <v>0</v>
      </c>
      <c r="O128" s="2">
        <f t="shared" si="1"/>
        <v>0</v>
      </c>
    </row>
    <row r="129" spans="1:15" x14ac:dyDescent="0.25">
      <c r="A129" s="1">
        <v>45053</v>
      </c>
      <c r="B129" s="3">
        <f t="array" ref="B129">MIN(IF(A129=Timesheet!$A$13:$A$2615,Timesheet!$D$13:$D$2615))</f>
        <v>0</v>
      </c>
      <c r="C129" s="3">
        <f t="array" ref="C129">MAX(IF(A129=Timesheet!$A$13:$A$2615,Timesheet!$E$13:$E$2615))</f>
        <v>0</v>
      </c>
      <c r="E129" s="1">
        <v>45053</v>
      </c>
      <c r="F129" s="2">
        <f>SUMIFS(Timesheet!$F$13:$F$11483,Timesheet!$A$13:$A$11483,'Início|Fim 1'!E129,Timesheet!$C$13:$C$11483,'Início|Fim 1'!$F$2)</f>
        <v>0</v>
      </c>
      <c r="G129" s="2">
        <f>SUMIFS(Timesheet!$F$13:$F$11483,Timesheet!$A$13:$A$11483,'Início|Fim 1'!E129,Timesheet!$C$13:$C$11483,'Início|Fim 1'!$G$2)</f>
        <v>0</v>
      </c>
      <c r="H129" s="2">
        <f>SUMIFS(Timesheet!$F$13:$F$11483,Timesheet!$A$13:$A$11483,'Início|Fim 1'!E129,Timesheet!$C$13:$C$11483,'Início|Fim 1'!$H$2)</f>
        <v>0</v>
      </c>
      <c r="I129" s="2">
        <f>SUMIFS(Timesheet!$F$13:$F$11483,Timesheet!$A$13:$A$11483,'Início|Fim 1'!E129,Timesheet!$C$13:$C$11483,'Início|Fim 1'!$I$2)</f>
        <v>0</v>
      </c>
      <c r="J129" s="2">
        <f>SUMIFS(Timesheet!$F$13:$F$11483,Timesheet!$A$13:$A$11483,'Início|Fim 1'!E129,Timesheet!$C$13:$C$11483,'Início|Fim 1'!$J$2)</f>
        <v>0</v>
      </c>
      <c r="K129" s="2">
        <f>SUMIFS(Timesheet!$F$13:$F$11483,Timesheet!$A$13:$A$11483,'Início|Fim 1'!E129,Timesheet!$C$13:$C$11483,'Início|Fim 1'!$K$2)</f>
        <v>0</v>
      </c>
      <c r="L129" s="2">
        <f>SUMIFS(Timesheet!$F$13:$F$11483,Timesheet!$A$13:$A$11483,'Início|Fim 1'!E129,Timesheet!$C$13:$C$11483,'Início|Fim 1'!$L$2)</f>
        <v>0</v>
      </c>
      <c r="M129" s="2">
        <f>SUMIFS(Timesheet!$F$13:$F$11483,Timesheet!$A$13:$A$11483,'Início|Fim 1'!E129,Timesheet!$C$13:$C$11483,'Início|Fim 1'!$M$2)</f>
        <v>0</v>
      </c>
      <c r="N129" s="2">
        <f>SUMIFS(Timesheet!$F$13:$F$11483,Timesheet!$A$13:$A$11483,'Início|Fim 1'!E129,Timesheet!$C$13:$C$11483,'Início|Fim 1'!$N$2)</f>
        <v>0</v>
      </c>
      <c r="O129" s="2">
        <f t="shared" si="1"/>
        <v>0</v>
      </c>
    </row>
    <row r="130" spans="1:15" x14ac:dyDescent="0.25">
      <c r="A130" s="1">
        <v>45054</v>
      </c>
      <c r="B130" s="3">
        <f t="array" ref="B130">MIN(IF(A130=Timesheet!$A$13:$A$2615,Timesheet!$D$13:$D$2615))</f>
        <v>0</v>
      </c>
      <c r="C130" s="3">
        <f t="array" ref="C130">MAX(IF(A130=Timesheet!$A$13:$A$2615,Timesheet!$E$13:$E$2615))</f>
        <v>0</v>
      </c>
      <c r="E130" s="1">
        <v>45054</v>
      </c>
      <c r="F130" s="2">
        <f>SUMIFS(Timesheet!$F$13:$F$11483,Timesheet!$A$13:$A$11483,'Início|Fim 1'!E130,Timesheet!$C$13:$C$11483,'Início|Fim 1'!$F$2)</f>
        <v>0</v>
      </c>
      <c r="G130" s="2">
        <f>SUMIFS(Timesheet!$F$13:$F$11483,Timesheet!$A$13:$A$11483,'Início|Fim 1'!E130,Timesheet!$C$13:$C$11483,'Início|Fim 1'!$G$2)</f>
        <v>0</v>
      </c>
      <c r="H130" s="2">
        <f>SUMIFS(Timesheet!$F$13:$F$11483,Timesheet!$A$13:$A$11483,'Início|Fim 1'!E130,Timesheet!$C$13:$C$11483,'Início|Fim 1'!$H$2)</f>
        <v>0</v>
      </c>
      <c r="I130" s="2">
        <f>SUMIFS(Timesheet!$F$13:$F$11483,Timesheet!$A$13:$A$11483,'Início|Fim 1'!E130,Timesheet!$C$13:$C$11483,'Início|Fim 1'!$I$2)</f>
        <v>0</v>
      </c>
      <c r="J130" s="2">
        <f>SUMIFS(Timesheet!$F$13:$F$11483,Timesheet!$A$13:$A$11483,'Início|Fim 1'!E130,Timesheet!$C$13:$C$11483,'Início|Fim 1'!$J$2)</f>
        <v>0</v>
      </c>
      <c r="K130" s="2">
        <f>SUMIFS(Timesheet!$F$13:$F$11483,Timesheet!$A$13:$A$11483,'Início|Fim 1'!E130,Timesheet!$C$13:$C$11483,'Início|Fim 1'!$K$2)</f>
        <v>0</v>
      </c>
      <c r="L130" s="2">
        <f>SUMIFS(Timesheet!$F$13:$F$11483,Timesheet!$A$13:$A$11483,'Início|Fim 1'!E130,Timesheet!$C$13:$C$11483,'Início|Fim 1'!$L$2)</f>
        <v>0</v>
      </c>
      <c r="M130" s="2">
        <f>SUMIFS(Timesheet!$F$13:$F$11483,Timesheet!$A$13:$A$11483,'Início|Fim 1'!E130,Timesheet!$C$13:$C$11483,'Início|Fim 1'!$M$2)</f>
        <v>0</v>
      </c>
      <c r="N130" s="2">
        <f>SUMIFS(Timesheet!$F$13:$F$11483,Timesheet!$A$13:$A$11483,'Início|Fim 1'!E130,Timesheet!$C$13:$C$11483,'Início|Fim 1'!$N$2)</f>
        <v>0</v>
      </c>
      <c r="O130" s="2">
        <f t="shared" si="1"/>
        <v>0</v>
      </c>
    </row>
    <row r="131" spans="1:15" x14ac:dyDescent="0.25">
      <c r="A131" s="1">
        <v>45055</v>
      </c>
      <c r="B131" s="3">
        <f t="array" ref="B131">MIN(IF(A131=Timesheet!$A$13:$A$2615,Timesheet!$D$13:$D$2615))</f>
        <v>0</v>
      </c>
      <c r="C131" s="3">
        <f t="array" ref="C131">MAX(IF(A131=Timesheet!$A$13:$A$2615,Timesheet!$E$13:$E$2615))</f>
        <v>0</v>
      </c>
      <c r="E131" s="1">
        <v>45055</v>
      </c>
      <c r="F131" s="2">
        <f>SUMIFS(Timesheet!$F$13:$F$11483,Timesheet!$A$13:$A$11483,'Início|Fim 1'!E131,Timesheet!$C$13:$C$11483,'Início|Fim 1'!$F$2)</f>
        <v>0</v>
      </c>
      <c r="G131" s="2">
        <f>SUMIFS(Timesheet!$F$13:$F$11483,Timesheet!$A$13:$A$11483,'Início|Fim 1'!E131,Timesheet!$C$13:$C$11483,'Início|Fim 1'!$G$2)</f>
        <v>0</v>
      </c>
      <c r="H131" s="2">
        <f>SUMIFS(Timesheet!$F$13:$F$11483,Timesheet!$A$13:$A$11483,'Início|Fim 1'!E131,Timesheet!$C$13:$C$11483,'Início|Fim 1'!$H$2)</f>
        <v>0</v>
      </c>
      <c r="I131" s="2">
        <f>SUMIFS(Timesheet!$F$13:$F$11483,Timesheet!$A$13:$A$11483,'Início|Fim 1'!E131,Timesheet!$C$13:$C$11483,'Início|Fim 1'!$I$2)</f>
        <v>0</v>
      </c>
      <c r="J131" s="2">
        <f>SUMIFS(Timesheet!$F$13:$F$11483,Timesheet!$A$13:$A$11483,'Início|Fim 1'!E131,Timesheet!$C$13:$C$11483,'Início|Fim 1'!$J$2)</f>
        <v>0</v>
      </c>
      <c r="K131" s="2">
        <f>SUMIFS(Timesheet!$F$13:$F$11483,Timesheet!$A$13:$A$11483,'Início|Fim 1'!E131,Timesheet!$C$13:$C$11483,'Início|Fim 1'!$K$2)</f>
        <v>0</v>
      </c>
      <c r="L131" s="2">
        <f>SUMIFS(Timesheet!$F$13:$F$11483,Timesheet!$A$13:$A$11483,'Início|Fim 1'!E131,Timesheet!$C$13:$C$11483,'Início|Fim 1'!$L$2)</f>
        <v>0</v>
      </c>
      <c r="M131" s="2">
        <f>SUMIFS(Timesheet!$F$13:$F$11483,Timesheet!$A$13:$A$11483,'Início|Fim 1'!E131,Timesheet!$C$13:$C$11483,'Início|Fim 1'!$M$2)</f>
        <v>0</v>
      </c>
      <c r="N131" s="2">
        <f>SUMIFS(Timesheet!$F$13:$F$11483,Timesheet!$A$13:$A$11483,'Início|Fim 1'!E131,Timesheet!$C$13:$C$11483,'Início|Fim 1'!$N$2)</f>
        <v>0</v>
      </c>
      <c r="O131" s="2">
        <f t="shared" ref="O131:O194" si="2">SUM(F131:K131)</f>
        <v>0</v>
      </c>
    </row>
    <row r="132" spans="1:15" x14ac:dyDescent="0.25">
      <c r="A132" s="1">
        <v>45056</v>
      </c>
      <c r="B132" s="3">
        <f t="array" ref="B132">MIN(IF(A132=Timesheet!$A$13:$A$2615,Timesheet!$D$13:$D$2615))</f>
        <v>0</v>
      </c>
      <c r="C132" s="3">
        <f t="array" ref="C132">MAX(IF(A132=Timesheet!$A$13:$A$2615,Timesheet!$E$13:$E$2615))</f>
        <v>0</v>
      </c>
      <c r="E132" s="1">
        <v>45056</v>
      </c>
      <c r="F132" s="2">
        <f>SUMIFS(Timesheet!$F$13:$F$11483,Timesheet!$A$13:$A$11483,'Início|Fim 1'!E132,Timesheet!$C$13:$C$11483,'Início|Fim 1'!$F$2)</f>
        <v>0</v>
      </c>
      <c r="G132" s="2">
        <f>SUMIFS(Timesheet!$F$13:$F$11483,Timesheet!$A$13:$A$11483,'Início|Fim 1'!E132,Timesheet!$C$13:$C$11483,'Início|Fim 1'!$G$2)</f>
        <v>0</v>
      </c>
      <c r="H132" s="2">
        <f>SUMIFS(Timesheet!$F$13:$F$11483,Timesheet!$A$13:$A$11483,'Início|Fim 1'!E132,Timesheet!$C$13:$C$11483,'Início|Fim 1'!$H$2)</f>
        <v>0</v>
      </c>
      <c r="I132" s="2">
        <f>SUMIFS(Timesheet!$F$13:$F$11483,Timesheet!$A$13:$A$11483,'Início|Fim 1'!E132,Timesheet!$C$13:$C$11483,'Início|Fim 1'!$I$2)</f>
        <v>0</v>
      </c>
      <c r="J132" s="2">
        <f>SUMIFS(Timesheet!$F$13:$F$11483,Timesheet!$A$13:$A$11483,'Início|Fim 1'!E132,Timesheet!$C$13:$C$11483,'Início|Fim 1'!$J$2)</f>
        <v>0</v>
      </c>
      <c r="K132" s="2">
        <f>SUMIFS(Timesheet!$F$13:$F$11483,Timesheet!$A$13:$A$11483,'Início|Fim 1'!E132,Timesheet!$C$13:$C$11483,'Início|Fim 1'!$K$2)</f>
        <v>0</v>
      </c>
      <c r="L132" s="2">
        <f>SUMIFS(Timesheet!$F$13:$F$11483,Timesheet!$A$13:$A$11483,'Início|Fim 1'!E132,Timesheet!$C$13:$C$11483,'Início|Fim 1'!$L$2)</f>
        <v>0</v>
      </c>
      <c r="M132" s="2">
        <f>SUMIFS(Timesheet!$F$13:$F$11483,Timesheet!$A$13:$A$11483,'Início|Fim 1'!E132,Timesheet!$C$13:$C$11483,'Início|Fim 1'!$M$2)</f>
        <v>0</v>
      </c>
      <c r="N132" s="2">
        <f>SUMIFS(Timesheet!$F$13:$F$11483,Timesheet!$A$13:$A$11483,'Início|Fim 1'!E132,Timesheet!$C$13:$C$11483,'Início|Fim 1'!$N$2)</f>
        <v>0</v>
      </c>
      <c r="O132" s="2">
        <f t="shared" si="2"/>
        <v>0</v>
      </c>
    </row>
    <row r="133" spans="1:15" x14ac:dyDescent="0.25">
      <c r="A133" s="1">
        <v>45057</v>
      </c>
      <c r="B133" s="3">
        <f t="array" ref="B133">MIN(IF(A133=Timesheet!$A$13:$A$2615,Timesheet!$D$13:$D$2615))</f>
        <v>0</v>
      </c>
      <c r="C133" s="3">
        <f t="array" ref="C133">MAX(IF(A133=Timesheet!$A$13:$A$2615,Timesheet!$E$13:$E$2615))</f>
        <v>0</v>
      </c>
      <c r="E133" s="1">
        <v>45057</v>
      </c>
      <c r="F133" s="2">
        <f>SUMIFS(Timesheet!$F$13:$F$11483,Timesheet!$A$13:$A$11483,'Início|Fim 1'!E133,Timesheet!$C$13:$C$11483,'Início|Fim 1'!$F$2)</f>
        <v>0</v>
      </c>
      <c r="G133" s="2">
        <f>SUMIFS(Timesheet!$F$13:$F$11483,Timesheet!$A$13:$A$11483,'Início|Fim 1'!E133,Timesheet!$C$13:$C$11483,'Início|Fim 1'!$G$2)</f>
        <v>0</v>
      </c>
      <c r="H133" s="2">
        <f>SUMIFS(Timesheet!$F$13:$F$11483,Timesheet!$A$13:$A$11483,'Início|Fim 1'!E133,Timesheet!$C$13:$C$11483,'Início|Fim 1'!$H$2)</f>
        <v>0</v>
      </c>
      <c r="I133" s="2">
        <f>SUMIFS(Timesheet!$F$13:$F$11483,Timesheet!$A$13:$A$11483,'Início|Fim 1'!E133,Timesheet!$C$13:$C$11483,'Início|Fim 1'!$I$2)</f>
        <v>0</v>
      </c>
      <c r="J133" s="2">
        <f>SUMIFS(Timesheet!$F$13:$F$11483,Timesheet!$A$13:$A$11483,'Início|Fim 1'!E133,Timesheet!$C$13:$C$11483,'Início|Fim 1'!$J$2)</f>
        <v>0</v>
      </c>
      <c r="K133" s="2">
        <f>SUMIFS(Timesheet!$F$13:$F$11483,Timesheet!$A$13:$A$11483,'Início|Fim 1'!E133,Timesheet!$C$13:$C$11483,'Início|Fim 1'!$K$2)</f>
        <v>0</v>
      </c>
      <c r="L133" s="2">
        <f>SUMIFS(Timesheet!$F$13:$F$11483,Timesheet!$A$13:$A$11483,'Início|Fim 1'!E133,Timesheet!$C$13:$C$11483,'Início|Fim 1'!$L$2)</f>
        <v>0</v>
      </c>
      <c r="M133" s="2">
        <f>SUMIFS(Timesheet!$F$13:$F$11483,Timesheet!$A$13:$A$11483,'Início|Fim 1'!E133,Timesheet!$C$13:$C$11483,'Início|Fim 1'!$M$2)</f>
        <v>0</v>
      </c>
      <c r="N133" s="2">
        <f>SUMIFS(Timesheet!$F$13:$F$11483,Timesheet!$A$13:$A$11483,'Início|Fim 1'!E133,Timesheet!$C$13:$C$11483,'Início|Fim 1'!$N$2)</f>
        <v>0</v>
      </c>
      <c r="O133" s="2">
        <f t="shared" si="2"/>
        <v>0</v>
      </c>
    </row>
    <row r="134" spans="1:15" x14ac:dyDescent="0.25">
      <c r="A134" s="1">
        <v>45058</v>
      </c>
      <c r="B134" s="3">
        <f t="array" ref="B134">MIN(IF(A134=Timesheet!$A$13:$A$2615,Timesheet!$D$13:$D$2615))</f>
        <v>0</v>
      </c>
      <c r="C134" s="3">
        <f t="array" ref="C134">MAX(IF(A134=Timesheet!$A$13:$A$2615,Timesheet!$E$13:$E$2615))</f>
        <v>0</v>
      </c>
      <c r="E134" s="1">
        <v>45058</v>
      </c>
      <c r="F134" s="2">
        <f>SUMIFS(Timesheet!$F$13:$F$11483,Timesheet!$A$13:$A$11483,'Início|Fim 1'!E134,Timesheet!$C$13:$C$11483,'Início|Fim 1'!$F$2)</f>
        <v>0</v>
      </c>
      <c r="G134" s="2">
        <f>SUMIFS(Timesheet!$F$13:$F$11483,Timesheet!$A$13:$A$11483,'Início|Fim 1'!E134,Timesheet!$C$13:$C$11483,'Início|Fim 1'!$G$2)</f>
        <v>0</v>
      </c>
      <c r="H134" s="2">
        <f>SUMIFS(Timesheet!$F$13:$F$11483,Timesheet!$A$13:$A$11483,'Início|Fim 1'!E134,Timesheet!$C$13:$C$11483,'Início|Fim 1'!$H$2)</f>
        <v>0</v>
      </c>
      <c r="I134" s="2">
        <f>SUMIFS(Timesheet!$F$13:$F$11483,Timesheet!$A$13:$A$11483,'Início|Fim 1'!E134,Timesheet!$C$13:$C$11483,'Início|Fim 1'!$I$2)</f>
        <v>0</v>
      </c>
      <c r="J134" s="2">
        <f>SUMIFS(Timesheet!$F$13:$F$11483,Timesheet!$A$13:$A$11483,'Início|Fim 1'!E134,Timesheet!$C$13:$C$11483,'Início|Fim 1'!$J$2)</f>
        <v>0</v>
      </c>
      <c r="K134" s="2">
        <f>SUMIFS(Timesheet!$F$13:$F$11483,Timesheet!$A$13:$A$11483,'Início|Fim 1'!E134,Timesheet!$C$13:$C$11483,'Início|Fim 1'!$K$2)</f>
        <v>0</v>
      </c>
      <c r="L134" s="2">
        <f>SUMIFS(Timesheet!$F$13:$F$11483,Timesheet!$A$13:$A$11483,'Início|Fim 1'!E134,Timesheet!$C$13:$C$11483,'Início|Fim 1'!$L$2)</f>
        <v>0</v>
      </c>
      <c r="M134" s="2">
        <f>SUMIFS(Timesheet!$F$13:$F$11483,Timesheet!$A$13:$A$11483,'Início|Fim 1'!E134,Timesheet!$C$13:$C$11483,'Início|Fim 1'!$M$2)</f>
        <v>0</v>
      </c>
      <c r="N134" s="2">
        <f>SUMIFS(Timesheet!$F$13:$F$11483,Timesheet!$A$13:$A$11483,'Início|Fim 1'!E134,Timesheet!$C$13:$C$11483,'Início|Fim 1'!$N$2)</f>
        <v>0</v>
      </c>
      <c r="O134" s="2">
        <f t="shared" si="2"/>
        <v>0</v>
      </c>
    </row>
    <row r="135" spans="1:15" x14ac:dyDescent="0.25">
      <c r="A135" s="1">
        <v>45059</v>
      </c>
      <c r="B135" s="3">
        <f t="array" ref="B135">MIN(IF(A135=Timesheet!$A$13:$A$2615,Timesheet!$D$13:$D$2615))</f>
        <v>0</v>
      </c>
      <c r="C135" s="3">
        <f t="array" ref="C135">MAX(IF(A135=Timesheet!$A$13:$A$2615,Timesheet!$E$13:$E$2615))</f>
        <v>0</v>
      </c>
      <c r="E135" s="1">
        <v>45059</v>
      </c>
      <c r="F135" s="2">
        <f>SUMIFS(Timesheet!$F$13:$F$11483,Timesheet!$A$13:$A$11483,'Início|Fim 1'!E135,Timesheet!$C$13:$C$11483,'Início|Fim 1'!$F$2)</f>
        <v>0</v>
      </c>
      <c r="G135" s="2">
        <f>SUMIFS(Timesheet!$F$13:$F$11483,Timesheet!$A$13:$A$11483,'Início|Fim 1'!E135,Timesheet!$C$13:$C$11483,'Início|Fim 1'!$G$2)</f>
        <v>0</v>
      </c>
      <c r="H135" s="2">
        <f>SUMIFS(Timesheet!$F$13:$F$11483,Timesheet!$A$13:$A$11483,'Início|Fim 1'!E135,Timesheet!$C$13:$C$11483,'Início|Fim 1'!$H$2)</f>
        <v>0</v>
      </c>
      <c r="I135" s="2">
        <f>SUMIFS(Timesheet!$F$13:$F$11483,Timesheet!$A$13:$A$11483,'Início|Fim 1'!E135,Timesheet!$C$13:$C$11483,'Início|Fim 1'!$I$2)</f>
        <v>0</v>
      </c>
      <c r="J135" s="2">
        <f>SUMIFS(Timesheet!$F$13:$F$11483,Timesheet!$A$13:$A$11483,'Início|Fim 1'!E135,Timesheet!$C$13:$C$11483,'Início|Fim 1'!$J$2)</f>
        <v>0</v>
      </c>
      <c r="K135" s="2">
        <f>SUMIFS(Timesheet!$F$13:$F$11483,Timesheet!$A$13:$A$11483,'Início|Fim 1'!E135,Timesheet!$C$13:$C$11483,'Início|Fim 1'!$K$2)</f>
        <v>0</v>
      </c>
      <c r="L135" s="2">
        <f>SUMIFS(Timesheet!$F$13:$F$11483,Timesheet!$A$13:$A$11483,'Início|Fim 1'!E135,Timesheet!$C$13:$C$11483,'Início|Fim 1'!$L$2)</f>
        <v>0</v>
      </c>
      <c r="M135" s="2">
        <f>SUMIFS(Timesheet!$F$13:$F$11483,Timesheet!$A$13:$A$11483,'Início|Fim 1'!E135,Timesheet!$C$13:$C$11483,'Início|Fim 1'!$M$2)</f>
        <v>0</v>
      </c>
      <c r="N135" s="2">
        <f>SUMIFS(Timesheet!$F$13:$F$11483,Timesheet!$A$13:$A$11483,'Início|Fim 1'!E135,Timesheet!$C$13:$C$11483,'Início|Fim 1'!$N$2)</f>
        <v>0</v>
      </c>
      <c r="O135" s="2">
        <f t="shared" si="2"/>
        <v>0</v>
      </c>
    </row>
    <row r="136" spans="1:15" x14ac:dyDescent="0.25">
      <c r="A136" s="1">
        <v>45060</v>
      </c>
      <c r="B136" s="3">
        <f t="array" ref="B136">MIN(IF(A136=Timesheet!$A$13:$A$2615,Timesheet!$D$13:$D$2615))</f>
        <v>0</v>
      </c>
      <c r="C136" s="3">
        <f t="array" ref="C136">MAX(IF(A136=Timesheet!$A$13:$A$2615,Timesheet!$E$13:$E$2615))</f>
        <v>0</v>
      </c>
      <c r="E136" s="1">
        <v>45060</v>
      </c>
      <c r="F136" s="2">
        <f>SUMIFS(Timesheet!$F$13:$F$11483,Timesheet!$A$13:$A$11483,'Início|Fim 1'!E136,Timesheet!$C$13:$C$11483,'Início|Fim 1'!$F$2)</f>
        <v>0</v>
      </c>
      <c r="G136" s="2">
        <f>SUMIFS(Timesheet!$F$13:$F$11483,Timesheet!$A$13:$A$11483,'Início|Fim 1'!E136,Timesheet!$C$13:$C$11483,'Início|Fim 1'!$G$2)</f>
        <v>0</v>
      </c>
      <c r="H136" s="2">
        <f>SUMIFS(Timesheet!$F$13:$F$11483,Timesheet!$A$13:$A$11483,'Início|Fim 1'!E136,Timesheet!$C$13:$C$11483,'Início|Fim 1'!$H$2)</f>
        <v>0</v>
      </c>
      <c r="I136" s="2">
        <f>SUMIFS(Timesheet!$F$13:$F$11483,Timesheet!$A$13:$A$11483,'Início|Fim 1'!E136,Timesheet!$C$13:$C$11483,'Início|Fim 1'!$I$2)</f>
        <v>0</v>
      </c>
      <c r="J136" s="2">
        <f>SUMIFS(Timesheet!$F$13:$F$11483,Timesheet!$A$13:$A$11483,'Início|Fim 1'!E136,Timesheet!$C$13:$C$11483,'Início|Fim 1'!$J$2)</f>
        <v>0</v>
      </c>
      <c r="K136" s="2">
        <f>SUMIFS(Timesheet!$F$13:$F$11483,Timesheet!$A$13:$A$11483,'Início|Fim 1'!E136,Timesheet!$C$13:$C$11483,'Início|Fim 1'!$K$2)</f>
        <v>0</v>
      </c>
      <c r="L136" s="2">
        <f>SUMIFS(Timesheet!$F$13:$F$11483,Timesheet!$A$13:$A$11483,'Início|Fim 1'!E136,Timesheet!$C$13:$C$11483,'Início|Fim 1'!$L$2)</f>
        <v>0</v>
      </c>
      <c r="M136" s="2">
        <f>SUMIFS(Timesheet!$F$13:$F$11483,Timesheet!$A$13:$A$11483,'Início|Fim 1'!E136,Timesheet!$C$13:$C$11483,'Início|Fim 1'!$M$2)</f>
        <v>0</v>
      </c>
      <c r="N136" s="2">
        <f>SUMIFS(Timesheet!$F$13:$F$11483,Timesheet!$A$13:$A$11483,'Início|Fim 1'!E136,Timesheet!$C$13:$C$11483,'Início|Fim 1'!$N$2)</f>
        <v>0</v>
      </c>
      <c r="O136" s="2">
        <f t="shared" si="2"/>
        <v>0</v>
      </c>
    </row>
    <row r="137" spans="1:15" x14ac:dyDescent="0.25">
      <c r="A137" s="1">
        <v>45061</v>
      </c>
      <c r="B137" s="3">
        <f t="array" ref="B137">MIN(IF(A137=Timesheet!$A$13:$A$2615,Timesheet!$D$13:$D$2615))</f>
        <v>0</v>
      </c>
      <c r="C137" s="3">
        <f t="array" ref="C137">MAX(IF(A137=Timesheet!$A$13:$A$2615,Timesheet!$E$13:$E$2615))</f>
        <v>0</v>
      </c>
      <c r="E137" s="1">
        <v>45061</v>
      </c>
      <c r="F137" s="2">
        <f>SUMIFS(Timesheet!$F$13:$F$11483,Timesheet!$A$13:$A$11483,'Início|Fim 1'!E137,Timesheet!$C$13:$C$11483,'Início|Fim 1'!$F$2)</f>
        <v>0</v>
      </c>
      <c r="G137" s="2">
        <f>SUMIFS(Timesheet!$F$13:$F$11483,Timesheet!$A$13:$A$11483,'Início|Fim 1'!E137,Timesheet!$C$13:$C$11483,'Início|Fim 1'!$G$2)</f>
        <v>0</v>
      </c>
      <c r="H137" s="2">
        <f>SUMIFS(Timesheet!$F$13:$F$11483,Timesheet!$A$13:$A$11483,'Início|Fim 1'!E137,Timesheet!$C$13:$C$11483,'Início|Fim 1'!$H$2)</f>
        <v>0</v>
      </c>
      <c r="I137" s="2">
        <f>SUMIFS(Timesheet!$F$13:$F$11483,Timesheet!$A$13:$A$11483,'Início|Fim 1'!E137,Timesheet!$C$13:$C$11483,'Início|Fim 1'!$I$2)</f>
        <v>0</v>
      </c>
      <c r="J137" s="2">
        <f>SUMIFS(Timesheet!$F$13:$F$11483,Timesheet!$A$13:$A$11483,'Início|Fim 1'!E137,Timesheet!$C$13:$C$11483,'Início|Fim 1'!$J$2)</f>
        <v>0</v>
      </c>
      <c r="K137" s="2">
        <f>SUMIFS(Timesheet!$F$13:$F$11483,Timesheet!$A$13:$A$11483,'Início|Fim 1'!E137,Timesheet!$C$13:$C$11483,'Início|Fim 1'!$K$2)</f>
        <v>0</v>
      </c>
      <c r="L137" s="2">
        <f>SUMIFS(Timesheet!$F$13:$F$11483,Timesheet!$A$13:$A$11483,'Início|Fim 1'!E137,Timesheet!$C$13:$C$11483,'Início|Fim 1'!$L$2)</f>
        <v>0</v>
      </c>
      <c r="M137" s="2">
        <f>SUMIFS(Timesheet!$F$13:$F$11483,Timesheet!$A$13:$A$11483,'Início|Fim 1'!E137,Timesheet!$C$13:$C$11483,'Início|Fim 1'!$M$2)</f>
        <v>0</v>
      </c>
      <c r="N137" s="2">
        <f>SUMIFS(Timesheet!$F$13:$F$11483,Timesheet!$A$13:$A$11483,'Início|Fim 1'!E137,Timesheet!$C$13:$C$11483,'Início|Fim 1'!$N$2)</f>
        <v>0</v>
      </c>
      <c r="O137" s="2">
        <f t="shared" si="2"/>
        <v>0</v>
      </c>
    </row>
    <row r="138" spans="1:15" x14ac:dyDescent="0.25">
      <c r="A138" s="1">
        <v>45062</v>
      </c>
      <c r="B138" s="3">
        <f t="array" ref="B138">MIN(IF(A138=Timesheet!$A$13:$A$2615,Timesheet!$D$13:$D$2615))</f>
        <v>0</v>
      </c>
      <c r="C138" s="3">
        <f t="array" ref="C138">MAX(IF(A138=Timesheet!$A$13:$A$2615,Timesheet!$E$13:$E$2615))</f>
        <v>0</v>
      </c>
      <c r="E138" s="1">
        <v>45062</v>
      </c>
      <c r="F138" s="2">
        <f>SUMIFS(Timesheet!$F$13:$F$11483,Timesheet!$A$13:$A$11483,'Início|Fim 1'!E138,Timesheet!$C$13:$C$11483,'Início|Fim 1'!$F$2)</f>
        <v>0</v>
      </c>
      <c r="G138" s="2">
        <f>SUMIFS(Timesheet!$F$13:$F$11483,Timesheet!$A$13:$A$11483,'Início|Fim 1'!E138,Timesheet!$C$13:$C$11483,'Início|Fim 1'!$G$2)</f>
        <v>0</v>
      </c>
      <c r="H138" s="2">
        <f>SUMIFS(Timesheet!$F$13:$F$11483,Timesheet!$A$13:$A$11483,'Início|Fim 1'!E138,Timesheet!$C$13:$C$11483,'Início|Fim 1'!$H$2)</f>
        <v>0</v>
      </c>
      <c r="I138" s="2">
        <f>SUMIFS(Timesheet!$F$13:$F$11483,Timesheet!$A$13:$A$11483,'Início|Fim 1'!E138,Timesheet!$C$13:$C$11483,'Início|Fim 1'!$I$2)</f>
        <v>0</v>
      </c>
      <c r="J138" s="2">
        <f>SUMIFS(Timesheet!$F$13:$F$11483,Timesheet!$A$13:$A$11483,'Início|Fim 1'!E138,Timesheet!$C$13:$C$11483,'Início|Fim 1'!$J$2)</f>
        <v>0</v>
      </c>
      <c r="K138" s="2">
        <f>SUMIFS(Timesheet!$F$13:$F$11483,Timesheet!$A$13:$A$11483,'Início|Fim 1'!E138,Timesheet!$C$13:$C$11483,'Início|Fim 1'!$K$2)</f>
        <v>0</v>
      </c>
      <c r="L138" s="2">
        <f>SUMIFS(Timesheet!$F$13:$F$11483,Timesheet!$A$13:$A$11483,'Início|Fim 1'!E138,Timesheet!$C$13:$C$11483,'Início|Fim 1'!$L$2)</f>
        <v>0</v>
      </c>
      <c r="M138" s="2">
        <f>SUMIFS(Timesheet!$F$13:$F$11483,Timesheet!$A$13:$A$11483,'Início|Fim 1'!E138,Timesheet!$C$13:$C$11483,'Início|Fim 1'!$M$2)</f>
        <v>0</v>
      </c>
      <c r="N138" s="2">
        <f>SUMIFS(Timesheet!$F$13:$F$11483,Timesheet!$A$13:$A$11483,'Início|Fim 1'!E138,Timesheet!$C$13:$C$11483,'Início|Fim 1'!$N$2)</f>
        <v>0</v>
      </c>
      <c r="O138" s="2">
        <f t="shared" si="2"/>
        <v>0</v>
      </c>
    </row>
    <row r="139" spans="1:15" x14ac:dyDescent="0.25">
      <c r="A139" s="1">
        <v>45063</v>
      </c>
      <c r="B139" s="3">
        <f t="array" ref="B139">MIN(IF(A139=Timesheet!$A$13:$A$2615,Timesheet!$D$13:$D$2615))</f>
        <v>0</v>
      </c>
      <c r="C139" s="3">
        <f t="array" ref="C139">MAX(IF(A139=Timesheet!$A$13:$A$2615,Timesheet!$E$13:$E$2615))</f>
        <v>0</v>
      </c>
      <c r="E139" s="1">
        <v>45063</v>
      </c>
      <c r="F139" s="2">
        <f>SUMIFS(Timesheet!$F$13:$F$11483,Timesheet!$A$13:$A$11483,'Início|Fim 1'!E139,Timesheet!$C$13:$C$11483,'Início|Fim 1'!$F$2)</f>
        <v>0</v>
      </c>
      <c r="G139" s="2">
        <f>SUMIFS(Timesheet!$F$13:$F$11483,Timesheet!$A$13:$A$11483,'Início|Fim 1'!E139,Timesheet!$C$13:$C$11483,'Início|Fim 1'!$G$2)</f>
        <v>0</v>
      </c>
      <c r="H139" s="2">
        <f>SUMIFS(Timesheet!$F$13:$F$11483,Timesheet!$A$13:$A$11483,'Início|Fim 1'!E139,Timesheet!$C$13:$C$11483,'Início|Fim 1'!$H$2)</f>
        <v>0</v>
      </c>
      <c r="I139" s="2">
        <f>SUMIFS(Timesheet!$F$13:$F$11483,Timesheet!$A$13:$A$11483,'Início|Fim 1'!E139,Timesheet!$C$13:$C$11483,'Início|Fim 1'!$I$2)</f>
        <v>0</v>
      </c>
      <c r="J139" s="2">
        <f>SUMIFS(Timesheet!$F$13:$F$11483,Timesheet!$A$13:$A$11483,'Início|Fim 1'!E139,Timesheet!$C$13:$C$11483,'Início|Fim 1'!$J$2)</f>
        <v>0</v>
      </c>
      <c r="K139" s="2">
        <f>SUMIFS(Timesheet!$F$13:$F$11483,Timesheet!$A$13:$A$11483,'Início|Fim 1'!E139,Timesheet!$C$13:$C$11483,'Início|Fim 1'!$K$2)</f>
        <v>0</v>
      </c>
      <c r="L139" s="2">
        <f>SUMIFS(Timesheet!$F$13:$F$11483,Timesheet!$A$13:$A$11483,'Início|Fim 1'!E139,Timesheet!$C$13:$C$11483,'Início|Fim 1'!$L$2)</f>
        <v>0</v>
      </c>
      <c r="M139" s="2">
        <f>SUMIFS(Timesheet!$F$13:$F$11483,Timesheet!$A$13:$A$11483,'Início|Fim 1'!E139,Timesheet!$C$13:$C$11483,'Início|Fim 1'!$M$2)</f>
        <v>0</v>
      </c>
      <c r="N139" s="2">
        <f>SUMIFS(Timesheet!$F$13:$F$11483,Timesheet!$A$13:$A$11483,'Início|Fim 1'!E139,Timesheet!$C$13:$C$11483,'Início|Fim 1'!$N$2)</f>
        <v>0</v>
      </c>
      <c r="O139" s="2">
        <f t="shared" si="2"/>
        <v>0</v>
      </c>
    </row>
    <row r="140" spans="1:15" x14ac:dyDescent="0.25">
      <c r="A140" s="1">
        <v>45064</v>
      </c>
      <c r="B140" s="3">
        <f t="array" ref="B140">MIN(IF(A140=Timesheet!$A$13:$A$2615,Timesheet!$D$13:$D$2615))</f>
        <v>0</v>
      </c>
      <c r="C140" s="3">
        <f t="array" ref="C140">MAX(IF(A140=Timesheet!$A$13:$A$2615,Timesheet!$E$13:$E$2615))</f>
        <v>0</v>
      </c>
      <c r="E140" s="1">
        <v>45064</v>
      </c>
      <c r="F140" s="2">
        <f>SUMIFS(Timesheet!$F$13:$F$11483,Timesheet!$A$13:$A$11483,'Início|Fim 1'!E140,Timesheet!$C$13:$C$11483,'Início|Fim 1'!$F$2)</f>
        <v>0</v>
      </c>
      <c r="G140" s="2">
        <f>SUMIFS(Timesheet!$F$13:$F$11483,Timesheet!$A$13:$A$11483,'Início|Fim 1'!E140,Timesheet!$C$13:$C$11483,'Início|Fim 1'!$G$2)</f>
        <v>0</v>
      </c>
      <c r="H140" s="2">
        <f>SUMIFS(Timesheet!$F$13:$F$11483,Timesheet!$A$13:$A$11483,'Início|Fim 1'!E140,Timesheet!$C$13:$C$11483,'Início|Fim 1'!$H$2)</f>
        <v>0</v>
      </c>
      <c r="I140" s="2">
        <f>SUMIFS(Timesheet!$F$13:$F$11483,Timesheet!$A$13:$A$11483,'Início|Fim 1'!E140,Timesheet!$C$13:$C$11483,'Início|Fim 1'!$I$2)</f>
        <v>0</v>
      </c>
      <c r="J140" s="2">
        <f>SUMIFS(Timesheet!$F$13:$F$11483,Timesheet!$A$13:$A$11483,'Início|Fim 1'!E140,Timesheet!$C$13:$C$11483,'Início|Fim 1'!$J$2)</f>
        <v>0</v>
      </c>
      <c r="K140" s="2">
        <f>SUMIFS(Timesheet!$F$13:$F$11483,Timesheet!$A$13:$A$11483,'Início|Fim 1'!E140,Timesheet!$C$13:$C$11483,'Início|Fim 1'!$K$2)</f>
        <v>0</v>
      </c>
      <c r="L140" s="2">
        <f>SUMIFS(Timesheet!$F$13:$F$11483,Timesheet!$A$13:$A$11483,'Início|Fim 1'!E140,Timesheet!$C$13:$C$11483,'Início|Fim 1'!$L$2)</f>
        <v>0</v>
      </c>
      <c r="M140" s="2">
        <f>SUMIFS(Timesheet!$F$13:$F$11483,Timesheet!$A$13:$A$11483,'Início|Fim 1'!E140,Timesheet!$C$13:$C$11483,'Início|Fim 1'!$M$2)</f>
        <v>0</v>
      </c>
      <c r="N140" s="2">
        <f>SUMIFS(Timesheet!$F$13:$F$11483,Timesheet!$A$13:$A$11483,'Início|Fim 1'!E140,Timesheet!$C$13:$C$11483,'Início|Fim 1'!$N$2)</f>
        <v>0</v>
      </c>
      <c r="O140" s="2">
        <f t="shared" si="2"/>
        <v>0</v>
      </c>
    </row>
    <row r="141" spans="1:15" x14ac:dyDescent="0.25">
      <c r="A141" s="1">
        <v>45065</v>
      </c>
      <c r="B141" s="3">
        <f t="array" ref="B141">MIN(IF(A141=Timesheet!$A$13:$A$2615,Timesheet!$D$13:$D$2615))</f>
        <v>0</v>
      </c>
      <c r="C141" s="3">
        <f t="array" ref="C141">MAX(IF(A141=Timesheet!$A$13:$A$2615,Timesheet!$E$13:$E$2615))</f>
        <v>0</v>
      </c>
      <c r="E141" s="1">
        <v>45065</v>
      </c>
      <c r="F141" s="2">
        <f>SUMIFS(Timesheet!$F$13:$F$11483,Timesheet!$A$13:$A$11483,'Início|Fim 1'!E141,Timesheet!$C$13:$C$11483,'Início|Fim 1'!$F$2)</f>
        <v>0</v>
      </c>
      <c r="G141" s="2">
        <f>SUMIFS(Timesheet!$F$13:$F$11483,Timesheet!$A$13:$A$11483,'Início|Fim 1'!E141,Timesheet!$C$13:$C$11483,'Início|Fim 1'!$G$2)</f>
        <v>0</v>
      </c>
      <c r="H141" s="2">
        <f>SUMIFS(Timesheet!$F$13:$F$11483,Timesheet!$A$13:$A$11483,'Início|Fim 1'!E141,Timesheet!$C$13:$C$11483,'Início|Fim 1'!$H$2)</f>
        <v>0</v>
      </c>
      <c r="I141" s="2">
        <f>SUMIFS(Timesheet!$F$13:$F$11483,Timesheet!$A$13:$A$11483,'Início|Fim 1'!E141,Timesheet!$C$13:$C$11483,'Início|Fim 1'!$I$2)</f>
        <v>0</v>
      </c>
      <c r="J141" s="2">
        <f>SUMIFS(Timesheet!$F$13:$F$11483,Timesheet!$A$13:$A$11483,'Início|Fim 1'!E141,Timesheet!$C$13:$C$11483,'Início|Fim 1'!$J$2)</f>
        <v>0</v>
      </c>
      <c r="K141" s="2">
        <f>SUMIFS(Timesheet!$F$13:$F$11483,Timesheet!$A$13:$A$11483,'Início|Fim 1'!E141,Timesheet!$C$13:$C$11483,'Início|Fim 1'!$K$2)</f>
        <v>0</v>
      </c>
      <c r="L141" s="2">
        <f>SUMIFS(Timesheet!$F$13:$F$11483,Timesheet!$A$13:$A$11483,'Início|Fim 1'!E141,Timesheet!$C$13:$C$11483,'Início|Fim 1'!$L$2)</f>
        <v>0</v>
      </c>
      <c r="M141" s="2">
        <f>SUMIFS(Timesheet!$F$13:$F$11483,Timesheet!$A$13:$A$11483,'Início|Fim 1'!E141,Timesheet!$C$13:$C$11483,'Início|Fim 1'!$M$2)</f>
        <v>0</v>
      </c>
      <c r="N141" s="2">
        <f>SUMIFS(Timesheet!$F$13:$F$11483,Timesheet!$A$13:$A$11483,'Início|Fim 1'!E141,Timesheet!$C$13:$C$11483,'Início|Fim 1'!$N$2)</f>
        <v>0</v>
      </c>
      <c r="O141" s="2">
        <f t="shared" si="2"/>
        <v>0</v>
      </c>
    </row>
    <row r="142" spans="1:15" x14ac:dyDescent="0.25">
      <c r="A142" s="1">
        <v>45066</v>
      </c>
      <c r="B142" s="3">
        <f t="array" ref="B142">MIN(IF(A142=Timesheet!$A$13:$A$2615,Timesheet!$D$13:$D$2615))</f>
        <v>0</v>
      </c>
      <c r="C142" s="3">
        <f t="array" ref="C142">MAX(IF(A142=Timesheet!$A$13:$A$2615,Timesheet!$E$13:$E$2615))</f>
        <v>0</v>
      </c>
      <c r="E142" s="1">
        <v>45066</v>
      </c>
      <c r="F142" s="2">
        <f>SUMIFS(Timesheet!$F$13:$F$11483,Timesheet!$A$13:$A$11483,'Início|Fim 1'!E142,Timesheet!$C$13:$C$11483,'Início|Fim 1'!$F$2)</f>
        <v>0</v>
      </c>
      <c r="G142" s="2">
        <f>SUMIFS(Timesheet!$F$13:$F$11483,Timesheet!$A$13:$A$11483,'Início|Fim 1'!E142,Timesheet!$C$13:$C$11483,'Início|Fim 1'!$G$2)</f>
        <v>0</v>
      </c>
      <c r="H142" s="2">
        <f>SUMIFS(Timesheet!$F$13:$F$11483,Timesheet!$A$13:$A$11483,'Início|Fim 1'!E142,Timesheet!$C$13:$C$11483,'Início|Fim 1'!$H$2)</f>
        <v>0</v>
      </c>
      <c r="I142" s="2">
        <f>SUMIFS(Timesheet!$F$13:$F$11483,Timesheet!$A$13:$A$11483,'Início|Fim 1'!E142,Timesheet!$C$13:$C$11483,'Início|Fim 1'!$I$2)</f>
        <v>0</v>
      </c>
      <c r="J142" s="2">
        <f>SUMIFS(Timesheet!$F$13:$F$11483,Timesheet!$A$13:$A$11483,'Início|Fim 1'!E142,Timesheet!$C$13:$C$11483,'Início|Fim 1'!$J$2)</f>
        <v>0</v>
      </c>
      <c r="K142" s="2">
        <f>SUMIFS(Timesheet!$F$13:$F$11483,Timesheet!$A$13:$A$11483,'Início|Fim 1'!E142,Timesheet!$C$13:$C$11483,'Início|Fim 1'!$K$2)</f>
        <v>0</v>
      </c>
      <c r="L142" s="2">
        <f>SUMIFS(Timesheet!$F$13:$F$11483,Timesheet!$A$13:$A$11483,'Início|Fim 1'!E142,Timesheet!$C$13:$C$11483,'Início|Fim 1'!$L$2)</f>
        <v>0</v>
      </c>
      <c r="M142" s="2">
        <f>SUMIFS(Timesheet!$F$13:$F$11483,Timesheet!$A$13:$A$11483,'Início|Fim 1'!E142,Timesheet!$C$13:$C$11483,'Início|Fim 1'!$M$2)</f>
        <v>0</v>
      </c>
      <c r="N142" s="2">
        <f>SUMIFS(Timesheet!$F$13:$F$11483,Timesheet!$A$13:$A$11483,'Início|Fim 1'!E142,Timesheet!$C$13:$C$11483,'Início|Fim 1'!$N$2)</f>
        <v>0</v>
      </c>
      <c r="O142" s="2">
        <f t="shared" si="2"/>
        <v>0</v>
      </c>
    </row>
    <row r="143" spans="1:15" x14ac:dyDescent="0.25">
      <c r="A143" s="1">
        <v>45067</v>
      </c>
      <c r="B143" s="3">
        <f t="array" ref="B143">MIN(IF(A143=Timesheet!$A$13:$A$2615,Timesheet!$D$13:$D$2615))</f>
        <v>0</v>
      </c>
      <c r="C143" s="3">
        <f t="array" ref="C143">MAX(IF(A143=Timesheet!$A$13:$A$2615,Timesheet!$E$13:$E$2615))</f>
        <v>0</v>
      </c>
      <c r="E143" s="1">
        <v>45067</v>
      </c>
      <c r="F143" s="2">
        <f>SUMIFS(Timesheet!$F$13:$F$11483,Timesheet!$A$13:$A$11483,'Início|Fim 1'!E143,Timesheet!$C$13:$C$11483,'Início|Fim 1'!$F$2)</f>
        <v>0</v>
      </c>
      <c r="G143" s="2">
        <f>SUMIFS(Timesheet!$F$13:$F$11483,Timesheet!$A$13:$A$11483,'Início|Fim 1'!E143,Timesheet!$C$13:$C$11483,'Início|Fim 1'!$G$2)</f>
        <v>0</v>
      </c>
      <c r="H143" s="2">
        <f>SUMIFS(Timesheet!$F$13:$F$11483,Timesheet!$A$13:$A$11483,'Início|Fim 1'!E143,Timesheet!$C$13:$C$11483,'Início|Fim 1'!$H$2)</f>
        <v>0</v>
      </c>
      <c r="I143" s="2">
        <f>SUMIFS(Timesheet!$F$13:$F$11483,Timesheet!$A$13:$A$11483,'Início|Fim 1'!E143,Timesheet!$C$13:$C$11483,'Início|Fim 1'!$I$2)</f>
        <v>0</v>
      </c>
      <c r="J143" s="2">
        <f>SUMIFS(Timesheet!$F$13:$F$11483,Timesheet!$A$13:$A$11483,'Início|Fim 1'!E143,Timesheet!$C$13:$C$11483,'Início|Fim 1'!$J$2)</f>
        <v>0</v>
      </c>
      <c r="K143" s="2">
        <f>SUMIFS(Timesheet!$F$13:$F$11483,Timesheet!$A$13:$A$11483,'Início|Fim 1'!E143,Timesheet!$C$13:$C$11483,'Início|Fim 1'!$K$2)</f>
        <v>0</v>
      </c>
      <c r="L143" s="2">
        <f>SUMIFS(Timesheet!$F$13:$F$11483,Timesheet!$A$13:$A$11483,'Início|Fim 1'!E143,Timesheet!$C$13:$C$11483,'Início|Fim 1'!$L$2)</f>
        <v>0</v>
      </c>
      <c r="M143" s="2">
        <f>SUMIFS(Timesheet!$F$13:$F$11483,Timesheet!$A$13:$A$11483,'Início|Fim 1'!E143,Timesheet!$C$13:$C$11483,'Início|Fim 1'!$M$2)</f>
        <v>0</v>
      </c>
      <c r="N143" s="2">
        <f>SUMIFS(Timesheet!$F$13:$F$11483,Timesheet!$A$13:$A$11483,'Início|Fim 1'!E143,Timesheet!$C$13:$C$11483,'Início|Fim 1'!$N$2)</f>
        <v>0</v>
      </c>
      <c r="O143" s="2">
        <f t="shared" si="2"/>
        <v>0</v>
      </c>
    </row>
    <row r="144" spans="1:15" x14ac:dyDescent="0.25">
      <c r="A144" s="1">
        <v>45068</v>
      </c>
      <c r="B144" s="3">
        <f t="array" ref="B144">MIN(IF(A144=Timesheet!$A$13:$A$2615,Timesheet!$D$13:$D$2615))</f>
        <v>0</v>
      </c>
      <c r="C144" s="3">
        <f t="array" ref="C144">MAX(IF(A144=Timesheet!$A$13:$A$2615,Timesheet!$E$13:$E$2615))</f>
        <v>0</v>
      </c>
      <c r="E144" s="1">
        <v>45068</v>
      </c>
      <c r="F144" s="2">
        <f>SUMIFS(Timesheet!$F$13:$F$11483,Timesheet!$A$13:$A$11483,'Início|Fim 1'!E144,Timesheet!$C$13:$C$11483,'Início|Fim 1'!$F$2)</f>
        <v>0</v>
      </c>
      <c r="G144" s="2">
        <f>SUMIFS(Timesheet!$F$13:$F$11483,Timesheet!$A$13:$A$11483,'Início|Fim 1'!E144,Timesheet!$C$13:$C$11483,'Início|Fim 1'!$G$2)</f>
        <v>0</v>
      </c>
      <c r="H144" s="2">
        <f>SUMIFS(Timesheet!$F$13:$F$11483,Timesheet!$A$13:$A$11483,'Início|Fim 1'!E144,Timesheet!$C$13:$C$11483,'Início|Fim 1'!$H$2)</f>
        <v>0</v>
      </c>
      <c r="I144" s="2">
        <f>SUMIFS(Timesheet!$F$13:$F$11483,Timesheet!$A$13:$A$11483,'Início|Fim 1'!E144,Timesheet!$C$13:$C$11483,'Início|Fim 1'!$I$2)</f>
        <v>0</v>
      </c>
      <c r="J144" s="2">
        <f>SUMIFS(Timesheet!$F$13:$F$11483,Timesheet!$A$13:$A$11483,'Início|Fim 1'!E144,Timesheet!$C$13:$C$11483,'Início|Fim 1'!$J$2)</f>
        <v>0</v>
      </c>
      <c r="K144" s="2">
        <f>SUMIFS(Timesheet!$F$13:$F$11483,Timesheet!$A$13:$A$11483,'Início|Fim 1'!E144,Timesheet!$C$13:$C$11483,'Início|Fim 1'!$K$2)</f>
        <v>0</v>
      </c>
      <c r="L144" s="2">
        <f>SUMIFS(Timesheet!$F$13:$F$11483,Timesheet!$A$13:$A$11483,'Início|Fim 1'!E144,Timesheet!$C$13:$C$11483,'Início|Fim 1'!$L$2)</f>
        <v>0</v>
      </c>
      <c r="M144" s="2">
        <f>SUMIFS(Timesheet!$F$13:$F$11483,Timesheet!$A$13:$A$11483,'Início|Fim 1'!E144,Timesheet!$C$13:$C$11483,'Início|Fim 1'!$M$2)</f>
        <v>0</v>
      </c>
      <c r="N144" s="2">
        <f>SUMIFS(Timesheet!$F$13:$F$11483,Timesheet!$A$13:$A$11483,'Início|Fim 1'!E144,Timesheet!$C$13:$C$11483,'Início|Fim 1'!$N$2)</f>
        <v>0</v>
      </c>
      <c r="O144" s="2">
        <f t="shared" si="2"/>
        <v>0</v>
      </c>
    </row>
    <row r="145" spans="1:15" x14ac:dyDescent="0.25">
      <c r="A145" s="1">
        <v>45069</v>
      </c>
      <c r="B145" s="3">
        <f t="array" ref="B145">MIN(IF(A145=Timesheet!$A$13:$A$2615,Timesheet!$D$13:$D$2615))</f>
        <v>0</v>
      </c>
      <c r="C145" s="3">
        <f t="array" ref="C145">MAX(IF(A145=Timesheet!$A$13:$A$2615,Timesheet!$E$13:$E$2615))</f>
        <v>0</v>
      </c>
      <c r="E145" s="1">
        <v>45069</v>
      </c>
      <c r="F145" s="2">
        <f>SUMIFS(Timesheet!$F$13:$F$11483,Timesheet!$A$13:$A$11483,'Início|Fim 1'!E145,Timesheet!$C$13:$C$11483,'Início|Fim 1'!$F$2)</f>
        <v>0</v>
      </c>
      <c r="G145" s="2">
        <f>SUMIFS(Timesheet!$F$13:$F$11483,Timesheet!$A$13:$A$11483,'Início|Fim 1'!E145,Timesheet!$C$13:$C$11483,'Início|Fim 1'!$G$2)</f>
        <v>0</v>
      </c>
      <c r="H145" s="2">
        <f>SUMIFS(Timesheet!$F$13:$F$11483,Timesheet!$A$13:$A$11483,'Início|Fim 1'!E145,Timesheet!$C$13:$C$11483,'Início|Fim 1'!$H$2)</f>
        <v>0</v>
      </c>
      <c r="I145" s="2">
        <f>SUMIFS(Timesheet!$F$13:$F$11483,Timesheet!$A$13:$A$11483,'Início|Fim 1'!E145,Timesheet!$C$13:$C$11483,'Início|Fim 1'!$I$2)</f>
        <v>0</v>
      </c>
      <c r="J145" s="2">
        <f>SUMIFS(Timesheet!$F$13:$F$11483,Timesheet!$A$13:$A$11483,'Início|Fim 1'!E145,Timesheet!$C$13:$C$11483,'Início|Fim 1'!$J$2)</f>
        <v>0</v>
      </c>
      <c r="K145" s="2">
        <f>SUMIFS(Timesheet!$F$13:$F$11483,Timesheet!$A$13:$A$11483,'Início|Fim 1'!E145,Timesheet!$C$13:$C$11483,'Início|Fim 1'!$K$2)</f>
        <v>0</v>
      </c>
      <c r="L145" s="2">
        <f>SUMIFS(Timesheet!$F$13:$F$11483,Timesheet!$A$13:$A$11483,'Início|Fim 1'!E145,Timesheet!$C$13:$C$11483,'Início|Fim 1'!$L$2)</f>
        <v>0</v>
      </c>
      <c r="M145" s="2">
        <f>SUMIFS(Timesheet!$F$13:$F$11483,Timesheet!$A$13:$A$11483,'Início|Fim 1'!E145,Timesheet!$C$13:$C$11483,'Início|Fim 1'!$M$2)</f>
        <v>0</v>
      </c>
      <c r="N145" s="2">
        <f>SUMIFS(Timesheet!$F$13:$F$11483,Timesheet!$A$13:$A$11483,'Início|Fim 1'!E145,Timesheet!$C$13:$C$11483,'Início|Fim 1'!$N$2)</f>
        <v>0</v>
      </c>
      <c r="O145" s="2">
        <f t="shared" si="2"/>
        <v>0</v>
      </c>
    </row>
    <row r="146" spans="1:15" x14ac:dyDescent="0.25">
      <c r="A146" s="1">
        <v>45070</v>
      </c>
      <c r="B146" s="3">
        <f t="array" ref="B146">MIN(IF(A146=Timesheet!$A$13:$A$2615,Timesheet!$D$13:$D$2615))</f>
        <v>0</v>
      </c>
      <c r="C146" s="3">
        <f t="array" ref="C146">MAX(IF(A146=Timesheet!$A$13:$A$2615,Timesheet!$E$13:$E$2615))</f>
        <v>0</v>
      </c>
      <c r="E146" s="1">
        <v>45070</v>
      </c>
      <c r="F146" s="2">
        <f>SUMIFS(Timesheet!$F$13:$F$11483,Timesheet!$A$13:$A$11483,'Início|Fim 1'!E146,Timesheet!$C$13:$C$11483,'Início|Fim 1'!$F$2)</f>
        <v>0</v>
      </c>
      <c r="G146" s="2">
        <f>SUMIFS(Timesheet!$F$13:$F$11483,Timesheet!$A$13:$A$11483,'Início|Fim 1'!E146,Timesheet!$C$13:$C$11483,'Início|Fim 1'!$G$2)</f>
        <v>0</v>
      </c>
      <c r="H146" s="2">
        <f>SUMIFS(Timesheet!$F$13:$F$11483,Timesheet!$A$13:$A$11483,'Início|Fim 1'!E146,Timesheet!$C$13:$C$11483,'Início|Fim 1'!$H$2)</f>
        <v>0</v>
      </c>
      <c r="I146" s="2">
        <f>SUMIFS(Timesheet!$F$13:$F$11483,Timesheet!$A$13:$A$11483,'Início|Fim 1'!E146,Timesheet!$C$13:$C$11483,'Início|Fim 1'!$I$2)</f>
        <v>0</v>
      </c>
      <c r="J146" s="2">
        <f>SUMIFS(Timesheet!$F$13:$F$11483,Timesheet!$A$13:$A$11483,'Início|Fim 1'!E146,Timesheet!$C$13:$C$11483,'Início|Fim 1'!$J$2)</f>
        <v>0</v>
      </c>
      <c r="K146" s="2">
        <f>SUMIFS(Timesheet!$F$13:$F$11483,Timesheet!$A$13:$A$11483,'Início|Fim 1'!E146,Timesheet!$C$13:$C$11483,'Início|Fim 1'!$K$2)</f>
        <v>0</v>
      </c>
      <c r="L146" s="2">
        <f>SUMIFS(Timesheet!$F$13:$F$11483,Timesheet!$A$13:$A$11483,'Início|Fim 1'!E146,Timesheet!$C$13:$C$11483,'Início|Fim 1'!$L$2)</f>
        <v>0</v>
      </c>
      <c r="M146" s="2">
        <f>SUMIFS(Timesheet!$F$13:$F$11483,Timesheet!$A$13:$A$11483,'Início|Fim 1'!E146,Timesheet!$C$13:$C$11483,'Início|Fim 1'!$M$2)</f>
        <v>0</v>
      </c>
      <c r="N146" s="2">
        <f>SUMIFS(Timesheet!$F$13:$F$11483,Timesheet!$A$13:$A$11483,'Início|Fim 1'!E146,Timesheet!$C$13:$C$11483,'Início|Fim 1'!$N$2)</f>
        <v>0</v>
      </c>
      <c r="O146" s="2">
        <f t="shared" si="2"/>
        <v>0</v>
      </c>
    </row>
    <row r="147" spans="1:15" x14ac:dyDescent="0.25">
      <c r="A147" s="1">
        <v>45071</v>
      </c>
      <c r="B147" s="3">
        <f t="array" ref="B147">MIN(IF(A147=Timesheet!$A$13:$A$2615,Timesheet!$D$13:$D$2615))</f>
        <v>0</v>
      </c>
      <c r="C147" s="3">
        <f t="array" ref="C147">MAX(IF(A147=Timesheet!$A$13:$A$2615,Timesheet!$E$13:$E$2615))</f>
        <v>0</v>
      </c>
      <c r="E147" s="1">
        <v>45071</v>
      </c>
      <c r="F147" s="2">
        <f>SUMIFS(Timesheet!$F$13:$F$11483,Timesheet!$A$13:$A$11483,'Início|Fim 1'!E147,Timesheet!$C$13:$C$11483,'Início|Fim 1'!$F$2)</f>
        <v>0</v>
      </c>
      <c r="G147" s="2">
        <f>SUMIFS(Timesheet!$F$13:$F$11483,Timesheet!$A$13:$A$11483,'Início|Fim 1'!E147,Timesheet!$C$13:$C$11483,'Início|Fim 1'!$G$2)</f>
        <v>0</v>
      </c>
      <c r="H147" s="2">
        <f>SUMIFS(Timesheet!$F$13:$F$11483,Timesheet!$A$13:$A$11483,'Início|Fim 1'!E147,Timesheet!$C$13:$C$11483,'Início|Fim 1'!$H$2)</f>
        <v>0</v>
      </c>
      <c r="I147" s="2">
        <f>SUMIFS(Timesheet!$F$13:$F$11483,Timesheet!$A$13:$A$11483,'Início|Fim 1'!E147,Timesheet!$C$13:$C$11483,'Início|Fim 1'!$I$2)</f>
        <v>0</v>
      </c>
      <c r="J147" s="2">
        <f>SUMIFS(Timesheet!$F$13:$F$11483,Timesheet!$A$13:$A$11483,'Início|Fim 1'!E147,Timesheet!$C$13:$C$11483,'Início|Fim 1'!$J$2)</f>
        <v>0</v>
      </c>
      <c r="K147" s="2">
        <f>SUMIFS(Timesheet!$F$13:$F$11483,Timesheet!$A$13:$A$11483,'Início|Fim 1'!E147,Timesheet!$C$13:$C$11483,'Início|Fim 1'!$K$2)</f>
        <v>0</v>
      </c>
      <c r="L147" s="2">
        <f>SUMIFS(Timesheet!$F$13:$F$11483,Timesheet!$A$13:$A$11483,'Início|Fim 1'!E147,Timesheet!$C$13:$C$11483,'Início|Fim 1'!$L$2)</f>
        <v>0</v>
      </c>
      <c r="M147" s="2">
        <f>SUMIFS(Timesheet!$F$13:$F$11483,Timesheet!$A$13:$A$11483,'Início|Fim 1'!E147,Timesheet!$C$13:$C$11483,'Início|Fim 1'!$M$2)</f>
        <v>0</v>
      </c>
      <c r="N147" s="2">
        <f>SUMIFS(Timesheet!$F$13:$F$11483,Timesheet!$A$13:$A$11483,'Início|Fim 1'!E147,Timesheet!$C$13:$C$11483,'Início|Fim 1'!$N$2)</f>
        <v>0</v>
      </c>
      <c r="O147" s="2">
        <f t="shared" si="2"/>
        <v>0</v>
      </c>
    </row>
    <row r="148" spans="1:15" x14ac:dyDescent="0.25">
      <c r="A148" s="1">
        <v>45072</v>
      </c>
      <c r="B148" s="3">
        <f t="array" ref="B148">MIN(IF(A148=Timesheet!$A$13:$A$2615,Timesheet!$D$13:$D$2615))</f>
        <v>0</v>
      </c>
      <c r="C148" s="3">
        <f t="array" ref="C148">MAX(IF(A148=Timesheet!$A$13:$A$2615,Timesheet!$E$13:$E$2615))</f>
        <v>0</v>
      </c>
      <c r="E148" s="1">
        <v>45072</v>
      </c>
      <c r="F148" s="2">
        <f>SUMIFS(Timesheet!$F$13:$F$11483,Timesheet!$A$13:$A$11483,'Início|Fim 1'!E148,Timesheet!$C$13:$C$11483,'Início|Fim 1'!$F$2)</f>
        <v>0</v>
      </c>
      <c r="G148" s="2">
        <f>SUMIFS(Timesheet!$F$13:$F$11483,Timesheet!$A$13:$A$11483,'Início|Fim 1'!E148,Timesheet!$C$13:$C$11483,'Início|Fim 1'!$G$2)</f>
        <v>0</v>
      </c>
      <c r="H148" s="2">
        <f>SUMIFS(Timesheet!$F$13:$F$11483,Timesheet!$A$13:$A$11483,'Início|Fim 1'!E148,Timesheet!$C$13:$C$11483,'Início|Fim 1'!$H$2)</f>
        <v>0</v>
      </c>
      <c r="I148" s="2">
        <f>SUMIFS(Timesheet!$F$13:$F$11483,Timesheet!$A$13:$A$11483,'Início|Fim 1'!E148,Timesheet!$C$13:$C$11483,'Início|Fim 1'!$I$2)</f>
        <v>0</v>
      </c>
      <c r="J148" s="2">
        <f>SUMIFS(Timesheet!$F$13:$F$11483,Timesheet!$A$13:$A$11483,'Início|Fim 1'!E148,Timesheet!$C$13:$C$11483,'Início|Fim 1'!$J$2)</f>
        <v>0</v>
      </c>
      <c r="K148" s="2">
        <f>SUMIFS(Timesheet!$F$13:$F$11483,Timesheet!$A$13:$A$11483,'Início|Fim 1'!E148,Timesheet!$C$13:$C$11483,'Início|Fim 1'!$K$2)</f>
        <v>0</v>
      </c>
      <c r="L148" s="2">
        <f>SUMIFS(Timesheet!$F$13:$F$11483,Timesheet!$A$13:$A$11483,'Início|Fim 1'!E148,Timesheet!$C$13:$C$11483,'Início|Fim 1'!$L$2)</f>
        <v>0</v>
      </c>
      <c r="M148" s="2">
        <f>SUMIFS(Timesheet!$F$13:$F$11483,Timesheet!$A$13:$A$11483,'Início|Fim 1'!E148,Timesheet!$C$13:$C$11483,'Início|Fim 1'!$M$2)</f>
        <v>0</v>
      </c>
      <c r="N148" s="2">
        <f>SUMIFS(Timesheet!$F$13:$F$11483,Timesheet!$A$13:$A$11483,'Início|Fim 1'!E148,Timesheet!$C$13:$C$11483,'Início|Fim 1'!$N$2)</f>
        <v>0</v>
      </c>
      <c r="O148" s="2">
        <f t="shared" si="2"/>
        <v>0</v>
      </c>
    </row>
    <row r="149" spans="1:15" x14ac:dyDescent="0.25">
      <c r="A149" s="1">
        <v>45073</v>
      </c>
      <c r="B149" s="3">
        <f t="array" ref="B149">MIN(IF(A149=Timesheet!$A$13:$A$2615,Timesheet!$D$13:$D$2615))</f>
        <v>0</v>
      </c>
      <c r="C149" s="3">
        <f t="array" ref="C149">MAX(IF(A149=Timesheet!$A$13:$A$2615,Timesheet!$E$13:$E$2615))</f>
        <v>0</v>
      </c>
      <c r="E149" s="1">
        <v>45073</v>
      </c>
      <c r="F149" s="2">
        <f>SUMIFS(Timesheet!$F$13:$F$11483,Timesheet!$A$13:$A$11483,'Início|Fim 1'!E149,Timesheet!$C$13:$C$11483,'Início|Fim 1'!$F$2)</f>
        <v>0</v>
      </c>
      <c r="G149" s="2">
        <f>SUMIFS(Timesheet!$F$13:$F$11483,Timesheet!$A$13:$A$11483,'Início|Fim 1'!E149,Timesheet!$C$13:$C$11483,'Início|Fim 1'!$G$2)</f>
        <v>0</v>
      </c>
      <c r="H149" s="2">
        <f>SUMIFS(Timesheet!$F$13:$F$11483,Timesheet!$A$13:$A$11483,'Início|Fim 1'!E149,Timesheet!$C$13:$C$11483,'Início|Fim 1'!$H$2)</f>
        <v>0</v>
      </c>
      <c r="I149" s="2">
        <f>SUMIFS(Timesheet!$F$13:$F$11483,Timesheet!$A$13:$A$11483,'Início|Fim 1'!E149,Timesheet!$C$13:$C$11483,'Início|Fim 1'!$I$2)</f>
        <v>0</v>
      </c>
      <c r="J149" s="2">
        <f>SUMIFS(Timesheet!$F$13:$F$11483,Timesheet!$A$13:$A$11483,'Início|Fim 1'!E149,Timesheet!$C$13:$C$11483,'Início|Fim 1'!$J$2)</f>
        <v>0</v>
      </c>
      <c r="K149" s="2">
        <f>SUMIFS(Timesheet!$F$13:$F$11483,Timesheet!$A$13:$A$11483,'Início|Fim 1'!E149,Timesheet!$C$13:$C$11483,'Início|Fim 1'!$K$2)</f>
        <v>0</v>
      </c>
      <c r="L149" s="2">
        <f>SUMIFS(Timesheet!$F$13:$F$11483,Timesheet!$A$13:$A$11483,'Início|Fim 1'!E149,Timesheet!$C$13:$C$11483,'Início|Fim 1'!$L$2)</f>
        <v>0</v>
      </c>
      <c r="M149" s="2">
        <f>SUMIFS(Timesheet!$F$13:$F$11483,Timesheet!$A$13:$A$11483,'Início|Fim 1'!E149,Timesheet!$C$13:$C$11483,'Início|Fim 1'!$M$2)</f>
        <v>0</v>
      </c>
      <c r="N149" s="2">
        <f>SUMIFS(Timesheet!$F$13:$F$11483,Timesheet!$A$13:$A$11483,'Início|Fim 1'!E149,Timesheet!$C$13:$C$11483,'Início|Fim 1'!$N$2)</f>
        <v>0</v>
      </c>
      <c r="O149" s="2">
        <f t="shared" si="2"/>
        <v>0</v>
      </c>
    </row>
    <row r="150" spans="1:15" x14ac:dyDescent="0.25">
      <c r="A150" s="1">
        <v>45074</v>
      </c>
      <c r="B150" s="3">
        <f t="array" ref="B150">MIN(IF(A150=Timesheet!$A$13:$A$2615,Timesheet!$D$13:$D$2615))</f>
        <v>0</v>
      </c>
      <c r="C150" s="3">
        <f t="array" ref="C150">MAX(IF(A150=Timesheet!$A$13:$A$2615,Timesheet!$E$13:$E$2615))</f>
        <v>0</v>
      </c>
      <c r="E150" s="1">
        <v>45074</v>
      </c>
      <c r="F150" s="2">
        <f>SUMIFS(Timesheet!$F$13:$F$11483,Timesheet!$A$13:$A$11483,'Início|Fim 1'!E150,Timesheet!$C$13:$C$11483,'Início|Fim 1'!$F$2)</f>
        <v>0</v>
      </c>
      <c r="G150" s="2">
        <f>SUMIFS(Timesheet!$F$13:$F$11483,Timesheet!$A$13:$A$11483,'Início|Fim 1'!E150,Timesheet!$C$13:$C$11483,'Início|Fim 1'!$G$2)</f>
        <v>0</v>
      </c>
      <c r="H150" s="2">
        <f>SUMIFS(Timesheet!$F$13:$F$11483,Timesheet!$A$13:$A$11483,'Início|Fim 1'!E150,Timesheet!$C$13:$C$11483,'Início|Fim 1'!$H$2)</f>
        <v>0</v>
      </c>
      <c r="I150" s="2">
        <f>SUMIFS(Timesheet!$F$13:$F$11483,Timesheet!$A$13:$A$11483,'Início|Fim 1'!E150,Timesheet!$C$13:$C$11483,'Início|Fim 1'!$I$2)</f>
        <v>0</v>
      </c>
      <c r="J150" s="2">
        <f>SUMIFS(Timesheet!$F$13:$F$11483,Timesheet!$A$13:$A$11483,'Início|Fim 1'!E150,Timesheet!$C$13:$C$11483,'Início|Fim 1'!$J$2)</f>
        <v>0</v>
      </c>
      <c r="K150" s="2">
        <f>SUMIFS(Timesheet!$F$13:$F$11483,Timesheet!$A$13:$A$11483,'Início|Fim 1'!E150,Timesheet!$C$13:$C$11483,'Início|Fim 1'!$K$2)</f>
        <v>0</v>
      </c>
      <c r="L150" s="2">
        <f>SUMIFS(Timesheet!$F$13:$F$11483,Timesheet!$A$13:$A$11483,'Início|Fim 1'!E150,Timesheet!$C$13:$C$11483,'Início|Fim 1'!$L$2)</f>
        <v>0</v>
      </c>
      <c r="M150" s="2">
        <f>SUMIFS(Timesheet!$F$13:$F$11483,Timesheet!$A$13:$A$11483,'Início|Fim 1'!E150,Timesheet!$C$13:$C$11483,'Início|Fim 1'!$M$2)</f>
        <v>0</v>
      </c>
      <c r="N150" s="2">
        <f>SUMIFS(Timesheet!$F$13:$F$11483,Timesheet!$A$13:$A$11483,'Início|Fim 1'!E150,Timesheet!$C$13:$C$11483,'Início|Fim 1'!$N$2)</f>
        <v>0</v>
      </c>
      <c r="O150" s="2">
        <f t="shared" si="2"/>
        <v>0</v>
      </c>
    </row>
    <row r="151" spans="1:15" x14ac:dyDescent="0.25">
      <c r="A151" s="1">
        <v>45075</v>
      </c>
      <c r="B151" s="3">
        <f t="array" ref="B151">MIN(IF(A151=Timesheet!$A$13:$A$2615,Timesheet!$D$13:$D$2615))</f>
        <v>0</v>
      </c>
      <c r="C151" s="3">
        <f t="array" ref="C151">MAX(IF(A151=Timesheet!$A$13:$A$2615,Timesheet!$E$13:$E$2615))</f>
        <v>0</v>
      </c>
      <c r="E151" s="1">
        <v>45075</v>
      </c>
      <c r="F151" s="2">
        <f>SUMIFS(Timesheet!$F$13:$F$11483,Timesheet!$A$13:$A$11483,'Início|Fim 1'!E151,Timesheet!$C$13:$C$11483,'Início|Fim 1'!$F$2)</f>
        <v>0</v>
      </c>
      <c r="G151" s="2">
        <f>SUMIFS(Timesheet!$F$13:$F$11483,Timesheet!$A$13:$A$11483,'Início|Fim 1'!E151,Timesheet!$C$13:$C$11483,'Início|Fim 1'!$G$2)</f>
        <v>0</v>
      </c>
      <c r="H151" s="2">
        <f>SUMIFS(Timesheet!$F$13:$F$11483,Timesheet!$A$13:$A$11483,'Início|Fim 1'!E151,Timesheet!$C$13:$C$11483,'Início|Fim 1'!$H$2)</f>
        <v>0</v>
      </c>
      <c r="I151" s="2">
        <f>SUMIFS(Timesheet!$F$13:$F$11483,Timesheet!$A$13:$A$11483,'Início|Fim 1'!E151,Timesheet!$C$13:$C$11483,'Início|Fim 1'!$I$2)</f>
        <v>0</v>
      </c>
      <c r="J151" s="2">
        <f>SUMIFS(Timesheet!$F$13:$F$11483,Timesheet!$A$13:$A$11483,'Início|Fim 1'!E151,Timesheet!$C$13:$C$11483,'Início|Fim 1'!$J$2)</f>
        <v>0</v>
      </c>
      <c r="K151" s="2">
        <f>SUMIFS(Timesheet!$F$13:$F$11483,Timesheet!$A$13:$A$11483,'Início|Fim 1'!E151,Timesheet!$C$13:$C$11483,'Início|Fim 1'!$K$2)</f>
        <v>0</v>
      </c>
      <c r="L151" s="2">
        <f>SUMIFS(Timesheet!$F$13:$F$11483,Timesheet!$A$13:$A$11483,'Início|Fim 1'!E151,Timesheet!$C$13:$C$11483,'Início|Fim 1'!$L$2)</f>
        <v>0</v>
      </c>
      <c r="M151" s="2">
        <f>SUMIFS(Timesheet!$F$13:$F$11483,Timesheet!$A$13:$A$11483,'Início|Fim 1'!E151,Timesheet!$C$13:$C$11483,'Início|Fim 1'!$M$2)</f>
        <v>0</v>
      </c>
      <c r="N151" s="2">
        <f>SUMIFS(Timesheet!$F$13:$F$11483,Timesheet!$A$13:$A$11483,'Início|Fim 1'!E151,Timesheet!$C$13:$C$11483,'Início|Fim 1'!$N$2)</f>
        <v>0</v>
      </c>
      <c r="O151" s="2">
        <f t="shared" si="2"/>
        <v>0</v>
      </c>
    </row>
    <row r="152" spans="1:15" x14ac:dyDescent="0.25">
      <c r="A152" s="1">
        <v>45076</v>
      </c>
      <c r="B152" s="3">
        <f t="array" ref="B152">MIN(IF(A152=Timesheet!$A$13:$A$2615,Timesheet!$D$13:$D$2615))</f>
        <v>0</v>
      </c>
      <c r="C152" s="3">
        <f t="array" ref="C152">MAX(IF(A152=Timesheet!$A$13:$A$2615,Timesheet!$E$13:$E$2615))</f>
        <v>0</v>
      </c>
      <c r="E152" s="1">
        <v>45076</v>
      </c>
      <c r="F152" s="2">
        <f>SUMIFS(Timesheet!$F$13:$F$11483,Timesheet!$A$13:$A$11483,'Início|Fim 1'!E152,Timesheet!$C$13:$C$11483,'Início|Fim 1'!$F$2)</f>
        <v>0</v>
      </c>
      <c r="G152" s="2">
        <f>SUMIFS(Timesheet!$F$13:$F$11483,Timesheet!$A$13:$A$11483,'Início|Fim 1'!E152,Timesheet!$C$13:$C$11483,'Início|Fim 1'!$G$2)</f>
        <v>0</v>
      </c>
      <c r="H152" s="2">
        <f>SUMIFS(Timesheet!$F$13:$F$11483,Timesheet!$A$13:$A$11483,'Início|Fim 1'!E152,Timesheet!$C$13:$C$11483,'Início|Fim 1'!$H$2)</f>
        <v>0</v>
      </c>
      <c r="I152" s="2">
        <f>SUMIFS(Timesheet!$F$13:$F$11483,Timesheet!$A$13:$A$11483,'Início|Fim 1'!E152,Timesheet!$C$13:$C$11483,'Início|Fim 1'!$I$2)</f>
        <v>0</v>
      </c>
      <c r="J152" s="2">
        <f>SUMIFS(Timesheet!$F$13:$F$11483,Timesheet!$A$13:$A$11483,'Início|Fim 1'!E152,Timesheet!$C$13:$C$11483,'Início|Fim 1'!$J$2)</f>
        <v>0</v>
      </c>
      <c r="K152" s="2">
        <f>SUMIFS(Timesheet!$F$13:$F$11483,Timesheet!$A$13:$A$11483,'Início|Fim 1'!E152,Timesheet!$C$13:$C$11483,'Início|Fim 1'!$K$2)</f>
        <v>0</v>
      </c>
      <c r="L152" s="2">
        <f>SUMIFS(Timesheet!$F$13:$F$11483,Timesheet!$A$13:$A$11483,'Início|Fim 1'!E152,Timesheet!$C$13:$C$11483,'Início|Fim 1'!$L$2)</f>
        <v>0</v>
      </c>
      <c r="M152" s="2">
        <f>SUMIFS(Timesheet!$F$13:$F$11483,Timesheet!$A$13:$A$11483,'Início|Fim 1'!E152,Timesheet!$C$13:$C$11483,'Início|Fim 1'!$M$2)</f>
        <v>0</v>
      </c>
      <c r="N152" s="2">
        <f>SUMIFS(Timesheet!$F$13:$F$11483,Timesheet!$A$13:$A$11483,'Início|Fim 1'!E152,Timesheet!$C$13:$C$11483,'Início|Fim 1'!$N$2)</f>
        <v>0</v>
      </c>
      <c r="O152" s="2">
        <f t="shared" si="2"/>
        <v>0</v>
      </c>
    </row>
    <row r="153" spans="1:15" x14ac:dyDescent="0.25">
      <c r="A153" s="1">
        <v>45077</v>
      </c>
      <c r="B153" s="3">
        <f t="array" ref="B153">MIN(IF(A153=Timesheet!$A$13:$A$2615,Timesheet!$D$13:$D$2615))</f>
        <v>0</v>
      </c>
      <c r="C153" s="3">
        <f t="array" ref="C153">MAX(IF(A153=Timesheet!$A$13:$A$2615,Timesheet!$E$13:$E$2615))</f>
        <v>0</v>
      </c>
      <c r="E153" s="1">
        <v>45077</v>
      </c>
      <c r="F153" s="2">
        <f>SUMIFS(Timesheet!$F$13:$F$11483,Timesheet!$A$13:$A$11483,'Início|Fim 1'!E153,Timesheet!$C$13:$C$11483,'Início|Fim 1'!$F$2)</f>
        <v>0</v>
      </c>
      <c r="G153" s="2">
        <f>SUMIFS(Timesheet!$F$13:$F$11483,Timesheet!$A$13:$A$11483,'Início|Fim 1'!E153,Timesheet!$C$13:$C$11483,'Início|Fim 1'!$G$2)</f>
        <v>0</v>
      </c>
      <c r="H153" s="2">
        <f>SUMIFS(Timesheet!$F$13:$F$11483,Timesheet!$A$13:$A$11483,'Início|Fim 1'!E153,Timesheet!$C$13:$C$11483,'Início|Fim 1'!$H$2)</f>
        <v>0</v>
      </c>
      <c r="I153" s="2">
        <f>SUMIFS(Timesheet!$F$13:$F$11483,Timesheet!$A$13:$A$11483,'Início|Fim 1'!E153,Timesheet!$C$13:$C$11483,'Início|Fim 1'!$I$2)</f>
        <v>0</v>
      </c>
      <c r="J153" s="2">
        <f>SUMIFS(Timesheet!$F$13:$F$11483,Timesheet!$A$13:$A$11483,'Início|Fim 1'!E153,Timesheet!$C$13:$C$11483,'Início|Fim 1'!$J$2)</f>
        <v>0</v>
      </c>
      <c r="K153" s="2">
        <f>SUMIFS(Timesheet!$F$13:$F$11483,Timesheet!$A$13:$A$11483,'Início|Fim 1'!E153,Timesheet!$C$13:$C$11483,'Início|Fim 1'!$K$2)</f>
        <v>0</v>
      </c>
      <c r="L153" s="2">
        <f>SUMIFS(Timesheet!$F$13:$F$11483,Timesheet!$A$13:$A$11483,'Início|Fim 1'!E153,Timesheet!$C$13:$C$11483,'Início|Fim 1'!$L$2)</f>
        <v>0</v>
      </c>
      <c r="M153" s="2">
        <f>SUMIFS(Timesheet!$F$13:$F$11483,Timesheet!$A$13:$A$11483,'Início|Fim 1'!E153,Timesheet!$C$13:$C$11483,'Início|Fim 1'!$M$2)</f>
        <v>0</v>
      </c>
      <c r="N153" s="2">
        <f>SUMIFS(Timesheet!$F$13:$F$11483,Timesheet!$A$13:$A$11483,'Início|Fim 1'!E153,Timesheet!$C$13:$C$11483,'Início|Fim 1'!$N$2)</f>
        <v>0</v>
      </c>
      <c r="O153" s="2">
        <f t="shared" si="2"/>
        <v>0</v>
      </c>
    </row>
    <row r="154" spans="1:15" x14ac:dyDescent="0.25">
      <c r="A154" s="1">
        <v>45078</v>
      </c>
      <c r="B154" s="3">
        <f t="array" ref="B154">MIN(IF(A154=Timesheet!$A$13:$A$2615,Timesheet!$D$13:$D$2615))</f>
        <v>0</v>
      </c>
      <c r="C154" s="3">
        <f t="array" ref="C154">MAX(IF(A154=Timesheet!$A$13:$A$2615,Timesheet!$E$13:$E$2615))</f>
        <v>0</v>
      </c>
      <c r="E154" s="1">
        <v>45078</v>
      </c>
      <c r="F154" s="2">
        <f>SUMIFS(Timesheet!$F$13:$F$11483,Timesheet!$A$13:$A$11483,'Início|Fim 1'!E154,Timesheet!$C$13:$C$11483,'Início|Fim 1'!$F$2)</f>
        <v>0</v>
      </c>
      <c r="G154" s="2">
        <f>SUMIFS(Timesheet!$F$13:$F$11483,Timesheet!$A$13:$A$11483,'Início|Fim 1'!E154,Timesheet!$C$13:$C$11483,'Início|Fim 1'!$G$2)</f>
        <v>0</v>
      </c>
      <c r="H154" s="2">
        <f>SUMIFS(Timesheet!$F$13:$F$11483,Timesheet!$A$13:$A$11483,'Início|Fim 1'!E154,Timesheet!$C$13:$C$11483,'Início|Fim 1'!$H$2)</f>
        <v>0</v>
      </c>
      <c r="I154" s="2">
        <f>SUMIFS(Timesheet!$F$13:$F$11483,Timesheet!$A$13:$A$11483,'Início|Fim 1'!E154,Timesheet!$C$13:$C$11483,'Início|Fim 1'!$I$2)</f>
        <v>0</v>
      </c>
      <c r="J154" s="2">
        <f>SUMIFS(Timesheet!$F$13:$F$11483,Timesheet!$A$13:$A$11483,'Início|Fim 1'!E154,Timesheet!$C$13:$C$11483,'Início|Fim 1'!$J$2)</f>
        <v>0</v>
      </c>
      <c r="K154" s="2">
        <f>SUMIFS(Timesheet!$F$13:$F$11483,Timesheet!$A$13:$A$11483,'Início|Fim 1'!E154,Timesheet!$C$13:$C$11483,'Início|Fim 1'!$K$2)</f>
        <v>0</v>
      </c>
      <c r="L154" s="2">
        <f>SUMIFS(Timesheet!$F$13:$F$11483,Timesheet!$A$13:$A$11483,'Início|Fim 1'!E154,Timesheet!$C$13:$C$11483,'Início|Fim 1'!$L$2)</f>
        <v>0</v>
      </c>
      <c r="M154" s="2">
        <f>SUMIFS(Timesheet!$F$13:$F$11483,Timesheet!$A$13:$A$11483,'Início|Fim 1'!E154,Timesheet!$C$13:$C$11483,'Início|Fim 1'!$M$2)</f>
        <v>0</v>
      </c>
      <c r="N154" s="2">
        <f>SUMIFS(Timesheet!$F$13:$F$11483,Timesheet!$A$13:$A$11483,'Início|Fim 1'!E154,Timesheet!$C$13:$C$11483,'Início|Fim 1'!$N$2)</f>
        <v>0</v>
      </c>
      <c r="O154" s="2">
        <f t="shared" si="2"/>
        <v>0</v>
      </c>
    </row>
    <row r="155" spans="1:15" x14ac:dyDescent="0.25">
      <c r="A155" s="1">
        <v>45079</v>
      </c>
      <c r="B155" s="3">
        <f t="array" ref="B155">MIN(IF(A155=Timesheet!$A$13:$A$2615,Timesheet!$D$13:$D$2615))</f>
        <v>0</v>
      </c>
      <c r="C155" s="3">
        <f t="array" ref="C155">MAX(IF(A155=Timesheet!$A$13:$A$2615,Timesheet!$E$13:$E$2615))</f>
        <v>0</v>
      </c>
      <c r="E155" s="1">
        <v>45079</v>
      </c>
      <c r="F155" s="2">
        <f>SUMIFS(Timesheet!$F$13:$F$11483,Timesheet!$A$13:$A$11483,'Início|Fim 1'!E155,Timesheet!$C$13:$C$11483,'Início|Fim 1'!$F$2)</f>
        <v>0</v>
      </c>
      <c r="G155" s="2">
        <f>SUMIFS(Timesheet!$F$13:$F$11483,Timesheet!$A$13:$A$11483,'Início|Fim 1'!E155,Timesheet!$C$13:$C$11483,'Início|Fim 1'!$G$2)</f>
        <v>0</v>
      </c>
      <c r="H155" s="2">
        <f>SUMIFS(Timesheet!$F$13:$F$11483,Timesheet!$A$13:$A$11483,'Início|Fim 1'!E155,Timesheet!$C$13:$C$11483,'Início|Fim 1'!$H$2)</f>
        <v>0</v>
      </c>
      <c r="I155" s="2">
        <f>SUMIFS(Timesheet!$F$13:$F$11483,Timesheet!$A$13:$A$11483,'Início|Fim 1'!E155,Timesheet!$C$13:$C$11483,'Início|Fim 1'!$I$2)</f>
        <v>0</v>
      </c>
      <c r="J155" s="2">
        <f>SUMIFS(Timesheet!$F$13:$F$11483,Timesheet!$A$13:$A$11483,'Início|Fim 1'!E155,Timesheet!$C$13:$C$11483,'Início|Fim 1'!$J$2)</f>
        <v>0</v>
      </c>
      <c r="K155" s="2">
        <f>SUMIFS(Timesheet!$F$13:$F$11483,Timesheet!$A$13:$A$11483,'Início|Fim 1'!E155,Timesheet!$C$13:$C$11483,'Início|Fim 1'!$K$2)</f>
        <v>0</v>
      </c>
      <c r="L155" s="2">
        <f>SUMIFS(Timesheet!$F$13:$F$11483,Timesheet!$A$13:$A$11483,'Início|Fim 1'!E155,Timesheet!$C$13:$C$11483,'Início|Fim 1'!$L$2)</f>
        <v>0</v>
      </c>
      <c r="M155" s="2">
        <f>SUMIFS(Timesheet!$F$13:$F$11483,Timesheet!$A$13:$A$11483,'Início|Fim 1'!E155,Timesheet!$C$13:$C$11483,'Início|Fim 1'!$M$2)</f>
        <v>0</v>
      </c>
      <c r="N155" s="2">
        <f>SUMIFS(Timesheet!$F$13:$F$11483,Timesheet!$A$13:$A$11483,'Início|Fim 1'!E155,Timesheet!$C$13:$C$11483,'Início|Fim 1'!$N$2)</f>
        <v>0</v>
      </c>
      <c r="O155" s="2">
        <f t="shared" si="2"/>
        <v>0</v>
      </c>
    </row>
    <row r="156" spans="1:15" x14ac:dyDescent="0.25">
      <c r="A156" s="1">
        <v>45080</v>
      </c>
      <c r="B156" s="3">
        <f t="array" ref="B156">MIN(IF(A156=Timesheet!$A$13:$A$2615,Timesheet!$D$13:$D$2615))</f>
        <v>0</v>
      </c>
      <c r="C156" s="3">
        <f t="array" ref="C156">MAX(IF(A156=Timesheet!$A$13:$A$2615,Timesheet!$E$13:$E$2615))</f>
        <v>0</v>
      </c>
      <c r="E156" s="1">
        <v>45080</v>
      </c>
      <c r="F156" s="2">
        <f>SUMIFS(Timesheet!$F$13:$F$11483,Timesheet!$A$13:$A$11483,'Início|Fim 1'!E156,Timesheet!$C$13:$C$11483,'Início|Fim 1'!$F$2)</f>
        <v>0</v>
      </c>
      <c r="G156" s="2">
        <f>SUMIFS(Timesheet!$F$13:$F$11483,Timesheet!$A$13:$A$11483,'Início|Fim 1'!E156,Timesheet!$C$13:$C$11483,'Início|Fim 1'!$G$2)</f>
        <v>0</v>
      </c>
      <c r="H156" s="2">
        <f>SUMIFS(Timesheet!$F$13:$F$11483,Timesheet!$A$13:$A$11483,'Início|Fim 1'!E156,Timesheet!$C$13:$C$11483,'Início|Fim 1'!$H$2)</f>
        <v>0</v>
      </c>
      <c r="I156" s="2">
        <f>SUMIFS(Timesheet!$F$13:$F$11483,Timesheet!$A$13:$A$11483,'Início|Fim 1'!E156,Timesheet!$C$13:$C$11483,'Início|Fim 1'!$I$2)</f>
        <v>0</v>
      </c>
      <c r="J156" s="2">
        <f>SUMIFS(Timesheet!$F$13:$F$11483,Timesheet!$A$13:$A$11483,'Início|Fim 1'!E156,Timesheet!$C$13:$C$11483,'Início|Fim 1'!$J$2)</f>
        <v>0</v>
      </c>
      <c r="K156" s="2">
        <f>SUMIFS(Timesheet!$F$13:$F$11483,Timesheet!$A$13:$A$11483,'Início|Fim 1'!E156,Timesheet!$C$13:$C$11483,'Início|Fim 1'!$K$2)</f>
        <v>0</v>
      </c>
      <c r="L156" s="2">
        <f>SUMIFS(Timesheet!$F$13:$F$11483,Timesheet!$A$13:$A$11483,'Início|Fim 1'!E156,Timesheet!$C$13:$C$11483,'Início|Fim 1'!$L$2)</f>
        <v>0</v>
      </c>
      <c r="M156" s="2">
        <f>SUMIFS(Timesheet!$F$13:$F$11483,Timesheet!$A$13:$A$11483,'Início|Fim 1'!E156,Timesheet!$C$13:$C$11483,'Início|Fim 1'!$M$2)</f>
        <v>0</v>
      </c>
      <c r="N156" s="2">
        <f>SUMIFS(Timesheet!$F$13:$F$11483,Timesheet!$A$13:$A$11483,'Início|Fim 1'!E156,Timesheet!$C$13:$C$11483,'Início|Fim 1'!$N$2)</f>
        <v>0</v>
      </c>
      <c r="O156" s="2">
        <f t="shared" si="2"/>
        <v>0</v>
      </c>
    </row>
    <row r="157" spans="1:15" x14ac:dyDescent="0.25">
      <c r="A157" s="1">
        <v>45081</v>
      </c>
      <c r="B157" s="3">
        <f t="array" ref="B157">MIN(IF(A157=Timesheet!$A$13:$A$2615,Timesheet!$D$13:$D$2615))</f>
        <v>0</v>
      </c>
      <c r="C157" s="3">
        <f t="array" ref="C157">MAX(IF(A157=Timesheet!$A$13:$A$2615,Timesheet!$E$13:$E$2615))</f>
        <v>0</v>
      </c>
      <c r="E157" s="1">
        <v>45081</v>
      </c>
      <c r="F157" s="2">
        <f>SUMIFS(Timesheet!$F$13:$F$11483,Timesheet!$A$13:$A$11483,'Início|Fim 1'!E157,Timesheet!$C$13:$C$11483,'Início|Fim 1'!$F$2)</f>
        <v>0</v>
      </c>
      <c r="G157" s="2">
        <f>SUMIFS(Timesheet!$F$13:$F$11483,Timesheet!$A$13:$A$11483,'Início|Fim 1'!E157,Timesheet!$C$13:$C$11483,'Início|Fim 1'!$G$2)</f>
        <v>0</v>
      </c>
      <c r="H157" s="2">
        <f>SUMIFS(Timesheet!$F$13:$F$11483,Timesheet!$A$13:$A$11483,'Início|Fim 1'!E157,Timesheet!$C$13:$C$11483,'Início|Fim 1'!$H$2)</f>
        <v>0</v>
      </c>
      <c r="I157" s="2">
        <f>SUMIFS(Timesheet!$F$13:$F$11483,Timesheet!$A$13:$A$11483,'Início|Fim 1'!E157,Timesheet!$C$13:$C$11483,'Início|Fim 1'!$I$2)</f>
        <v>0</v>
      </c>
      <c r="J157" s="2">
        <f>SUMIFS(Timesheet!$F$13:$F$11483,Timesheet!$A$13:$A$11483,'Início|Fim 1'!E157,Timesheet!$C$13:$C$11483,'Início|Fim 1'!$J$2)</f>
        <v>0</v>
      </c>
      <c r="K157" s="2">
        <f>SUMIFS(Timesheet!$F$13:$F$11483,Timesheet!$A$13:$A$11483,'Início|Fim 1'!E157,Timesheet!$C$13:$C$11483,'Início|Fim 1'!$K$2)</f>
        <v>0</v>
      </c>
      <c r="L157" s="2">
        <f>SUMIFS(Timesheet!$F$13:$F$11483,Timesheet!$A$13:$A$11483,'Início|Fim 1'!E157,Timesheet!$C$13:$C$11483,'Início|Fim 1'!$L$2)</f>
        <v>0</v>
      </c>
      <c r="M157" s="2">
        <f>SUMIFS(Timesheet!$F$13:$F$11483,Timesheet!$A$13:$A$11483,'Início|Fim 1'!E157,Timesheet!$C$13:$C$11483,'Início|Fim 1'!$M$2)</f>
        <v>0</v>
      </c>
      <c r="N157" s="2">
        <f>SUMIFS(Timesheet!$F$13:$F$11483,Timesheet!$A$13:$A$11483,'Início|Fim 1'!E157,Timesheet!$C$13:$C$11483,'Início|Fim 1'!$N$2)</f>
        <v>0</v>
      </c>
      <c r="O157" s="2">
        <f t="shared" si="2"/>
        <v>0</v>
      </c>
    </row>
    <row r="158" spans="1:15" x14ac:dyDescent="0.25">
      <c r="A158" s="1">
        <v>45082</v>
      </c>
      <c r="B158" s="3">
        <f t="array" ref="B158">MIN(IF(A158=Timesheet!$A$13:$A$2615,Timesheet!$D$13:$D$2615))</f>
        <v>0</v>
      </c>
      <c r="C158" s="3">
        <f t="array" ref="C158">MAX(IF(A158=Timesheet!$A$13:$A$2615,Timesheet!$E$13:$E$2615))</f>
        <v>0</v>
      </c>
      <c r="E158" s="1">
        <v>45082</v>
      </c>
      <c r="F158" s="2">
        <f>SUMIFS(Timesheet!$F$13:$F$11483,Timesheet!$A$13:$A$11483,'Início|Fim 1'!E158,Timesheet!$C$13:$C$11483,'Início|Fim 1'!$F$2)</f>
        <v>0</v>
      </c>
      <c r="G158" s="2">
        <f>SUMIFS(Timesheet!$F$13:$F$11483,Timesheet!$A$13:$A$11483,'Início|Fim 1'!E158,Timesheet!$C$13:$C$11483,'Início|Fim 1'!$G$2)</f>
        <v>0</v>
      </c>
      <c r="H158" s="2">
        <f>SUMIFS(Timesheet!$F$13:$F$11483,Timesheet!$A$13:$A$11483,'Início|Fim 1'!E158,Timesheet!$C$13:$C$11483,'Início|Fim 1'!$H$2)</f>
        <v>0</v>
      </c>
      <c r="I158" s="2">
        <f>SUMIFS(Timesheet!$F$13:$F$11483,Timesheet!$A$13:$A$11483,'Início|Fim 1'!E158,Timesheet!$C$13:$C$11483,'Início|Fim 1'!$I$2)</f>
        <v>0</v>
      </c>
      <c r="J158" s="2">
        <f>SUMIFS(Timesheet!$F$13:$F$11483,Timesheet!$A$13:$A$11483,'Início|Fim 1'!E158,Timesheet!$C$13:$C$11483,'Início|Fim 1'!$J$2)</f>
        <v>0</v>
      </c>
      <c r="K158" s="2">
        <f>SUMIFS(Timesheet!$F$13:$F$11483,Timesheet!$A$13:$A$11483,'Início|Fim 1'!E158,Timesheet!$C$13:$C$11483,'Início|Fim 1'!$K$2)</f>
        <v>0</v>
      </c>
      <c r="L158" s="2">
        <f>SUMIFS(Timesheet!$F$13:$F$11483,Timesheet!$A$13:$A$11483,'Início|Fim 1'!E158,Timesheet!$C$13:$C$11483,'Início|Fim 1'!$L$2)</f>
        <v>0</v>
      </c>
      <c r="M158" s="2">
        <f>SUMIFS(Timesheet!$F$13:$F$11483,Timesheet!$A$13:$A$11483,'Início|Fim 1'!E158,Timesheet!$C$13:$C$11483,'Início|Fim 1'!$M$2)</f>
        <v>0</v>
      </c>
      <c r="N158" s="2">
        <f>SUMIFS(Timesheet!$F$13:$F$11483,Timesheet!$A$13:$A$11483,'Início|Fim 1'!E158,Timesheet!$C$13:$C$11483,'Início|Fim 1'!$N$2)</f>
        <v>0</v>
      </c>
      <c r="O158" s="2">
        <f t="shared" si="2"/>
        <v>0</v>
      </c>
    </row>
    <row r="159" spans="1:15" x14ac:dyDescent="0.25">
      <c r="A159" s="1">
        <v>45083</v>
      </c>
      <c r="B159" s="3">
        <f t="array" ref="B159">MIN(IF(A159=Timesheet!$A$13:$A$2615,Timesheet!$D$13:$D$2615))</f>
        <v>0</v>
      </c>
      <c r="C159" s="3">
        <f t="array" ref="C159">MAX(IF(A159=Timesheet!$A$13:$A$2615,Timesheet!$E$13:$E$2615))</f>
        <v>0</v>
      </c>
      <c r="E159" s="1">
        <v>45083</v>
      </c>
      <c r="F159" s="2">
        <f>SUMIFS(Timesheet!$F$13:$F$11483,Timesheet!$A$13:$A$11483,'Início|Fim 1'!E159,Timesheet!$C$13:$C$11483,'Início|Fim 1'!$F$2)</f>
        <v>0</v>
      </c>
      <c r="G159" s="2">
        <f>SUMIFS(Timesheet!$F$13:$F$11483,Timesheet!$A$13:$A$11483,'Início|Fim 1'!E159,Timesheet!$C$13:$C$11483,'Início|Fim 1'!$G$2)</f>
        <v>0</v>
      </c>
      <c r="H159" s="2">
        <f>SUMIFS(Timesheet!$F$13:$F$11483,Timesheet!$A$13:$A$11483,'Início|Fim 1'!E159,Timesheet!$C$13:$C$11483,'Início|Fim 1'!$H$2)</f>
        <v>0</v>
      </c>
      <c r="I159" s="2">
        <f>SUMIFS(Timesheet!$F$13:$F$11483,Timesheet!$A$13:$A$11483,'Início|Fim 1'!E159,Timesheet!$C$13:$C$11483,'Início|Fim 1'!$I$2)</f>
        <v>0</v>
      </c>
      <c r="J159" s="2">
        <f>SUMIFS(Timesheet!$F$13:$F$11483,Timesheet!$A$13:$A$11483,'Início|Fim 1'!E159,Timesheet!$C$13:$C$11483,'Início|Fim 1'!$J$2)</f>
        <v>0</v>
      </c>
      <c r="K159" s="2">
        <f>SUMIFS(Timesheet!$F$13:$F$11483,Timesheet!$A$13:$A$11483,'Início|Fim 1'!E159,Timesheet!$C$13:$C$11483,'Início|Fim 1'!$K$2)</f>
        <v>0</v>
      </c>
      <c r="L159" s="2">
        <f>SUMIFS(Timesheet!$F$13:$F$11483,Timesheet!$A$13:$A$11483,'Início|Fim 1'!E159,Timesheet!$C$13:$C$11483,'Início|Fim 1'!$L$2)</f>
        <v>0</v>
      </c>
      <c r="M159" s="2">
        <f>SUMIFS(Timesheet!$F$13:$F$11483,Timesheet!$A$13:$A$11483,'Início|Fim 1'!E159,Timesheet!$C$13:$C$11483,'Início|Fim 1'!$M$2)</f>
        <v>0</v>
      </c>
      <c r="N159" s="2">
        <f>SUMIFS(Timesheet!$F$13:$F$11483,Timesheet!$A$13:$A$11483,'Início|Fim 1'!E159,Timesheet!$C$13:$C$11483,'Início|Fim 1'!$N$2)</f>
        <v>0</v>
      </c>
      <c r="O159" s="2">
        <f t="shared" si="2"/>
        <v>0</v>
      </c>
    </row>
    <row r="160" spans="1:15" x14ac:dyDescent="0.25">
      <c r="A160" s="1">
        <v>45084</v>
      </c>
      <c r="B160" s="3">
        <f t="array" ref="B160">MIN(IF(A160=Timesheet!$A$13:$A$2615,Timesheet!$D$13:$D$2615))</f>
        <v>0</v>
      </c>
      <c r="C160" s="3">
        <f t="array" ref="C160">MAX(IF(A160=Timesheet!$A$13:$A$2615,Timesheet!$E$13:$E$2615))</f>
        <v>0</v>
      </c>
      <c r="E160" s="1">
        <v>45084</v>
      </c>
      <c r="F160" s="2">
        <f>SUMIFS(Timesheet!$F$13:$F$11483,Timesheet!$A$13:$A$11483,'Início|Fim 1'!E160,Timesheet!$C$13:$C$11483,'Início|Fim 1'!$F$2)</f>
        <v>0</v>
      </c>
      <c r="G160" s="2">
        <f>SUMIFS(Timesheet!$F$13:$F$11483,Timesheet!$A$13:$A$11483,'Início|Fim 1'!E160,Timesheet!$C$13:$C$11483,'Início|Fim 1'!$G$2)</f>
        <v>0</v>
      </c>
      <c r="H160" s="2">
        <f>SUMIFS(Timesheet!$F$13:$F$11483,Timesheet!$A$13:$A$11483,'Início|Fim 1'!E160,Timesheet!$C$13:$C$11483,'Início|Fim 1'!$H$2)</f>
        <v>0</v>
      </c>
      <c r="I160" s="2">
        <f>SUMIFS(Timesheet!$F$13:$F$11483,Timesheet!$A$13:$A$11483,'Início|Fim 1'!E160,Timesheet!$C$13:$C$11483,'Início|Fim 1'!$I$2)</f>
        <v>0</v>
      </c>
      <c r="J160" s="2">
        <f>SUMIFS(Timesheet!$F$13:$F$11483,Timesheet!$A$13:$A$11483,'Início|Fim 1'!E160,Timesheet!$C$13:$C$11483,'Início|Fim 1'!$J$2)</f>
        <v>0</v>
      </c>
      <c r="K160" s="2">
        <f>SUMIFS(Timesheet!$F$13:$F$11483,Timesheet!$A$13:$A$11483,'Início|Fim 1'!E160,Timesheet!$C$13:$C$11483,'Início|Fim 1'!$K$2)</f>
        <v>0</v>
      </c>
      <c r="L160" s="2">
        <f>SUMIFS(Timesheet!$F$13:$F$11483,Timesheet!$A$13:$A$11483,'Início|Fim 1'!E160,Timesheet!$C$13:$C$11483,'Início|Fim 1'!$L$2)</f>
        <v>0</v>
      </c>
      <c r="M160" s="2">
        <f>SUMIFS(Timesheet!$F$13:$F$11483,Timesheet!$A$13:$A$11483,'Início|Fim 1'!E160,Timesheet!$C$13:$C$11483,'Início|Fim 1'!$M$2)</f>
        <v>0</v>
      </c>
      <c r="N160" s="2">
        <f>SUMIFS(Timesheet!$F$13:$F$11483,Timesheet!$A$13:$A$11483,'Início|Fim 1'!E160,Timesheet!$C$13:$C$11483,'Início|Fim 1'!$N$2)</f>
        <v>0</v>
      </c>
      <c r="O160" s="2">
        <f t="shared" si="2"/>
        <v>0</v>
      </c>
    </row>
    <row r="161" spans="1:15" x14ac:dyDescent="0.25">
      <c r="A161" s="1">
        <v>45085</v>
      </c>
      <c r="B161" s="3">
        <f t="array" ref="B161">MIN(IF(A161=Timesheet!$A$13:$A$2615,Timesheet!$D$13:$D$2615))</f>
        <v>0</v>
      </c>
      <c r="C161" s="3">
        <f t="array" ref="C161">MAX(IF(A161=Timesheet!$A$13:$A$2615,Timesheet!$E$13:$E$2615))</f>
        <v>0</v>
      </c>
      <c r="E161" s="1">
        <v>45085</v>
      </c>
      <c r="F161" s="2">
        <f>SUMIFS(Timesheet!$F$13:$F$11483,Timesheet!$A$13:$A$11483,'Início|Fim 1'!E161,Timesheet!$C$13:$C$11483,'Início|Fim 1'!$F$2)</f>
        <v>0</v>
      </c>
      <c r="G161" s="2">
        <f>SUMIFS(Timesheet!$F$13:$F$11483,Timesheet!$A$13:$A$11483,'Início|Fim 1'!E161,Timesheet!$C$13:$C$11483,'Início|Fim 1'!$G$2)</f>
        <v>0</v>
      </c>
      <c r="H161" s="2">
        <f>SUMIFS(Timesheet!$F$13:$F$11483,Timesheet!$A$13:$A$11483,'Início|Fim 1'!E161,Timesheet!$C$13:$C$11483,'Início|Fim 1'!$H$2)</f>
        <v>0</v>
      </c>
      <c r="I161" s="2">
        <f>SUMIFS(Timesheet!$F$13:$F$11483,Timesheet!$A$13:$A$11483,'Início|Fim 1'!E161,Timesheet!$C$13:$C$11483,'Início|Fim 1'!$I$2)</f>
        <v>0</v>
      </c>
      <c r="J161" s="2">
        <f>SUMIFS(Timesheet!$F$13:$F$11483,Timesheet!$A$13:$A$11483,'Início|Fim 1'!E161,Timesheet!$C$13:$C$11483,'Início|Fim 1'!$J$2)</f>
        <v>0</v>
      </c>
      <c r="K161" s="2">
        <f>SUMIFS(Timesheet!$F$13:$F$11483,Timesheet!$A$13:$A$11483,'Início|Fim 1'!E161,Timesheet!$C$13:$C$11483,'Início|Fim 1'!$K$2)</f>
        <v>0</v>
      </c>
      <c r="L161" s="2">
        <f>SUMIFS(Timesheet!$F$13:$F$11483,Timesheet!$A$13:$A$11483,'Início|Fim 1'!E161,Timesheet!$C$13:$C$11483,'Início|Fim 1'!$L$2)</f>
        <v>0</v>
      </c>
      <c r="M161" s="2">
        <f>SUMIFS(Timesheet!$F$13:$F$11483,Timesheet!$A$13:$A$11483,'Início|Fim 1'!E161,Timesheet!$C$13:$C$11483,'Início|Fim 1'!$M$2)</f>
        <v>0</v>
      </c>
      <c r="N161" s="2">
        <f>SUMIFS(Timesheet!$F$13:$F$11483,Timesheet!$A$13:$A$11483,'Início|Fim 1'!E161,Timesheet!$C$13:$C$11483,'Início|Fim 1'!$N$2)</f>
        <v>0</v>
      </c>
      <c r="O161" s="2">
        <f t="shared" si="2"/>
        <v>0</v>
      </c>
    </row>
    <row r="162" spans="1:15" x14ac:dyDescent="0.25">
      <c r="A162" s="1">
        <v>45086</v>
      </c>
      <c r="B162" s="3">
        <f t="array" ref="B162">MIN(IF(A162=Timesheet!$A$13:$A$2615,Timesheet!$D$13:$D$2615))</f>
        <v>0</v>
      </c>
      <c r="C162" s="3">
        <f t="array" ref="C162">MAX(IF(A162=Timesheet!$A$13:$A$2615,Timesheet!$E$13:$E$2615))</f>
        <v>0</v>
      </c>
      <c r="E162" s="1">
        <v>45086</v>
      </c>
      <c r="F162" s="2">
        <f>SUMIFS(Timesheet!$F$13:$F$11483,Timesheet!$A$13:$A$11483,'Início|Fim 1'!E162,Timesheet!$C$13:$C$11483,'Início|Fim 1'!$F$2)</f>
        <v>0</v>
      </c>
      <c r="G162" s="2">
        <f>SUMIFS(Timesheet!$F$13:$F$11483,Timesheet!$A$13:$A$11483,'Início|Fim 1'!E162,Timesheet!$C$13:$C$11483,'Início|Fim 1'!$G$2)</f>
        <v>0</v>
      </c>
      <c r="H162" s="2">
        <f>SUMIFS(Timesheet!$F$13:$F$11483,Timesheet!$A$13:$A$11483,'Início|Fim 1'!E162,Timesheet!$C$13:$C$11483,'Início|Fim 1'!$H$2)</f>
        <v>0</v>
      </c>
      <c r="I162" s="2">
        <f>SUMIFS(Timesheet!$F$13:$F$11483,Timesheet!$A$13:$A$11483,'Início|Fim 1'!E162,Timesheet!$C$13:$C$11483,'Início|Fim 1'!$I$2)</f>
        <v>0</v>
      </c>
      <c r="J162" s="2">
        <f>SUMIFS(Timesheet!$F$13:$F$11483,Timesheet!$A$13:$A$11483,'Início|Fim 1'!E162,Timesheet!$C$13:$C$11483,'Início|Fim 1'!$J$2)</f>
        <v>0</v>
      </c>
      <c r="K162" s="2">
        <f>SUMIFS(Timesheet!$F$13:$F$11483,Timesheet!$A$13:$A$11483,'Início|Fim 1'!E162,Timesheet!$C$13:$C$11483,'Início|Fim 1'!$K$2)</f>
        <v>0</v>
      </c>
      <c r="L162" s="2">
        <f>SUMIFS(Timesheet!$F$13:$F$11483,Timesheet!$A$13:$A$11483,'Início|Fim 1'!E162,Timesheet!$C$13:$C$11483,'Início|Fim 1'!$L$2)</f>
        <v>0</v>
      </c>
      <c r="M162" s="2">
        <f>SUMIFS(Timesheet!$F$13:$F$11483,Timesheet!$A$13:$A$11483,'Início|Fim 1'!E162,Timesheet!$C$13:$C$11483,'Início|Fim 1'!$M$2)</f>
        <v>0</v>
      </c>
      <c r="N162" s="2">
        <f>SUMIFS(Timesheet!$F$13:$F$11483,Timesheet!$A$13:$A$11483,'Início|Fim 1'!E162,Timesheet!$C$13:$C$11483,'Início|Fim 1'!$N$2)</f>
        <v>0</v>
      </c>
      <c r="O162" s="2">
        <f t="shared" si="2"/>
        <v>0</v>
      </c>
    </row>
    <row r="163" spans="1:15" x14ac:dyDescent="0.25">
      <c r="A163" s="1">
        <v>45087</v>
      </c>
      <c r="B163" s="3">
        <f t="array" ref="B163">MIN(IF(A163=Timesheet!$A$13:$A$2615,Timesheet!$D$13:$D$2615))</f>
        <v>0</v>
      </c>
      <c r="C163" s="3">
        <f t="array" ref="C163">MAX(IF(A163=Timesheet!$A$13:$A$2615,Timesheet!$E$13:$E$2615))</f>
        <v>0</v>
      </c>
      <c r="E163" s="1">
        <v>45087</v>
      </c>
      <c r="F163" s="2">
        <f>SUMIFS(Timesheet!$F$13:$F$11483,Timesheet!$A$13:$A$11483,'Início|Fim 1'!E163,Timesheet!$C$13:$C$11483,'Início|Fim 1'!$F$2)</f>
        <v>0</v>
      </c>
      <c r="G163" s="2">
        <f>SUMIFS(Timesheet!$F$13:$F$11483,Timesheet!$A$13:$A$11483,'Início|Fim 1'!E163,Timesheet!$C$13:$C$11483,'Início|Fim 1'!$G$2)</f>
        <v>0</v>
      </c>
      <c r="H163" s="2">
        <f>SUMIFS(Timesheet!$F$13:$F$11483,Timesheet!$A$13:$A$11483,'Início|Fim 1'!E163,Timesheet!$C$13:$C$11483,'Início|Fim 1'!$H$2)</f>
        <v>0</v>
      </c>
      <c r="I163" s="2">
        <f>SUMIFS(Timesheet!$F$13:$F$11483,Timesheet!$A$13:$A$11483,'Início|Fim 1'!E163,Timesheet!$C$13:$C$11483,'Início|Fim 1'!$I$2)</f>
        <v>0</v>
      </c>
      <c r="J163" s="2">
        <f>SUMIFS(Timesheet!$F$13:$F$11483,Timesheet!$A$13:$A$11483,'Início|Fim 1'!E163,Timesheet!$C$13:$C$11483,'Início|Fim 1'!$J$2)</f>
        <v>0</v>
      </c>
      <c r="K163" s="2">
        <f>SUMIFS(Timesheet!$F$13:$F$11483,Timesheet!$A$13:$A$11483,'Início|Fim 1'!E163,Timesheet!$C$13:$C$11483,'Início|Fim 1'!$K$2)</f>
        <v>0</v>
      </c>
      <c r="L163" s="2">
        <f>SUMIFS(Timesheet!$F$13:$F$11483,Timesheet!$A$13:$A$11483,'Início|Fim 1'!E163,Timesheet!$C$13:$C$11483,'Início|Fim 1'!$L$2)</f>
        <v>0</v>
      </c>
      <c r="M163" s="2">
        <f>SUMIFS(Timesheet!$F$13:$F$11483,Timesheet!$A$13:$A$11483,'Início|Fim 1'!E163,Timesheet!$C$13:$C$11483,'Início|Fim 1'!$M$2)</f>
        <v>0</v>
      </c>
      <c r="N163" s="2">
        <f>SUMIFS(Timesheet!$F$13:$F$11483,Timesheet!$A$13:$A$11483,'Início|Fim 1'!E163,Timesheet!$C$13:$C$11483,'Início|Fim 1'!$N$2)</f>
        <v>0</v>
      </c>
      <c r="O163" s="2">
        <f t="shared" si="2"/>
        <v>0</v>
      </c>
    </row>
    <row r="164" spans="1:15" x14ac:dyDescent="0.25">
      <c r="A164" s="1">
        <v>45088</v>
      </c>
      <c r="B164" s="3">
        <f t="array" ref="B164">MIN(IF(A164=Timesheet!$A$13:$A$2615,Timesheet!$D$13:$D$2615))</f>
        <v>0</v>
      </c>
      <c r="C164" s="3">
        <f t="array" ref="C164">MAX(IF(A164=Timesheet!$A$13:$A$2615,Timesheet!$E$13:$E$2615))</f>
        <v>0</v>
      </c>
      <c r="E164" s="1">
        <v>45088</v>
      </c>
      <c r="F164" s="2">
        <f>SUMIFS(Timesheet!$F$13:$F$11483,Timesheet!$A$13:$A$11483,'Início|Fim 1'!E164,Timesheet!$C$13:$C$11483,'Início|Fim 1'!$F$2)</f>
        <v>0</v>
      </c>
      <c r="G164" s="2">
        <f>SUMIFS(Timesheet!$F$13:$F$11483,Timesheet!$A$13:$A$11483,'Início|Fim 1'!E164,Timesheet!$C$13:$C$11483,'Início|Fim 1'!$G$2)</f>
        <v>0</v>
      </c>
      <c r="H164" s="2">
        <f>SUMIFS(Timesheet!$F$13:$F$11483,Timesheet!$A$13:$A$11483,'Início|Fim 1'!E164,Timesheet!$C$13:$C$11483,'Início|Fim 1'!$H$2)</f>
        <v>0</v>
      </c>
      <c r="I164" s="2">
        <f>SUMIFS(Timesheet!$F$13:$F$11483,Timesheet!$A$13:$A$11483,'Início|Fim 1'!E164,Timesheet!$C$13:$C$11483,'Início|Fim 1'!$I$2)</f>
        <v>0</v>
      </c>
      <c r="J164" s="2">
        <f>SUMIFS(Timesheet!$F$13:$F$11483,Timesheet!$A$13:$A$11483,'Início|Fim 1'!E164,Timesheet!$C$13:$C$11483,'Início|Fim 1'!$J$2)</f>
        <v>0</v>
      </c>
      <c r="K164" s="2">
        <f>SUMIFS(Timesheet!$F$13:$F$11483,Timesheet!$A$13:$A$11483,'Início|Fim 1'!E164,Timesheet!$C$13:$C$11483,'Início|Fim 1'!$K$2)</f>
        <v>0</v>
      </c>
      <c r="L164" s="2">
        <f>SUMIFS(Timesheet!$F$13:$F$11483,Timesheet!$A$13:$A$11483,'Início|Fim 1'!E164,Timesheet!$C$13:$C$11483,'Início|Fim 1'!$L$2)</f>
        <v>0</v>
      </c>
      <c r="M164" s="2">
        <f>SUMIFS(Timesheet!$F$13:$F$11483,Timesheet!$A$13:$A$11483,'Início|Fim 1'!E164,Timesheet!$C$13:$C$11483,'Início|Fim 1'!$M$2)</f>
        <v>0</v>
      </c>
      <c r="N164" s="2">
        <f>SUMIFS(Timesheet!$F$13:$F$11483,Timesheet!$A$13:$A$11483,'Início|Fim 1'!E164,Timesheet!$C$13:$C$11483,'Início|Fim 1'!$N$2)</f>
        <v>0</v>
      </c>
      <c r="O164" s="2">
        <f t="shared" si="2"/>
        <v>0</v>
      </c>
    </row>
    <row r="165" spans="1:15" x14ac:dyDescent="0.25">
      <c r="A165" s="1">
        <v>45089</v>
      </c>
      <c r="B165" s="3">
        <f t="array" ref="B165">MIN(IF(A165=Timesheet!$A$13:$A$2615,Timesheet!$D$13:$D$2615))</f>
        <v>0</v>
      </c>
      <c r="C165" s="3">
        <f t="array" ref="C165">MAX(IF(A165=Timesheet!$A$13:$A$2615,Timesheet!$E$13:$E$2615))</f>
        <v>0</v>
      </c>
      <c r="E165" s="1">
        <v>45089</v>
      </c>
      <c r="F165" s="2">
        <f>SUMIFS(Timesheet!$F$13:$F$11483,Timesheet!$A$13:$A$11483,'Início|Fim 1'!E165,Timesheet!$C$13:$C$11483,'Início|Fim 1'!$F$2)</f>
        <v>0</v>
      </c>
      <c r="G165" s="2">
        <f>SUMIFS(Timesheet!$F$13:$F$11483,Timesheet!$A$13:$A$11483,'Início|Fim 1'!E165,Timesheet!$C$13:$C$11483,'Início|Fim 1'!$G$2)</f>
        <v>0</v>
      </c>
      <c r="H165" s="2">
        <f>SUMIFS(Timesheet!$F$13:$F$11483,Timesheet!$A$13:$A$11483,'Início|Fim 1'!E165,Timesheet!$C$13:$C$11483,'Início|Fim 1'!$H$2)</f>
        <v>0</v>
      </c>
      <c r="I165" s="2">
        <f>SUMIFS(Timesheet!$F$13:$F$11483,Timesheet!$A$13:$A$11483,'Início|Fim 1'!E165,Timesheet!$C$13:$C$11483,'Início|Fim 1'!$I$2)</f>
        <v>0</v>
      </c>
      <c r="J165" s="2">
        <f>SUMIFS(Timesheet!$F$13:$F$11483,Timesheet!$A$13:$A$11483,'Início|Fim 1'!E165,Timesheet!$C$13:$C$11483,'Início|Fim 1'!$J$2)</f>
        <v>0</v>
      </c>
      <c r="K165" s="2">
        <f>SUMIFS(Timesheet!$F$13:$F$11483,Timesheet!$A$13:$A$11483,'Início|Fim 1'!E165,Timesheet!$C$13:$C$11483,'Início|Fim 1'!$K$2)</f>
        <v>0</v>
      </c>
      <c r="L165" s="2">
        <f>SUMIFS(Timesheet!$F$13:$F$11483,Timesheet!$A$13:$A$11483,'Início|Fim 1'!E165,Timesheet!$C$13:$C$11483,'Início|Fim 1'!$L$2)</f>
        <v>0</v>
      </c>
      <c r="M165" s="2">
        <f>SUMIFS(Timesheet!$F$13:$F$11483,Timesheet!$A$13:$A$11483,'Início|Fim 1'!E165,Timesheet!$C$13:$C$11483,'Início|Fim 1'!$M$2)</f>
        <v>0</v>
      </c>
      <c r="N165" s="2">
        <f>SUMIFS(Timesheet!$F$13:$F$11483,Timesheet!$A$13:$A$11483,'Início|Fim 1'!E165,Timesheet!$C$13:$C$11483,'Início|Fim 1'!$N$2)</f>
        <v>0</v>
      </c>
      <c r="O165" s="2">
        <f t="shared" si="2"/>
        <v>0</v>
      </c>
    </row>
    <row r="166" spans="1:15" x14ac:dyDescent="0.25">
      <c r="A166" s="1">
        <v>45090</v>
      </c>
      <c r="B166" s="3">
        <f t="array" ref="B166">MIN(IF(A166=Timesheet!$A$13:$A$2615,Timesheet!$D$13:$D$2615))</f>
        <v>0</v>
      </c>
      <c r="C166" s="3">
        <f t="array" ref="C166">MAX(IF(A166=Timesheet!$A$13:$A$2615,Timesheet!$E$13:$E$2615))</f>
        <v>0</v>
      </c>
      <c r="E166" s="1">
        <v>45090</v>
      </c>
      <c r="F166" s="2">
        <f>SUMIFS(Timesheet!$F$13:$F$11483,Timesheet!$A$13:$A$11483,'Início|Fim 1'!E166,Timesheet!$C$13:$C$11483,'Início|Fim 1'!$F$2)</f>
        <v>0</v>
      </c>
      <c r="G166" s="2">
        <f>SUMIFS(Timesheet!$F$13:$F$11483,Timesheet!$A$13:$A$11483,'Início|Fim 1'!E166,Timesheet!$C$13:$C$11483,'Início|Fim 1'!$G$2)</f>
        <v>0</v>
      </c>
      <c r="H166" s="2">
        <f>SUMIFS(Timesheet!$F$13:$F$11483,Timesheet!$A$13:$A$11483,'Início|Fim 1'!E166,Timesheet!$C$13:$C$11483,'Início|Fim 1'!$H$2)</f>
        <v>0</v>
      </c>
      <c r="I166" s="2">
        <f>SUMIFS(Timesheet!$F$13:$F$11483,Timesheet!$A$13:$A$11483,'Início|Fim 1'!E166,Timesheet!$C$13:$C$11483,'Início|Fim 1'!$I$2)</f>
        <v>0</v>
      </c>
      <c r="J166" s="2">
        <f>SUMIFS(Timesheet!$F$13:$F$11483,Timesheet!$A$13:$A$11483,'Início|Fim 1'!E166,Timesheet!$C$13:$C$11483,'Início|Fim 1'!$J$2)</f>
        <v>0</v>
      </c>
      <c r="K166" s="2">
        <f>SUMIFS(Timesheet!$F$13:$F$11483,Timesheet!$A$13:$A$11483,'Início|Fim 1'!E166,Timesheet!$C$13:$C$11483,'Início|Fim 1'!$K$2)</f>
        <v>0</v>
      </c>
      <c r="L166" s="2">
        <f>SUMIFS(Timesheet!$F$13:$F$11483,Timesheet!$A$13:$A$11483,'Início|Fim 1'!E166,Timesheet!$C$13:$C$11483,'Início|Fim 1'!$L$2)</f>
        <v>0</v>
      </c>
      <c r="M166" s="2">
        <f>SUMIFS(Timesheet!$F$13:$F$11483,Timesheet!$A$13:$A$11483,'Início|Fim 1'!E166,Timesheet!$C$13:$C$11483,'Início|Fim 1'!$M$2)</f>
        <v>0</v>
      </c>
      <c r="N166" s="2">
        <f>SUMIFS(Timesheet!$F$13:$F$11483,Timesheet!$A$13:$A$11483,'Início|Fim 1'!E166,Timesheet!$C$13:$C$11483,'Início|Fim 1'!$N$2)</f>
        <v>0</v>
      </c>
      <c r="O166" s="2">
        <f t="shared" si="2"/>
        <v>0</v>
      </c>
    </row>
    <row r="167" spans="1:15" x14ac:dyDescent="0.25">
      <c r="A167" s="1">
        <v>45091</v>
      </c>
      <c r="B167" s="3">
        <f t="array" ref="B167">MIN(IF(A167=Timesheet!$A$13:$A$2615,Timesheet!$D$13:$D$2615))</f>
        <v>0</v>
      </c>
      <c r="C167" s="3">
        <f t="array" ref="C167">MAX(IF(A167=Timesheet!$A$13:$A$2615,Timesheet!$E$13:$E$2615))</f>
        <v>0</v>
      </c>
      <c r="E167" s="1">
        <v>45091</v>
      </c>
      <c r="F167" s="2">
        <f>SUMIFS(Timesheet!$F$13:$F$11483,Timesheet!$A$13:$A$11483,'Início|Fim 1'!E167,Timesheet!$C$13:$C$11483,'Início|Fim 1'!$F$2)</f>
        <v>0</v>
      </c>
      <c r="G167" s="2">
        <f>SUMIFS(Timesheet!$F$13:$F$11483,Timesheet!$A$13:$A$11483,'Início|Fim 1'!E167,Timesheet!$C$13:$C$11483,'Início|Fim 1'!$G$2)</f>
        <v>0</v>
      </c>
      <c r="H167" s="2">
        <f>SUMIFS(Timesheet!$F$13:$F$11483,Timesheet!$A$13:$A$11483,'Início|Fim 1'!E167,Timesheet!$C$13:$C$11483,'Início|Fim 1'!$H$2)</f>
        <v>0</v>
      </c>
      <c r="I167" s="2">
        <f>SUMIFS(Timesheet!$F$13:$F$11483,Timesheet!$A$13:$A$11483,'Início|Fim 1'!E167,Timesheet!$C$13:$C$11483,'Início|Fim 1'!$I$2)</f>
        <v>0</v>
      </c>
      <c r="J167" s="2">
        <f>SUMIFS(Timesheet!$F$13:$F$11483,Timesheet!$A$13:$A$11483,'Início|Fim 1'!E167,Timesheet!$C$13:$C$11483,'Início|Fim 1'!$J$2)</f>
        <v>0</v>
      </c>
      <c r="K167" s="2">
        <f>SUMIFS(Timesheet!$F$13:$F$11483,Timesheet!$A$13:$A$11483,'Início|Fim 1'!E167,Timesheet!$C$13:$C$11483,'Início|Fim 1'!$K$2)</f>
        <v>0</v>
      </c>
      <c r="L167" s="2">
        <f>SUMIFS(Timesheet!$F$13:$F$11483,Timesheet!$A$13:$A$11483,'Início|Fim 1'!E167,Timesheet!$C$13:$C$11483,'Início|Fim 1'!$L$2)</f>
        <v>0</v>
      </c>
      <c r="M167" s="2">
        <f>SUMIFS(Timesheet!$F$13:$F$11483,Timesheet!$A$13:$A$11483,'Início|Fim 1'!E167,Timesheet!$C$13:$C$11483,'Início|Fim 1'!$M$2)</f>
        <v>0</v>
      </c>
      <c r="N167" s="2">
        <f>SUMIFS(Timesheet!$F$13:$F$11483,Timesheet!$A$13:$A$11483,'Início|Fim 1'!E167,Timesheet!$C$13:$C$11483,'Início|Fim 1'!$N$2)</f>
        <v>0</v>
      </c>
      <c r="O167" s="2">
        <f t="shared" si="2"/>
        <v>0</v>
      </c>
    </row>
    <row r="168" spans="1:15" x14ac:dyDescent="0.25">
      <c r="A168" s="1">
        <v>45092</v>
      </c>
      <c r="B168" s="3">
        <f t="array" ref="B168">MIN(IF(A168=Timesheet!$A$13:$A$2615,Timesheet!$D$13:$D$2615))</f>
        <v>0</v>
      </c>
      <c r="C168" s="3">
        <f t="array" ref="C168">MAX(IF(A168=Timesheet!$A$13:$A$2615,Timesheet!$E$13:$E$2615))</f>
        <v>0</v>
      </c>
      <c r="E168" s="1">
        <v>45092</v>
      </c>
      <c r="F168" s="2">
        <f>SUMIFS(Timesheet!$F$13:$F$11483,Timesheet!$A$13:$A$11483,'Início|Fim 1'!E168,Timesheet!$C$13:$C$11483,'Início|Fim 1'!$F$2)</f>
        <v>0</v>
      </c>
      <c r="G168" s="2">
        <f>SUMIFS(Timesheet!$F$13:$F$11483,Timesheet!$A$13:$A$11483,'Início|Fim 1'!E168,Timesheet!$C$13:$C$11483,'Início|Fim 1'!$G$2)</f>
        <v>0</v>
      </c>
      <c r="H168" s="2">
        <f>SUMIFS(Timesheet!$F$13:$F$11483,Timesheet!$A$13:$A$11483,'Início|Fim 1'!E168,Timesheet!$C$13:$C$11483,'Início|Fim 1'!$H$2)</f>
        <v>0</v>
      </c>
      <c r="I168" s="2">
        <f>SUMIFS(Timesheet!$F$13:$F$11483,Timesheet!$A$13:$A$11483,'Início|Fim 1'!E168,Timesheet!$C$13:$C$11483,'Início|Fim 1'!$I$2)</f>
        <v>0</v>
      </c>
      <c r="J168" s="2">
        <f>SUMIFS(Timesheet!$F$13:$F$11483,Timesheet!$A$13:$A$11483,'Início|Fim 1'!E168,Timesheet!$C$13:$C$11483,'Início|Fim 1'!$J$2)</f>
        <v>0</v>
      </c>
      <c r="K168" s="2">
        <f>SUMIFS(Timesheet!$F$13:$F$11483,Timesheet!$A$13:$A$11483,'Início|Fim 1'!E168,Timesheet!$C$13:$C$11483,'Início|Fim 1'!$K$2)</f>
        <v>0</v>
      </c>
      <c r="L168" s="2">
        <f>SUMIFS(Timesheet!$F$13:$F$11483,Timesheet!$A$13:$A$11483,'Início|Fim 1'!E168,Timesheet!$C$13:$C$11483,'Início|Fim 1'!$L$2)</f>
        <v>0</v>
      </c>
      <c r="M168" s="2">
        <f>SUMIFS(Timesheet!$F$13:$F$11483,Timesheet!$A$13:$A$11483,'Início|Fim 1'!E168,Timesheet!$C$13:$C$11483,'Início|Fim 1'!$M$2)</f>
        <v>0</v>
      </c>
      <c r="N168" s="2">
        <f>SUMIFS(Timesheet!$F$13:$F$11483,Timesheet!$A$13:$A$11483,'Início|Fim 1'!E168,Timesheet!$C$13:$C$11483,'Início|Fim 1'!$N$2)</f>
        <v>0</v>
      </c>
      <c r="O168" s="2">
        <f t="shared" si="2"/>
        <v>0</v>
      </c>
    </row>
    <row r="169" spans="1:15" x14ac:dyDescent="0.25">
      <c r="A169" s="1">
        <v>45093</v>
      </c>
      <c r="B169" s="3">
        <f t="array" ref="B169">MIN(IF(A169=Timesheet!$A$13:$A$2615,Timesheet!$D$13:$D$2615))</f>
        <v>0</v>
      </c>
      <c r="C169" s="3">
        <f t="array" ref="C169">MAX(IF(A169=Timesheet!$A$13:$A$2615,Timesheet!$E$13:$E$2615))</f>
        <v>0</v>
      </c>
      <c r="E169" s="1">
        <v>45093</v>
      </c>
      <c r="F169" s="2">
        <f>SUMIFS(Timesheet!$F$13:$F$11483,Timesheet!$A$13:$A$11483,'Início|Fim 1'!E169,Timesheet!$C$13:$C$11483,'Início|Fim 1'!$F$2)</f>
        <v>0</v>
      </c>
      <c r="G169" s="2">
        <f>SUMIFS(Timesheet!$F$13:$F$11483,Timesheet!$A$13:$A$11483,'Início|Fim 1'!E169,Timesheet!$C$13:$C$11483,'Início|Fim 1'!$G$2)</f>
        <v>0</v>
      </c>
      <c r="H169" s="2">
        <f>SUMIFS(Timesheet!$F$13:$F$11483,Timesheet!$A$13:$A$11483,'Início|Fim 1'!E169,Timesheet!$C$13:$C$11483,'Início|Fim 1'!$H$2)</f>
        <v>0</v>
      </c>
      <c r="I169" s="2">
        <f>SUMIFS(Timesheet!$F$13:$F$11483,Timesheet!$A$13:$A$11483,'Início|Fim 1'!E169,Timesheet!$C$13:$C$11483,'Início|Fim 1'!$I$2)</f>
        <v>0</v>
      </c>
      <c r="J169" s="2">
        <f>SUMIFS(Timesheet!$F$13:$F$11483,Timesheet!$A$13:$A$11483,'Início|Fim 1'!E169,Timesheet!$C$13:$C$11483,'Início|Fim 1'!$J$2)</f>
        <v>0</v>
      </c>
      <c r="K169" s="2">
        <f>SUMIFS(Timesheet!$F$13:$F$11483,Timesheet!$A$13:$A$11483,'Início|Fim 1'!E169,Timesheet!$C$13:$C$11483,'Início|Fim 1'!$K$2)</f>
        <v>0</v>
      </c>
      <c r="L169" s="2">
        <f>SUMIFS(Timesheet!$F$13:$F$11483,Timesheet!$A$13:$A$11483,'Início|Fim 1'!E169,Timesheet!$C$13:$C$11483,'Início|Fim 1'!$L$2)</f>
        <v>0</v>
      </c>
      <c r="M169" s="2">
        <f>SUMIFS(Timesheet!$F$13:$F$11483,Timesheet!$A$13:$A$11483,'Início|Fim 1'!E169,Timesheet!$C$13:$C$11483,'Início|Fim 1'!$M$2)</f>
        <v>0</v>
      </c>
      <c r="N169" s="2">
        <f>SUMIFS(Timesheet!$F$13:$F$11483,Timesheet!$A$13:$A$11483,'Início|Fim 1'!E169,Timesheet!$C$13:$C$11483,'Início|Fim 1'!$N$2)</f>
        <v>0</v>
      </c>
      <c r="O169" s="2">
        <f t="shared" si="2"/>
        <v>0</v>
      </c>
    </row>
    <row r="170" spans="1:15" x14ac:dyDescent="0.25">
      <c r="A170" s="1">
        <v>45094</v>
      </c>
      <c r="B170" s="3">
        <f t="array" ref="B170">MIN(IF(A170=Timesheet!$A$13:$A$2615,Timesheet!$D$13:$D$2615))</f>
        <v>0</v>
      </c>
      <c r="C170" s="3">
        <f t="array" ref="C170">MAX(IF(A170=Timesheet!$A$13:$A$2615,Timesheet!$E$13:$E$2615))</f>
        <v>0</v>
      </c>
      <c r="E170" s="1">
        <v>45094</v>
      </c>
      <c r="F170" s="2">
        <f>SUMIFS(Timesheet!$F$13:$F$11483,Timesheet!$A$13:$A$11483,'Início|Fim 1'!E170,Timesheet!$C$13:$C$11483,'Início|Fim 1'!$F$2)</f>
        <v>0</v>
      </c>
      <c r="G170" s="2">
        <f>SUMIFS(Timesheet!$F$13:$F$11483,Timesheet!$A$13:$A$11483,'Início|Fim 1'!E170,Timesheet!$C$13:$C$11483,'Início|Fim 1'!$G$2)</f>
        <v>0</v>
      </c>
      <c r="H170" s="2">
        <f>SUMIFS(Timesheet!$F$13:$F$11483,Timesheet!$A$13:$A$11483,'Início|Fim 1'!E170,Timesheet!$C$13:$C$11483,'Início|Fim 1'!$H$2)</f>
        <v>0</v>
      </c>
      <c r="I170" s="2">
        <f>SUMIFS(Timesheet!$F$13:$F$11483,Timesheet!$A$13:$A$11483,'Início|Fim 1'!E170,Timesheet!$C$13:$C$11483,'Início|Fim 1'!$I$2)</f>
        <v>0</v>
      </c>
      <c r="J170" s="2">
        <f>SUMIFS(Timesheet!$F$13:$F$11483,Timesheet!$A$13:$A$11483,'Início|Fim 1'!E170,Timesheet!$C$13:$C$11483,'Início|Fim 1'!$J$2)</f>
        <v>0</v>
      </c>
      <c r="K170" s="2">
        <f>SUMIFS(Timesheet!$F$13:$F$11483,Timesheet!$A$13:$A$11483,'Início|Fim 1'!E170,Timesheet!$C$13:$C$11483,'Início|Fim 1'!$K$2)</f>
        <v>0</v>
      </c>
      <c r="L170" s="2">
        <f>SUMIFS(Timesheet!$F$13:$F$11483,Timesheet!$A$13:$A$11483,'Início|Fim 1'!E170,Timesheet!$C$13:$C$11483,'Início|Fim 1'!$L$2)</f>
        <v>0</v>
      </c>
      <c r="M170" s="2">
        <f>SUMIFS(Timesheet!$F$13:$F$11483,Timesheet!$A$13:$A$11483,'Início|Fim 1'!E170,Timesheet!$C$13:$C$11483,'Início|Fim 1'!$M$2)</f>
        <v>0</v>
      </c>
      <c r="N170" s="2">
        <f>SUMIFS(Timesheet!$F$13:$F$11483,Timesheet!$A$13:$A$11483,'Início|Fim 1'!E170,Timesheet!$C$13:$C$11483,'Início|Fim 1'!$N$2)</f>
        <v>0</v>
      </c>
      <c r="O170" s="2">
        <f t="shared" si="2"/>
        <v>0</v>
      </c>
    </row>
    <row r="171" spans="1:15" x14ac:dyDescent="0.25">
      <c r="A171" s="1">
        <v>45095</v>
      </c>
      <c r="B171" s="3">
        <f t="array" ref="B171">MIN(IF(A171=Timesheet!$A$13:$A$2615,Timesheet!$D$13:$D$2615))</f>
        <v>0</v>
      </c>
      <c r="C171" s="3">
        <f t="array" ref="C171">MAX(IF(A171=Timesheet!$A$13:$A$2615,Timesheet!$E$13:$E$2615))</f>
        <v>0</v>
      </c>
      <c r="E171" s="1">
        <v>45095</v>
      </c>
      <c r="F171" s="2">
        <f>SUMIFS(Timesheet!$F$13:$F$11483,Timesheet!$A$13:$A$11483,'Início|Fim 1'!E171,Timesheet!$C$13:$C$11483,'Início|Fim 1'!$F$2)</f>
        <v>0</v>
      </c>
      <c r="G171" s="2">
        <f>SUMIFS(Timesheet!$F$13:$F$11483,Timesheet!$A$13:$A$11483,'Início|Fim 1'!E171,Timesheet!$C$13:$C$11483,'Início|Fim 1'!$G$2)</f>
        <v>0</v>
      </c>
      <c r="H171" s="2">
        <f>SUMIFS(Timesheet!$F$13:$F$11483,Timesheet!$A$13:$A$11483,'Início|Fim 1'!E171,Timesheet!$C$13:$C$11483,'Início|Fim 1'!$H$2)</f>
        <v>0</v>
      </c>
      <c r="I171" s="2">
        <f>SUMIFS(Timesheet!$F$13:$F$11483,Timesheet!$A$13:$A$11483,'Início|Fim 1'!E171,Timesheet!$C$13:$C$11483,'Início|Fim 1'!$I$2)</f>
        <v>0</v>
      </c>
      <c r="J171" s="2">
        <f>SUMIFS(Timesheet!$F$13:$F$11483,Timesheet!$A$13:$A$11483,'Início|Fim 1'!E171,Timesheet!$C$13:$C$11483,'Início|Fim 1'!$J$2)</f>
        <v>0</v>
      </c>
      <c r="K171" s="2">
        <f>SUMIFS(Timesheet!$F$13:$F$11483,Timesheet!$A$13:$A$11483,'Início|Fim 1'!E171,Timesheet!$C$13:$C$11483,'Início|Fim 1'!$K$2)</f>
        <v>0</v>
      </c>
      <c r="L171" s="2">
        <f>SUMIFS(Timesheet!$F$13:$F$11483,Timesheet!$A$13:$A$11483,'Início|Fim 1'!E171,Timesheet!$C$13:$C$11483,'Início|Fim 1'!$L$2)</f>
        <v>0</v>
      </c>
      <c r="M171" s="2">
        <f>SUMIFS(Timesheet!$F$13:$F$11483,Timesheet!$A$13:$A$11483,'Início|Fim 1'!E171,Timesheet!$C$13:$C$11483,'Início|Fim 1'!$M$2)</f>
        <v>0</v>
      </c>
      <c r="N171" s="2">
        <f>SUMIFS(Timesheet!$F$13:$F$11483,Timesheet!$A$13:$A$11483,'Início|Fim 1'!E171,Timesheet!$C$13:$C$11483,'Início|Fim 1'!$N$2)</f>
        <v>0</v>
      </c>
      <c r="O171" s="2">
        <f t="shared" si="2"/>
        <v>0</v>
      </c>
    </row>
    <row r="172" spans="1:15" x14ac:dyDescent="0.25">
      <c r="A172" s="1">
        <v>45096</v>
      </c>
      <c r="B172" s="3">
        <f t="array" ref="B172">MIN(IF(A172=Timesheet!$A$13:$A$2615,Timesheet!$D$13:$D$2615))</f>
        <v>0</v>
      </c>
      <c r="C172" s="3">
        <f t="array" ref="C172">MAX(IF(A172=Timesheet!$A$13:$A$2615,Timesheet!$E$13:$E$2615))</f>
        <v>0</v>
      </c>
      <c r="E172" s="1">
        <v>45096</v>
      </c>
      <c r="F172" s="2">
        <f>SUMIFS(Timesheet!$F$13:$F$11483,Timesheet!$A$13:$A$11483,'Início|Fim 1'!E172,Timesheet!$C$13:$C$11483,'Início|Fim 1'!$F$2)</f>
        <v>0</v>
      </c>
      <c r="G172" s="2">
        <f>SUMIFS(Timesheet!$F$13:$F$11483,Timesheet!$A$13:$A$11483,'Início|Fim 1'!E172,Timesheet!$C$13:$C$11483,'Início|Fim 1'!$G$2)</f>
        <v>0</v>
      </c>
      <c r="H172" s="2">
        <f>SUMIFS(Timesheet!$F$13:$F$11483,Timesheet!$A$13:$A$11483,'Início|Fim 1'!E172,Timesheet!$C$13:$C$11483,'Início|Fim 1'!$H$2)</f>
        <v>0</v>
      </c>
      <c r="I172" s="2">
        <f>SUMIFS(Timesheet!$F$13:$F$11483,Timesheet!$A$13:$A$11483,'Início|Fim 1'!E172,Timesheet!$C$13:$C$11483,'Início|Fim 1'!$I$2)</f>
        <v>0</v>
      </c>
      <c r="J172" s="2">
        <f>SUMIFS(Timesheet!$F$13:$F$11483,Timesheet!$A$13:$A$11483,'Início|Fim 1'!E172,Timesheet!$C$13:$C$11483,'Início|Fim 1'!$J$2)</f>
        <v>0</v>
      </c>
      <c r="K172" s="2">
        <f>SUMIFS(Timesheet!$F$13:$F$11483,Timesheet!$A$13:$A$11483,'Início|Fim 1'!E172,Timesheet!$C$13:$C$11483,'Início|Fim 1'!$K$2)</f>
        <v>0</v>
      </c>
      <c r="L172" s="2">
        <f>SUMIFS(Timesheet!$F$13:$F$11483,Timesheet!$A$13:$A$11483,'Início|Fim 1'!E172,Timesheet!$C$13:$C$11483,'Início|Fim 1'!$L$2)</f>
        <v>0</v>
      </c>
      <c r="M172" s="2">
        <f>SUMIFS(Timesheet!$F$13:$F$11483,Timesheet!$A$13:$A$11483,'Início|Fim 1'!E172,Timesheet!$C$13:$C$11483,'Início|Fim 1'!$M$2)</f>
        <v>0</v>
      </c>
      <c r="N172" s="2">
        <f>SUMIFS(Timesheet!$F$13:$F$11483,Timesheet!$A$13:$A$11483,'Início|Fim 1'!E172,Timesheet!$C$13:$C$11483,'Início|Fim 1'!$N$2)</f>
        <v>0</v>
      </c>
      <c r="O172" s="2">
        <f t="shared" si="2"/>
        <v>0</v>
      </c>
    </row>
    <row r="173" spans="1:15" x14ac:dyDescent="0.25">
      <c r="A173" s="1">
        <v>45097</v>
      </c>
      <c r="B173" s="3">
        <f t="array" ref="B173">MIN(IF(A173=Timesheet!$A$13:$A$2615,Timesheet!$D$13:$D$2615))</f>
        <v>0</v>
      </c>
      <c r="C173" s="3">
        <f t="array" ref="C173">MAX(IF(A173=Timesheet!$A$13:$A$2615,Timesheet!$E$13:$E$2615))</f>
        <v>0</v>
      </c>
      <c r="E173" s="1">
        <v>45097</v>
      </c>
      <c r="F173" s="2">
        <f>SUMIFS(Timesheet!$F$13:$F$11483,Timesheet!$A$13:$A$11483,'Início|Fim 1'!E173,Timesheet!$C$13:$C$11483,'Início|Fim 1'!$F$2)</f>
        <v>0</v>
      </c>
      <c r="G173" s="2">
        <f>SUMIFS(Timesheet!$F$13:$F$11483,Timesheet!$A$13:$A$11483,'Início|Fim 1'!E173,Timesheet!$C$13:$C$11483,'Início|Fim 1'!$G$2)</f>
        <v>0</v>
      </c>
      <c r="H173" s="2">
        <f>SUMIFS(Timesheet!$F$13:$F$11483,Timesheet!$A$13:$A$11483,'Início|Fim 1'!E173,Timesheet!$C$13:$C$11483,'Início|Fim 1'!$H$2)</f>
        <v>0</v>
      </c>
      <c r="I173" s="2">
        <f>SUMIFS(Timesheet!$F$13:$F$11483,Timesheet!$A$13:$A$11483,'Início|Fim 1'!E173,Timesheet!$C$13:$C$11483,'Início|Fim 1'!$I$2)</f>
        <v>0</v>
      </c>
      <c r="J173" s="2">
        <f>SUMIFS(Timesheet!$F$13:$F$11483,Timesheet!$A$13:$A$11483,'Início|Fim 1'!E173,Timesheet!$C$13:$C$11483,'Início|Fim 1'!$J$2)</f>
        <v>0</v>
      </c>
      <c r="K173" s="2">
        <f>SUMIFS(Timesheet!$F$13:$F$11483,Timesheet!$A$13:$A$11483,'Início|Fim 1'!E173,Timesheet!$C$13:$C$11483,'Início|Fim 1'!$K$2)</f>
        <v>0</v>
      </c>
      <c r="L173" s="2">
        <f>SUMIFS(Timesheet!$F$13:$F$11483,Timesheet!$A$13:$A$11483,'Início|Fim 1'!E173,Timesheet!$C$13:$C$11483,'Início|Fim 1'!$L$2)</f>
        <v>0</v>
      </c>
      <c r="M173" s="2">
        <f>SUMIFS(Timesheet!$F$13:$F$11483,Timesheet!$A$13:$A$11483,'Início|Fim 1'!E173,Timesheet!$C$13:$C$11483,'Início|Fim 1'!$M$2)</f>
        <v>0</v>
      </c>
      <c r="N173" s="2">
        <f>SUMIFS(Timesheet!$F$13:$F$11483,Timesheet!$A$13:$A$11483,'Início|Fim 1'!E173,Timesheet!$C$13:$C$11483,'Início|Fim 1'!$N$2)</f>
        <v>0</v>
      </c>
      <c r="O173" s="2">
        <f t="shared" si="2"/>
        <v>0</v>
      </c>
    </row>
    <row r="174" spans="1:15" x14ac:dyDescent="0.25">
      <c r="A174" s="1">
        <v>45098</v>
      </c>
      <c r="B174" s="3">
        <f t="array" ref="B174">MIN(IF(A174=Timesheet!$A$13:$A$2615,Timesheet!$D$13:$D$2615))</f>
        <v>0</v>
      </c>
      <c r="C174" s="3">
        <f t="array" ref="C174">MAX(IF(A174=Timesheet!$A$13:$A$2615,Timesheet!$E$13:$E$2615))</f>
        <v>0</v>
      </c>
      <c r="E174" s="1">
        <v>45098</v>
      </c>
      <c r="F174" s="2">
        <f>SUMIFS(Timesheet!$F$13:$F$11483,Timesheet!$A$13:$A$11483,'Início|Fim 1'!E174,Timesheet!$C$13:$C$11483,'Início|Fim 1'!$F$2)</f>
        <v>0</v>
      </c>
      <c r="G174" s="2">
        <f>SUMIFS(Timesheet!$F$13:$F$11483,Timesheet!$A$13:$A$11483,'Início|Fim 1'!E174,Timesheet!$C$13:$C$11483,'Início|Fim 1'!$G$2)</f>
        <v>0</v>
      </c>
      <c r="H174" s="2">
        <f>SUMIFS(Timesheet!$F$13:$F$11483,Timesheet!$A$13:$A$11483,'Início|Fim 1'!E174,Timesheet!$C$13:$C$11483,'Início|Fim 1'!$H$2)</f>
        <v>0</v>
      </c>
      <c r="I174" s="2">
        <f>SUMIFS(Timesheet!$F$13:$F$11483,Timesheet!$A$13:$A$11483,'Início|Fim 1'!E174,Timesheet!$C$13:$C$11483,'Início|Fim 1'!$I$2)</f>
        <v>0</v>
      </c>
      <c r="J174" s="2">
        <f>SUMIFS(Timesheet!$F$13:$F$11483,Timesheet!$A$13:$A$11483,'Início|Fim 1'!E174,Timesheet!$C$13:$C$11483,'Início|Fim 1'!$J$2)</f>
        <v>0</v>
      </c>
      <c r="K174" s="2">
        <f>SUMIFS(Timesheet!$F$13:$F$11483,Timesheet!$A$13:$A$11483,'Início|Fim 1'!E174,Timesheet!$C$13:$C$11483,'Início|Fim 1'!$K$2)</f>
        <v>0</v>
      </c>
      <c r="L174" s="2">
        <f>SUMIFS(Timesheet!$F$13:$F$11483,Timesheet!$A$13:$A$11483,'Início|Fim 1'!E174,Timesheet!$C$13:$C$11483,'Início|Fim 1'!$L$2)</f>
        <v>0</v>
      </c>
      <c r="M174" s="2">
        <f>SUMIFS(Timesheet!$F$13:$F$11483,Timesheet!$A$13:$A$11483,'Início|Fim 1'!E174,Timesheet!$C$13:$C$11483,'Início|Fim 1'!$M$2)</f>
        <v>0</v>
      </c>
      <c r="N174" s="2">
        <f>SUMIFS(Timesheet!$F$13:$F$11483,Timesheet!$A$13:$A$11483,'Início|Fim 1'!E174,Timesheet!$C$13:$C$11483,'Início|Fim 1'!$N$2)</f>
        <v>0</v>
      </c>
      <c r="O174" s="2">
        <f t="shared" si="2"/>
        <v>0</v>
      </c>
    </row>
    <row r="175" spans="1:15" x14ac:dyDescent="0.25">
      <c r="A175" s="1">
        <v>45099</v>
      </c>
      <c r="B175" s="3">
        <f t="array" ref="B175">MIN(IF(A175=Timesheet!$A$13:$A$2615,Timesheet!$D$13:$D$2615))</f>
        <v>0</v>
      </c>
      <c r="C175" s="3">
        <f t="array" ref="C175">MAX(IF(A175=Timesheet!$A$13:$A$2615,Timesheet!$E$13:$E$2615))</f>
        <v>0</v>
      </c>
      <c r="E175" s="1">
        <v>45099</v>
      </c>
      <c r="F175" s="2">
        <f>SUMIFS(Timesheet!$F$13:$F$11483,Timesheet!$A$13:$A$11483,'Início|Fim 1'!E175,Timesheet!$C$13:$C$11483,'Início|Fim 1'!$F$2)</f>
        <v>0</v>
      </c>
      <c r="G175" s="2">
        <f>SUMIFS(Timesheet!$F$13:$F$11483,Timesheet!$A$13:$A$11483,'Início|Fim 1'!E175,Timesheet!$C$13:$C$11483,'Início|Fim 1'!$G$2)</f>
        <v>0</v>
      </c>
      <c r="H175" s="2">
        <f>SUMIFS(Timesheet!$F$13:$F$11483,Timesheet!$A$13:$A$11483,'Início|Fim 1'!E175,Timesheet!$C$13:$C$11483,'Início|Fim 1'!$H$2)</f>
        <v>0</v>
      </c>
      <c r="I175" s="2">
        <f>SUMIFS(Timesheet!$F$13:$F$11483,Timesheet!$A$13:$A$11483,'Início|Fim 1'!E175,Timesheet!$C$13:$C$11483,'Início|Fim 1'!$I$2)</f>
        <v>0</v>
      </c>
      <c r="J175" s="2">
        <f>SUMIFS(Timesheet!$F$13:$F$11483,Timesheet!$A$13:$A$11483,'Início|Fim 1'!E175,Timesheet!$C$13:$C$11483,'Início|Fim 1'!$J$2)</f>
        <v>0</v>
      </c>
      <c r="K175" s="2">
        <f>SUMIFS(Timesheet!$F$13:$F$11483,Timesheet!$A$13:$A$11483,'Início|Fim 1'!E175,Timesheet!$C$13:$C$11483,'Início|Fim 1'!$K$2)</f>
        <v>0</v>
      </c>
      <c r="L175" s="2">
        <f>SUMIFS(Timesheet!$F$13:$F$11483,Timesheet!$A$13:$A$11483,'Início|Fim 1'!E175,Timesheet!$C$13:$C$11483,'Início|Fim 1'!$L$2)</f>
        <v>0</v>
      </c>
      <c r="M175" s="2">
        <f>SUMIFS(Timesheet!$F$13:$F$11483,Timesheet!$A$13:$A$11483,'Início|Fim 1'!E175,Timesheet!$C$13:$C$11483,'Início|Fim 1'!$M$2)</f>
        <v>0</v>
      </c>
      <c r="N175" s="2">
        <f>SUMIFS(Timesheet!$F$13:$F$11483,Timesheet!$A$13:$A$11483,'Início|Fim 1'!E175,Timesheet!$C$13:$C$11483,'Início|Fim 1'!$N$2)</f>
        <v>0</v>
      </c>
      <c r="O175" s="2">
        <f t="shared" si="2"/>
        <v>0</v>
      </c>
    </row>
    <row r="176" spans="1:15" x14ac:dyDescent="0.25">
      <c r="A176" s="1">
        <v>45100</v>
      </c>
      <c r="B176" s="3">
        <f t="array" ref="B176">MIN(IF(A176=Timesheet!$A$13:$A$2615,Timesheet!$D$13:$D$2615))</f>
        <v>0</v>
      </c>
      <c r="C176" s="3">
        <f t="array" ref="C176">MAX(IF(A176=Timesheet!$A$13:$A$2615,Timesheet!$E$13:$E$2615))</f>
        <v>0</v>
      </c>
      <c r="E176" s="1">
        <v>45100</v>
      </c>
      <c r="F176" s="2">
        <f>SUMIFS(Timesheet!$F$13:$F$11483,Timesheet!$A$13:$A$11483,'Início|Fim 1'!E176,Timesheet!$C$13:$C$11483,'Início|Fim 1'!$F$2)</f>
        <v>0</v>
      </c>
      <c r="G176" s="2">
        <f>SUMIFS(Timesheet!$F$13:$F$11483,Timesheet!$A$13:$A$11483,'Início|Fim 1'!E176,Timesheet!$C$13:$C$11483,'Início|Fim 1'!$G$2)</f>
        <v>0</v>
      </c>
      <c r="H176" s="2">
        <f>SUMIFS(Timesheet!$F$13:$F$11483,Timesheet!$A$13:$A$11483,'Início|Fim 1'!E176,Timesheet!$C$13:$C$11483,'Início|Fim 1'!$H$2)</f>
        <v>0</v>
      </c>
      <c r="I176" s="2">
        <f>SUMIFS(Timesheet!$F$13:$F$11483,Timesheet!$A$13:$A$11483,'Início|Fim 1'!E176,Timesheet!$C$13:$C$11483,'Início|Fim 1'!$I$2)</f>
        <v>0</v>
      </c>
      <c r="J176" s="2">
        <f>SUMIFS(Timesheet!$F$13:$F$11483,Timesheet!$A$13:$A$11483,'Início|Fim 1'!E176,Timesheet!$C$13:$C$11483,'Início|Fim 1'!$J$2)</f>
        <v>0</v>
      </c>
      <c r="K176" s="2">
        <f>SUMIFS(Timesheet!$F$13:$F$11483,Timesheet!$A$13:$A$11483,'Início|Fim 1'!E176,Timesheet!$C$13:$C$11483,'Início|Fim 1'!$K$2)</f>
        <v>0</v>
      </c>
      <c r="L176" s="2">
        <f>SUMIFS(Timesheet!$F$13:$F$11483,Timesheet!$A$13:$A$11483,'Início|Fim 1'!E176,Timesheet!$C$13:$C$11483,'Início|Fim 1'!$L$2)</f>
        <v>0</v>
      </c>
      <c r="M176" s="2">
        <f>SUMIFS(Timesheet!$F$13:$F$11483,Timesheet!$A$13:$A$11483,'Início|Fim 1'!E176,Timesheet!$C$13:$C$11483,'Início|Fim 1'!$M$2)</f>
        <v>0</v>
      </c>
      <c r="N176" s="2">
        <f>SUMIFS(Timesheet!$F$13:$F$11483,Timesheet!$A$13:$A$11483,'Início|Fim 1'!E176,Timesheet!$C$13:$C$11483,'Início|Fim 1'!$N$2)</f>
        <v>0</v>
      </c>
      <c r="O176" s="2">
        <f t="shared" si="2"/>
        <v>0</v>
      </c>
    </row>
    <row r="177" spans="1:15" x14ac:dyDescent="0.25">
      <c r="A177" s="1">
        <v>45101</v>
      </c>
      <c r="B177" s="3">
        <f t="array" ref="B177">MIN(IF(A177=Timesheet!$A$13:$A$2615,Timesheet!$D$13:$D$2615))</f>
        <v>0</v>
      </c>
      <c r="C177" s="3">
        <f t="array" ref="C177">MAX(IF(A177=Timesheet!$A$13:$A$2615,Timesheet!$E$13:$E$2615))</f>
        <v>0</v>
      </c>
      <c r="E177" s="1">
        <v>45101</v>
      </c>
      <c r="F177" s="2">
        <f>SUMIFS(Timesheet!$F$13:$F$11483,Timesheet!$A$13:$A$11483,'Início|Fim 1'!E177,Timesheet!$C$13:$C$11483,'Início|Fim 1'!$F$2)</f>
        <v>0</v>
      </c>
      <c r="G177" s="2">
        <f>SUMIFS(Timesheet!$F$13:$F$11483,Timesheet!$A$13:$A$11483,'Início|Fim 1'!E177,Timesheet!$C$13:$C$11483,'Início|Fim 1'!$G$2)</f>
        <v>0</v>
      </c>
      <c r="H177" s="2">
        <f>SUMIFS(Timesheet!$F$13:$F$11483,Timesheet!$A$13:$A$11483,'Início|Fim 1'!E177,Timesheet!$C$13:$C$11483,'Início|Fim 1'!$H$2)</f>
        <v>0</v>
      </c>
      <c r="I177" s="2">
        <f>SUMIFS(Timesheet!$F$13:$F$11483,Timesheet!$A$13:$A$11483,'Início|Fim 1'!E177,Timesheet!$C$13:$C$11483,'Início|Fim 1'!$I$2)</f>
        <v>0</v>
      </c>
      <c r="J177" s="2">
        <f>SUMIFS(Timesheet!$F$13:$F$11483,Timesheet!$A$13:$A$11483,'Início|Fim 1'!E177,Timesheet!$C$13:$C$11483,'Início|Fim 1'!$J$2)</f>
        <v>0</v>
      </c>
      <c r="K177" s="2">
        <f>SUMIFS(Timesheet!$F$13:$F$11483,Timesheet!$A$13:$A$11483,'Início|Fim 1'!E177,Timesheet!$C$13:$C$11483,'Início|Fim 1'!$K$2)</f>
        <v>0</v>
      </c>
      <c r="L177" s="2">
        <f>SUMIFS(Timesheet!$F$13:$F$11483,Timesheet!$A$13:$A$11483,'Início|Fim 1'!E177,Timesheet!$C$13:$C$11483,'Início|Fim 1'!$L$2)</f>
        <v>0</v>
      </c>
      <c r="M177" s="2">
        <f>SUMIFS(Timesheet!$F$13:$F$11483,Timesheet!$A$13:$A$11483,'Início|Fim 1'!E177,Timesheet!$C$13:$C$11483,'Início|Fim 1'!$M$2)</f>
        <v>0</v>
      </c>
      <c r="N177" s="2">
        <f>SUMIFS(Timesheet!$F$13:$F$11483,Timesheet!$A$13:$A$11483,'Início|Fim 1'!E177,Timesheet!$C$13:$C$11483,'Início|Fim 1'!$N$2)</f>
        <v>0</v>
      </c>
      <c r="O177" s="2">
        <f t="shared" si="2"/>
        <v>0</v>
      </c>
    </row>
    <row r="178" spans="1:15" x14ac:dyDescent="0.25">
      <c r="A178" s="1">
        <v>45102</v>
      </c>
      <c r="B178" s="3">
        <f t="array" ref="B178">MIN(IF(A178=Timesheet!$A$13:$A$2615,Timesheet!$D$13:$D$2615))</f>
        <v>0</v>
      </c>
      <c r="C178" s="3">
        <f t="array" ref="C178">MAX(IF(A178=Timesheet!$A$13:$A$2615,Timesheet!$E$13:$E$2615))</f>
        <v>0</v>
      </c>
      <c r="E178" s="1">
        <v>45102</v>
      </c>
      <c r="F178" s="2">
        <f>SUMIFS(Timesheet!$F$13:$F$11483,Timesheet!$A$13:$A$11483,'Início|Fim 1'!E178,Timesheet!$C$13:$C$11483,'Início|Fim 1'!$F$2)</f>
        <v>0</v>
      </c>
      <c r="G178" s="2">
        <f>SUMIFS(Timesheet!$F$13:$F$11483,Timesheet!$A$13:$A$11483,'Início|Fim 1'!E178,Timesheet!$C$13:$C$11483,'Início|Fim 1'!$G$2)</f>
        <v>0</v>
      </c>
      <c r="H178" s="2">
        <f>SUMIFS(Timesheet!$F$13:$F$11483,Timesheet!$A$13:$A$11483,'Início|Fim 1'!E178,Timesheet!$C$13:$C$11483,'Início|Fim 1'!$H$2)</f>
        <v>0</v>
      </c>
      <c r="I178" s="2">
        <f>SUMIFS(Timesheet!$F$13:$F$11483,Timesheet!$A$13:$A$11483,'Início|Fim 1'!E178,Timesheet!$C$13:$C$11483,'Início|Fim 1'!$I$2)</f>
        <v>0</v>
      </c>
      <c r="J178" s="2">
        <f>SUMIFS(Timesheet!$F$13:$F$11483,Timesheet!$A$13:$A$11483,'Início|Fim 1'!E178,Timesheet!$C$13:$C$11483,'Início|Fim 1'!$J$2)</f>
        <v>0</v>
      </c>
      <c r="K178" s="2">
        <f>SUMIFS(Timesheet!$F$13:$F$11483,Timesheet!$A$13:$A$11483,'Início|Fim 1'!E178,Timesheet!$C$13:$C$11483,'Início|Fim 1'!$K$2)</f>
        <v>0</v>
      </c>
      <c r="L178" s="2">
        <f>SUMIFS(Timesheet!$F$13:$F$11483,Timesheet!$A$13:$A$11483,'Início|Fim 1'!E178,Timesheet!$C$13:$C$11483,'Início|Fim 1'!$L$2)</f>
        <v>0</v>
      </c>
      <c r="M178" s="2">
        <f>SUMIFS(Timesheet!$F$13:$F$11483,Timesheet!$A$13:$A$11483,'Início|Fim 1'!E178,Timesheet!$C$13:$C$11483,'Início|Fim 1'!$M$2)</f>
        <v>0</v>
      </c>
      <c r="N178" s="2">
        <f>SUMIFS(Timesheet!$F$13:$F$11483,Timesheet!$A$13:$A$11483,'Início|Fim 1'!E178,Timesheet!$C$13:$C$11483,'Início|Fim 1'!$N$2)</f>
        <v>0</v>
      </c>
      <c r="O178" s="2">
        <f t="shared" si="2"/>
        <v>0</v>
      </c>
    </row>
    <row r="179" spans="1:15" x14ac:dyDescent="0.25">
      <c r="A179" s="1">
        <v>45103</v>
      </c>
      <c r="B179" s="3">
        <f t="array" ref="B179">MIN(IF(A179=Timesheet!$A$13:$A$2615,Timesheet!$D$13:$D$2615))</f>
        <v>0</v>
      </c>
      <c r="C179" s="3">
        <f t="array" ref="C179">MAX(IF(A179=Timesheet!$A$13:$A$2615,Timesheet!$E$13:$E$2615))</f>
        <v>0</v>
      </c>
      <c r="E179" s="1">
        <v>45103</v>
      </c>
      <c r="F179" s="2">
        <f>SUMIFS(Timesheet!$F$13:$F$11483,Timesheet!$A$13:$A$11483,'Início|Fim 1'!E179,Timesheet!$C$13:$C$11483,'Início|Fim 1'!$F$2)</f>
        <v>0</v>
      </c>
      <c r="G179" s="2">
        <f>SUMIFS(Timesheet!$F$13:$F$11483,Timesheet!$A$13:$A$11483,'Início|Fim 1'!E179,Timesheet!$C$13:$C$11483,'Início|Fim 1'!$G$2)</f>
        <v>0</v>
      </c>
      <c r="H179" s="2">
        <f>SUMIFS(Timesheet!$F$13:$F$11483,Timesheet!$A$13:$A$11483,'Início|Fim 1'!E179,Timesheet!$C$13:$C$11483,'Início|Fim 1'!$H$2)</f>
        <v>0</v>
      </c>
      <c r="I179" s="2">
        <f>SUMIFS(Timesheet!$F$13:$F$11483,Timesheet!$A$13:$A$11483,'Início|Fim 1'!E179,Timesheet!$C$13:$C$11483,'Início|Fim 1'!$I$2)</f>
        <v>0</v>
      </c>
      <c r="J179" s="2">
        <f>SUMIFS(Timesheet!$F$13:$F$11483,Timesheet!$A$13:$A$11483,'Início|Fim 1'!E179,Timesheet!$C$13:$C$11483,'Início|Fim 1'!$J$2)</f>
        <v>0</v>
      </c>
      <c r="K179" s="2">
        <f>SUMIFS(Timesheet!$F$13:$F$11483,Timesheet!$A$13:$A$11483,'Início|Fim 1'!E179,Timesheet!$C$13:$C$11483,'Início|Fim 1'!$K$2)</f>
        <v>0</v>
      </c>
      <c r="L179" s="2">
        <f>SUMIFS(Timesheet!$F$13:$F$11483,Timesheet!$A$13:$A$11483,'Início|Fim 1'!E179,Timesheet!$C$13:$C$11483,'Início|Fim 1'!$L$2)</f>
        <v>0</v>
      </c>
      <c r="M179" s="2">
        <f>SUMIFS(Timesheet!$F$13:$F$11483,Timesheet!$A$13:$A$11483,'Início|Fim 1'!E179,Timesheet!$C$13:$C$11483,'Início|Fim 1'!$M$2)</f>
        <v>0</v>
      </c>
      <c r="N179" s="2">
        <f>SUMIFS(Timesheet!$F$13:$F$11483,Timesheet!$A$13:$A$11483,'Início|Fim 1'!E179,Timesheet!$C$13:$C$11483,'Início|Fim 1'!$N$2)</f>
        <v>0</v>
      </c>
      <c r="O179" s="2">
        <f t="shared" si="2"/>
        <v>0</v>
      </c>
    </row>
    <row r="180" spans="1:15" x14ac:dyDescent="0.25">
      <c r="A180" s="1">
        <v>45104</v>
      </c>
      <c r="B180" s="3">
        <f t="array" ref="B180">MIN(IF(A180=Timesheet!$A$13:$A$2615,Timesheet!$D$13:$D$2615))</f>
        <v>0</v>
      </c>
      <c r="C180" s="3">
        <f t="array" ref="C180">MAX(IF(A180=Timesheet!$A$13:$A$2615,Timesheet!$E$13:$E$2615))</f>
        <v>0</v>
      </c>
      <c r="E180" s="1">
        <v>45104</v>
      </c>
      <c r="F180" s="2">
        <f>SUMIFS(Timesheet!$F$13:$F$11483,Timesheet!$A$13:$A$11483,'Início|Fim 1'!E180,Timesheet!$C$13:$C$11483,'Início|Fim 1'!$F$2)</f>
        <v>0</v>
      </c>
      <c r="G180" s="2">
        <f>SUMIFS(Timesheet!$F$13:$F$11483,Timesheet!$A$13:$A$11483,'Início|Fim 1'!E180,Timesheet!$C$13:$C$11483,'Início|Fim 1'!$G$2)</f>
        <v>0</v>
      </c>
      <c r="H180" s="2">
        <f>SUMIFS(Timesheet!$F$13:$F$11483,Timesheet!$A$13:$A$11483,'Início|Fim 1'!E180,Timesheet!$C$13:$C$11483,'Início|Fim 1'!$H$2)</f>
        <v>0</v>
      </c>
      <c r="I180" s="2">
        <f>SUMIFS(Timesheet!$F$13:$F$11483,Timesheet!$A$13:$A$11483,'Início|Fim 1'!E180,Timesheet!$C$13:$C$11483,'Início|Fim 1'!$I$2)</f>
        <v>0</v>
      </c>
      <c r="J180" s="2">
        <f>SUMIFS(Timesheet!$F$13:$F$11483,Timesheet!$A$13:$A$11483,'Início|Fim 1'!E180,Timesheet!$C$13:$C$11483,'Início|Fim 1'!$J$2)</f>
        <v>0</v>
      </c>
      <c r="K180" s="2">
        <f>SUMIFS(Timesheet!$F$13:$F$11483,Timesheet!$A$13:$A$11483,'Início|Fim 1'!E180,Timesheet!$C$13:$C$11483,'Início|Fim 1'!$K$2)</f>
        <v>0</v>
      </c>
      <c r="L180" s="2">
        <f>SUMIFS(Timesheet!$F$13:$F$11483,Timesheet!$A$13:$A$11483,'Início|Fim 1'!E180,Timesheet!$C$13:$C$11483,'Início|Fim 1'!$L$2)</f>
        <v>0</v>
      </c>
      <c r="M180" s="2">
        <f>SUMIFS(Timesheet!$F$13:$F$11483,Timesheet!$A$13:$A$11483,'Início|Fim 1'!E180,Timesheet!$C$13:$C$11483,'Início|Fim 1'!$M$2)</f>
        <v>0</v>
      </c>
      <c r="N180" s="2">
        <f>SUMIFS(Timesheet!$F$13:$F$11483,Timesheet!$A$13:$A$11483,'Início|Fim 1'!E180,Timesheet!$C$13:$C$11483,'Início|Fim 1'!$N$2)</f>
        <v>0</v>
      </c>
      <c r="O180" s="2">
        <f t="shared" si="2"/>
        <v>0</v>
      </c>
    </row>
    <row r="181" spans="1:15" x14ac:dyDescent="0.25">
      <c r="A181" s="1">
        <v>45105</v>
      </c>
      <c r="B181" s="3">
        <f t="array" ref="B181">MIN(IF(A181=Timesheet!$A$13:$A$2615,Timesheet!$D$13:$D$2615))</f>
        <v>0</v>
      </c>
      <c r="C181" s="3">
        <f t="array" ref="C181">MAX(IF(A181=Timesheet!$A$13:$A$2615,Timesheet!$E$13:$E$2615))</f>
        <v>0</v>
      </c>
      <c r="E181" s="1">
        <v>45105</v>
      </c>
      <c r="F181" s="2">
        <f>SUMIFS(Timesheet!$F$13:$F$11483,Timesheet!$A$13:$A$11483,'Início|Fim 1'!E181,Timesheet!$C$13:$C$11483,'Início|Fim 1'!$F$2)</f>
        <v>0</v>
      </c>
      <c r="G181" s="2">
        <f>SUMIFS(Timesheet!$F$13:$F$11483,Timesheet!$A$13:$A$11483,'Início|Fim 1'!E181,Timesheet!$C$13:$C$11483,'Início|Fim 1'!$G$2)</f>
        <v>0</v>
      </c>
      <c r="H181" s="2">
        <f>SUMIFS(Timesheet!$F$13:$F$11483,Timesheet!$A$13:$A$11483,'Início|Fim 1'!E181,Timesheet!$C$13:$C$11483,'Início|Fim 1'!$H$2)</f>
        <v>0</v>
      </c>
      <c r="I181" s="2">
        <f>SUMIFS(Timesheet!$F$13:$F$11483,Timesheet!$A$13:$A$11483,'Início|Fim 1'!E181,Timesheet!$C$13:$C$11483,'Início|Fim 1'!$I$2)</f>
        <v>0</v>
      </c>
      <c r="J181" s="2">
        <f>SUMIFS(Timesheet!$F$13:$F$11483,Timesheet!$A$13:$A$11483,'Início|Fim 1'!E181,Timesheet!$C$13:$C$11483,'Início|Fim 1'!$J$2)</f>
        <v>0</v>
      </c>
      <c r="K181" s="2">
        <f>SUMIFS(Timesheet!$F$13:$F$11483,Timesheet!$A$13:$A$11483,'Início|Fim 1'!E181,Timesheet!$C$13:$C$11483,'Início|Fim 1'!$K$2)</f>
        <v>0</v>
      </c>
      <c r="L181" s="2">
        <f>SUMIFS(Timesheet!$F$13:$F$11483,Timesheet!$A$13:$A$11483,'Início|Fim 1'!E181,Timesheet!$C$13:$C$11483,'Início|Fim 1'!$L$2)</f>
        <v>0</v>
      </c>
      <c r="M181" s="2">
        <f>SUMIFS(Timesheet!$F$13:$F$11483,Timesheet!$A$13:$A$11483,'Início|Fim 1'!E181,Timesheet!$C$13:$C$11483,'Início|Fim 1'!$M$2)</f>
        <v>0</v>
      </c>
      <c r="N181" s="2">
        <f>SUMIFS(Timesheet!$F$13:$F$11483,Timesheet!$A$13:$A$11483,'Início|Fim 1'!E181,Timesheet!$C$13:$C$11483,'Início|Fim 1'!$N$2)</f>
        <v>0</v>
      </c>
      <c r="O181" s="2">
        <f t="shared" si="2"/>
        <v>0</v>
      </c>
    </row>
    <row r="182" spans="1:15" x14ac:dyDescent="0.25">
      <c r="A182" s="1">
        <v>45106</v>
      </c>
      <c r="B182" s="3">
        <f t="array" ref="B182">MIN(IF(A182=Timesheet!$A$13:$A$2615,Timesheet!$D$13:$D$2615))</f>
        <v>0</v>
      </c>
      <c r="C182" s="3">
        <f t="array" ref="C182">MAX(IF(A182=Timesheet!$A$13:$A$2615,Timesheet!$E$13:$E$2615))</f>
        <v>0</v>
      </c>
      <c r="E182" s="1">
        <v>45106</v>
      </c>
      <c r="F182" s="2">
        <f>SUMIFS(Timesheet!$F$13:$F$11483,Timesheet!$A$13:$A$11483,'Início|Fim 1'!E182,Timesheet!$C$13:$C$11483,'Início|Fim 1'!$F$2)</f>
        <v>0</v>
      </c>
      <c r="G182" s="2">
        <f>SUMIFS(Timesheet!$F$13:$F$11483,Timesheet!$A$13:$A$11483,'Início|Fim 1'!E182,Timesheet!$C$13:$C$11483,'Início|Fim 1'!$G$2)</f>
        <v>0</v>
      </c>
      <c r="H182" s="2">
        <f>SUMIFS(Timesheet!$F$13:$F$11483,Timesheet!$A$13:$A$11483,'Início|Fim 1'!E182,Timesheet!$C$13:$C$11483,'Início|Fim 1'!$H$2)</f>
        <v>0</v>
      </c>
      <c r="I182" s="2">
        <f>SUMIFS(Timesheet!$F$13:$F$11483,Timesheet!$A$13:$A$11483,'Início|Fim 1'!E182,Timesheet!$C$13:$C$11483,'Início|Fim 1'!$I$2)</f>
        <v>0</v>
      </c>
      <c r="J182" s="2">
        <f>SUMIFS(Timesheet!$F$13:$F$11483,Timesheet!$A$13:$A$11483,'Início|Fim 1'!E182,Timesheet!$C$13:$C$11483,'Início|Fim 1'!$J$2)</f>
        <v>0</v>
      </c>
      <c r="K182" s="2">
        <f>SUMIFS(Timesheet!$F$13:$F$11483,Timesheet!$A$13:$A$11483,'Início|Fim 1'!E182,Timesheet!$C$13:$C$11483,'Início|Fim 1'!$K$2)</f>
        <v>0</v>
      </c>
      <c r="L182" s="2">
        <f>SUMIFS(Timesheet!$F$13:$F$11483,Timesheet!$A$13:$A$11483,'Início|Fim 1'!E182,Timesheet!$C$13:$C$11483,'Início|Fim 1'!$L$2)</f>
        <v>0</v>
      </c>
      <c r="M182" s="2">
        <f>SUMIFS(Timesheet!$F$13:$F$11483,Timesheet!$A$13:$A$11483,'Início|Fim 1'!E182,Timesheet!$C$13:$C$11483,'Início|Fim 1'!$M$2)</f>
        <v>0</v>
      </c>
      <c r="N182" s="2">
        <f>SUMIFS(Timesheet!$F$13:$F$11483,Timesheet!$A$13:$A$11483,'Início|Fim 1'!E182,Timesheet!$C$13:$C$11483,'Início|Fim 1'!$N$2)</f>
        <v>0</v>
      </c>
      <c r="O182" s="2">
        <f t="shared" si="2"/>
        <v>0</v>
      </c>
    </row>
    <row r="183" spans="1:15" x14ac:dyDescent="0.25">
      <c r="A183" s="1">
        <v>45107</v>
      </c>
      <c r="B183" s="3">
        <f t="array" ref="B183">MIN(IF(A183=Timesheet!$A$13:$A$2615,Timesheet!$D$13:$D$2615))</f>
        <v>0</v>
      </c>
      <c r="C183" s="3">
        <f t="array" ref="C183">MAX(IF(A183=Timesheet!$A$13:$A$2615,Timesheet!$E$13:$E$2615))</f>
        <v>0</v>
      </c>
      <c r="E183" s="1">
        <v>45107</v>
      </c>
      <c r="F183" s="2">
        <f>SUMIFS(Timesheet!$F$13:$F$11483,Timesheet!$A$13:$A$11483,'Início|Fim 1'!E183,Timesheet!$C$13:$C$11483,'Início|Fim 1'!$F$2)</f>
        <v>0</v>
      </c>
      <c r="G183" s="2">
        <f>SUMIFS(Timesheet!$F$13:$F$11483,Timesheet!$A$13:$A$11483,'Início|Fim 1'!E183,Timesheet!$C$13:$C$11483,'Início|Fim 1'!$G$2)</f>
        <v>0</v>
      </c>
      <c r="H183" s="2">
        <f>SUMIFS(Timesheet!$F$13:$F$11483,Timesheet!$A$13:$A$11483,'Início|Fim 1'!E183,Timesheet!$C$13:$C$11483,'Início|Fim 1'!$H$2)</f>
        <v>0</v>
      </c>
      <c r="I183" s="2">
        <f>SUMIFS(Timesheet!$F$13:$F$11483,Timesheet!$A$13:$A$11483,'Início|Fim 1'!E183,Timesheet!$C$13:$C$11483,'Início|Fim 1'!$I$2)</f>
        <v>0</v>
      </c>
      <c r="J183" s="2">
        <f>SUMIFS(Timesheet!$F$13:$F$11483,Timesheet!$A$13:$A$11483,'Início|Fim 1'!E183,Timesheet!$C$13:$C$11483,'Início|Fim 1'!$J$2)</f>
        <v>0</v>
      </c>
      <c r="K183" s="2">
        <f>SUMIFS(Timesheet!$F$13:$F$11483,Timesheet!$A$13:$A$11483,'Início|Fim 1'!E183,Timesheet!$C$13:$C$11483,'Início|Fim 1'!$K$2)</f>
        <v>0</v>
      </c>
      <c r="L183" s="2">
        <f>SUMIFS(Timesheet!$F$13:$F$11483,Timesheet!$A$13:$A$11483,'Início|Fim 1'!E183,Timesheet!$C$13:$C$11483,'Início|Fim 1'!$L$2)</f>
        <v>0</v>
      </c>
      <c r="M183" s="2">
        <f>SUMIFS(Timesheet!$F$13:$F$11483,Timesheet!$A$13:$A$11483,'Início|Fim 1'!E183,Timesheet!$C$13:$C$11483,'Início|Fim 1'!$M$2)</f>
        <v>0</v>
      </c>
      <c r="N183" s="2">
        <f>SUMIFS(Timesheet!$F$13:$F$11483,Timesheet!$A$13:$A$11483,'Início|Fim 1'!E183,Timesheet!$C$13:$C$11483,'Início|Fim 1'!$N$2)</f>
        <v>0</v>
      </c>
      <c r="O183" s="2">
        <f t="shared" si="2"/>
        <v>0</v>
      </c>
    </row>
    <row r="184" spans="1:15" x14ac:dyDescent="0.25">
      <c r="A184" s="1">
        <v>45108</v>
      </c>
      <c r="B184" s="3">
        <f t="array" ref="B184">MIN(IF(A184=Timesheet!$A$13:$A$2615,Timesheet!$D$13:$D$2615))</f>
        <v>0</v>
      </c>
      <c r="C184" s="3">
        <f t="array" ref="C184">MAX(IF(A184=Timesheet!$A$13:$A$2615,Timesheet!$E$13:$E$2615))</f>
        <v>0</v>
      </c>
      <c r="E184" s="1">
        <v>45108</v>
      </c>
      <c r="F184" s="2">
        <f>SUMIFS(Timesheet!$F$13:$F$11483,Timesheet!$A$13:$A$11483,'Início|Fim 1'!E184,Timesheet!$C$13:$C$11483,'Início|Fim 1'!$F$2)</f>
        <v>0</v>
      </c>
      <c r="G184" s="2">
        <f>SUMIFS(Timesheet!$F$13:$F$11483,Timesheet!$A$13:$A$11483,'Início|Fim 1'!E184,Timesheet!$C$13:$C$11483,'Início|Fim 1'!$G$2)</f>
        <v>0</v>
      </c>
      <c r="H184" s="2">
        <f>SUMIFS(Timesheet!$F$13:$F$11483,Timesheet!$A$13:$A$11483,'Início|Fim 1'!E184,Timesheet!$C$13:$C$11483,'Início|Fim 1'!$H$2)</f>
        <v>0</v>
      </c>
      <c r="I184" s="2">
        <f>SUMIFS(Timesheet!$F$13:$F$11483,Timesheet!$A$13:$A$11483,'Início|Fim 1'!E184,Timesheet!$C$13:$C$11483,'Início|Fim 1'!$I$2)</f>
        <v>0</v>
      </c>
      <c r="J184" s="2">
        <f>SUMIFS(Timesheet!$F$13:$F$11483,Timesheet!$A$13:$A$11483,'Início|Fim 1'!E184,Timesheet!$C$13:$C$11483,'Início|Fim 1'!$J$2)</f>
        <v>0</v>
      </c>
      <c r="K184" s="2">
        <f>SUMIFS(Timesheet!$F$13:$F$11483,Timesheet!$A$13:$A$11483,'Início|Fim 1'!E184,Timesheet!$C$13:$C$11483,'Início|Fim 1'!$K$2)</f>
        <v>0</v>
      </c>
      <c r="L184" s="2">
        <f>SUMIFS(Timesheet!$F$13:$F$11483,Timesheet!$A$13:$A$11483,'Início|Fim 1'!E184,Timesheet!$C$13:$C$11483,'Início|Fim 1'!$L$2)</f>
        <v>0</v>
      </c>
      <c r="M184" s="2">
        <f>SUMIFS(Timesheet!$F$13:$F$11483,Timesheet!$A$13:$A$11483,'Início|Fim 1'!E184,Timesheet!$C$13:$C$11483,'Início|Fim 1'!$M$2)</f>
        <v>0</v>
      </c>
      <c r="N184" s="2">
        <f>SUMIFS(Timesheet!$F$13:$F$11483,Timesheet!$A$13:$A$11483,'Início|Fim 1'!E184,Timesheet!$C$13:$C$11483,'Início|Fim 1'!$N$2)</f>
        <v>0</v>
      </c>
      <c r="O184" s="2">
        <f t="shared" si="2"/>
        <v>0</v>
      </c>
    </row>
    <row r="185" spans="1:15" x14ac:dyDescent="0.25">
      <c r="A185" s="1">
        <v>45109</v>
      </c>
      <c r="B185" s="3">
        <f t="array" ref="B185">MIN(IF(A185=Timesheet!$A$13:$A$2615,Timesheet!$D$13:$D$2615))</f>
        <v>0</v>
      </c>
      <c r="C185" s="3">
        <f t="array" ref="C185">MAX(IF(A185=Timesheet!$A$13:$A$2615,Timesheet!$E$13:$E$2615))</f>
        <v>0</v>
      </c>
      <c r="E185" s="1">
        <v>45109</v>
      </c>
      <c r="F185" s="2">
        <f>SUMIFS(Timesheet!$F$13:$F$11483,Timesheet!$A$13:$A$11483,'Início|Fim 1'!E185,Timesheet!$C$13:$C$11483,'Início|Fim 1'!$F$2)</f>
        <v>0</v>
      </c>
      <c r="G185" s="2">
        <f>SUMIFS(Timesheet!$F$13:$F$11483,Timesheet!$A$13:$A$11483,'Início|Fim 1'!E185,Timesheet!$C$13:$C$11483,'Início|Fim 1'!$G$2)</f>
        <v>0</v>
      </c>
      <c r="H185" s="2">
        <f>SUMIFS(Timesheet!$F$13:$F$11483,Timesheet!$A$13:$A$11483,'Início|Fim 1'!E185,Timesheet!$C$13:$C$11483,'Início|Fim 1'!$H$2)</f>
        <v>0</v>
      </c>
      <c r="I185" s="2">
        <f>SUMIFS(Timesheet!$F$13:$F$11483,Timesheet!$A$13:$A$11483,'Início|Fim 1'!E185,Timesheet!$C$13:$C$11483,'Início|Fim 1'!$I$2)</f>
        <v>0</v>
      </c>
      <c r="J185" s="2">
        <f>SUMIFS(Timesheet!$F$13:$F$11483,Timesheet!$A$13:$A$11483,'Início|Fim 1'!E185,Timesheet!$C$13:$C$11483,'Início|Fim 1'!$J$2)</f>
        <v>0</v>
      </c>
      <c r="K185" s="2">
        <f>SUMIFS(Timesheet!$F$13:$F$11483,Timesheet!$A$13:$A$11483,'Início|Fim 1'!E185,Timesheet!$C$13:$C$11483,'Início|Fim 1'!$K$2)</f>
        <v>0</v>
      </c>
      <c r="L185" s="2">
        <f>SUMIFS(Timesheet!$F$13:$F$11483,Timesheet!$A$13:$A$11483,'Início|Fim 1'!E185,Timesheet!$C$13:$C$11483,'Início|Fim 1'!$L$2)</f>
        <v>0</v>
      </c>
      <c r="M185" s="2">
        <f>SUMIFS(Timesheet!$F$13:$F$11483,Timesheet!$A$13:$A$11483,'Início|Fim 1'!E185,Timesheet!$C$13:$C$11483,'Início|Fim 1'!$M$2)</f>
        <v>0</v>
      </c>
      <c r="N185" s="2">
        <f>SUMIFS(Timesheet!$F$13:$F$11483,Timesheet!$A$13:$A$11483,'Início|Fim 1'!E185,Timesheet!$C$13:$C$11483,'Início|Fim 1'!$N$2)</f>
        <v>0</v>
      </c>
      <c r="O185" s="2">
        <f t="shared" si="2"/>
        <v>0</v>
      </c>
    </row>
    <row r="186" spans="1:15" x14ac:dyDescent="0.25">
      <c r="A186" s="1">
        <v>45110</v>
      </c>
      <c r="B186" s="3">
        <f t="array" ref="B186">MIN(IF(A186=Timesheet!$A$13:$A$2615,Timesheet!$D$13:$D$2615))</f>
        <v>0</v>
      </c>
      <c r="C186" s="3">
        <f t="array" ref="C186">MAX(IF(A186=Timesheet!$A$13:$A$2615,Timesheet!$E$13:$E$2615))</f>
        <v>0</v>
      </c>
      <c r="E186" s="1">
        <v>45110</v>
      </c>
      <c r="F186" s="2">
        <f>SUMIFS(Timesheet!$F$13:$F$11483,Timesheet!$A$13:$A$11483,'Início|Fim 1'!E186,Timesheet!$C$13:$C$11483,'Início|Fim 1'!$F$2)</f>
        <v>0</v>
      </c>
      <c r="G186" s="2">
        <f>SUMIFS(Timesheet!$F$13:$F$11483,Timesheet!$A$13:$A$11483,'Início|Fim 1'!E186,Timesheet!$C$13:$C$11483,'Início|Fim 1'!$G$2)</f>
        <v>0</v>
      </c>
      <c r="H186" s="2">
        <f>SUMIFS(Timesheet!$F$13:$F$11483,Timesheet!$A$13:$A$11483,'Início|Fim 1'!E186,Timesheet!$C$13:$C$11483,'Início|Fim 1'!$H$2)</f>
        <v>0</v>
      </c>
      <c r="I186" s="2">
        <f>SUMIFS(Timesheet!$F$13:$F$11483,Timesheet!$A$13:$A$11483,'Início|Fim 1'!E186,Timesheet!$C$13:$C$11483,'Início|Fim 1'!$I$2)</f>
        <v>0</v>
      </c>
      <c r="J186" s="2">
        <f>SUMIFS(Timesheet!$F$13:$F$11483,Timesheet!$A$13:$A$11483,'Início|Fim 1'!E186,Timesheet!$C$13:$C$11483,'Início|Fim 1'!$J$2)</f>
        <v>0</v>
      </c>
      <c r="K186" s="2">
        <f>SUMIFS(Timesheet!$F$13:$F$11483,Timesheet!$A$13:$A$11483,'Início|Fim 1'!E186,Timesheet!$C$13:$C$11483,'Início|Fim 1'!$K$2)</f>
        <v>0</v>
      </c>
      <c r="L186" s="2">
        <f>SUMIFS(Timesheet!$F$13:$F$11483,Timesheet!$A$13:$A$11483,'Início|Fim 1'!E186,Timesheet!$C$13:$C$11483,'Início|Fim 1'!$L$2)</f>
        <v>0</v>
      </c>
      <c r="M186" s="2">
        <f>SUMIFS(Timesheet!$F$13:$F$11483,Timesheet!$A$13:$A$11483,'Início|Fim 1'!E186,Timesheet!$C$13:$C$11483,'Início|Fim 1'!$M$2)</f>
        <v>0</v>
      </c>
      <c r="N186" s="2">
        <f>SUMIFS(Timesheet!$F$13:$F$11483,Timesheet!$A$13:$A$11483,'Início|Fim 1'!E186,Timesheet!$C$13:$C$11483,'Início|Fim 1'!$N$2)</f>
        <v>0</v>
      </c>
      <c r="O186" s="2">
        <f t="shared" si="2"/>
        <v>0</v>
      </c>
    </row>
    <row r="187" spans="1:15" x14ac:dyDescent="0.25">
      <c r="A187" s="1">
        <v>45111</v>
      </c>
      <c r="B187" s="3">
        <f t="array" ref="B187">MIN(IF(A187=Timesheet!$A$13:$A$2615,Timesheet!$D$13:$D$2615))</f>
        <v>0</v>
      </c>
      <c r="C187" s="3">
        <f t="array" ref="C187">MAX(IF(A187=Timesheet!$A$13:$A$2615,Timesheet!$E$13:$E$2615))</f>
        <v>0</v>
      </c>
      <c r="E187" s="1">
        <v>45111</v>
      </c>
      <c r="F187" s="2">
        <f>SUMIFS(Timesheet!$F$13:$F$11483,Timesheet!$A$13:$A$11483,'Início|Fim 1'!E187,Timesheet!$C$13:$C$11483,'Início|Fim 1'!$F$2)</f>
        <v>0</v>
      </c>
      <c r="G187" s="2">
        <f>SUMIFS(Timesheet!$F$13:$F$11483,Timesheet!$A$13:$A$11483,'Início|Fim 1'!E187,Timesheet!$C$13:$C$11483,'Início|Fim 1'!$G$2)</f>
        <v>0</v>
      </c>
      <c r="H187" s="2">
        <f>SUMIFS(Timesheet!$F$13:$F$11483,Timesheet!$A$13:$A$11483,'Início|Fim 1'!E187,Timesheet!$C$13:$C$11483,'Início|Fim 1'!$H$2)</f>
        <v>0</v>
      </c>
      <c r="I187" s="2">
        <f>SUMIFS(Timesheet!$F$13:$F$11483,Timesheet!$A$13:$A$11483,'Início|Fim 1'!E187,Timesheet!$C$13:$C$11483,'Início|Fim 1'!$I$2)</f>
        <v>0</v>
      </c>
      <c r="J187" s="2">
        <f>SUMIFS(Timesheet!$F$13:$F$11483,Timesheet!$A$13:$A$11483,'Início|Fim 1'!E187,Timesheet!$C$13:$C$11483,'Início|Fim 1'!$J$2)</f>
        <v>0</v>
      </c>
      <c r="K187" s="2">
        <f>SUMIFS(Timesheet!$F$13:$F$11483,Timesheet!$A$13:$A$11483,'Início|Fim 1'!E187,Timesheet!$C$13:$C$11483,'Início|Fim 1'!$K$2)</f>
        <v>0</v>
      </c>
      <c r="L187" s="2">
        <f>SUMIFS(Timesheet!$F$13:$F$11483,Timesheet!$A$13:$A$11483,'Início|Fim 1'!E187,Timesheet!$C$13:$C$11483,'Início|Fim 1'!$L$2)</f>
        <v>0</v>
      </c>
      <c r="M187" s="2">
        <f>SUMIFS(Timesheet!$F$13:$F$11483,Timesheet!$A$13:$A$11483,'Início|Fim 1'!E187,Timesheet!$C$13:$C$11483,'Início|Fim 1'!$M$2)</f>
        <v>0</v>
      </c>
      <c r="N187" s="2">
        <f>SUMIFS(Timesheet!$F$13:$F$11483,Timesheet!$A$13:$A$11483,'Início|Fim 1'!E187,Timesheet!$C$13:$C$11483,'Início|Fim 1'!$N$2)</f>
        <v>0</v>
      </c>
      <c r="O187" s="2">
        <f t="shared" si="2"/>
        <v>0</v>
      </c>
    </row>
    <row r="188" spans="1:15" x14ac:dyDescent="0.25">
      <c r="A188" s="1">
        <v>45112</v>
      </c>
      <c r="B188" s="3">
        <f t="array" ref="B188">MIN(IF(A188=Timesheet!$A$13:$A$2615,Timesheet!$D$13:$D$2615))</f>
        <v>0</v>
      </c>
      <c r="C188" s="3">
        <f t="array" ref="C188">MAX(IF(A188=Timesheet!$A$13:$A$2615,Timesheet!$E$13:$E$2615))</f>
        <v>0</v>
      </c>
      <c r="E188" s="1">
        <v>45112</v>
      </c>
      <c r="F188" s="2">
        <f>SUMIFS(Timesheet!$F$13:$F$11483,Timesheet!$A$13:$A$11483,'Início|Fim 1'!E188,Timesheet!$C$13:$C$11483,'Início|Fim 1'!$F$2)</f>
        <v>0</v>
      </c>
      <c r="G188" s="2">
        <f>SUMIFS(Timesheet!$F$13:$F$11483,Timesheet!$A$13:$A$11483,'Início|Fim 1'!E188,Timesheet!$C$13:$C$11483,'Início|Fim 1'!$G$2)</f>
        <v>0</v>
      </c>
      <c r="H188" s="2">
        <f>SUMIFS(Timesheet!$F$13:$F$11483,Timesheet!$A$13:$A$11483,'Início|Fim 1'!E188,Timesheet!$C$13:$C$11483,'Início|Fim 1'!$H$2)</f>
        <v>0</v>
      </c>
      <c r="I188" s="2">
        <f>SUMIFS(Timesheet!$F$13:$F$11483,Timesheet!$A$13:$A$11483,'Início|Fim 1'!E188,Timesheet!$C$13:$C$11483,'Início|Fim 1'!$I$2)</f>
        <v>0</v>
      </c>
      <c r="J188" s="2">
        <f>SUMIFS(Timesheet!$F$13:$F$11483,Timesheet!$A$13:$A$11483,'Início|Fim 1'!E188,Timesheet!$C$13:$C$11483,'Início|Fim 1'!$J$2)</f>
        <v>0</v>
      </c>
      <c r="K188" s="2">
        <f>SUMIFS(Timesheet!$F$13:$F$11483,Timesheet!$A$13:$A$11483,'Início|Fim 1'!E188,Timesheet!$C$13:$C$11483,'Início|Fim 1'!$K$2)</f>
        <v>0</v>
      </c>
      <c r="L188" s="2">
        <f>SUMIFS(Timesheet!$F$13:$F$11483,Timesheet!$A$13:$A$11483,'Início|Fim 1'!E188,Timesheet!$C$13:$C$11483,'Início|Fim 1'!$L$2)</f>
        <v>0</v>
      </c>
      <c r="M188" s="2">
        <f>SUMIFS(Timesheet!$F$13:$F$11483,Timesheet!$A$13:$A$11483,'Início|Fim 1'!E188,Timesheet!$C$13:$C$11483,'Início|Fim 1'!$M$2)</f>
        <v>0</v>
      </c>
      <c r="N188" s="2">
        <f>SUMIFS(Timesheet!$F$13:$F$11483,Timesheet!$A$13:$A$11483,'Início|Fim 1'!E188,Timesheet!$C$13:$C$11483,'Início|Fim 1'!$N$2)</f>
        <v>0</v>
      </c>
      <c r="O188" s="2">
        <f t="shared" si="2"/>
        <v>0</v>
      </c>
    </row>
    <row r="189" spans="1:15" x14ac:dyDescent="0.25">
      <c r="A189" s="1">
        <v>45113</v>
      </c>
      <c r="B189" s="3">
        <f t="array" ref="B189">MIN(IF(A189=Timesheet!$A$13:$A$2615,Timesheet!$D$13:$D$2615))</f>
        <v>0</v>
      </c>
      <c r="C189" s="3">
        <f t="array" ref="C189">MAX(IF(A189=Timesheet!$A$13:$A$2615,Timesheet!$E$13:$E$2615))</f>
        <v>0</v>
      </c>
      <c r="E189" s="1">
        <v>45113</v>
      </c>
      <c r="F189" s="2">
        <f>SUMIFS(Timesheet!$F$13:$F$11483,Timesheet!$A$13:$A$11483,'Início|Fim 1'!E189,Timesheet!$C$13:$C$11483,'Início|Fim 1'!$F$2)</f>
        <v>0</v>
      </c>
      <c r="G189" s="2">
        <f>SUMIFS(Timesheet!$F$13:$F$11483,Timesheet!$A$13:$A$11483,'Início|Fim 1'!E189,Timesheet!$C$13:$C$11483,'Início|Fim 1'!$G$2)</f>
        <v>0</v>
      </c>
      <c r="H189" s="2">
        <f>SUMIFS(Timesheet!$F$13:$F$11483,Timesheet!$A$13:$A$11483,'Início|Fim 1'!E189,Timesheet!$C$13:$C$11483,'Início|Fim 1'!$H$2)</f>
        <v>0</v>
      </c>
      <c r="I189" s="2">
        <f>SUMIFS(Timesheet!$F$13:$F$11483,Timesheet!$A$13:$A$11483,'Início|Fim 1'!E189,Timesheet!$C$13:$C$11483,'Início|Fim 1'!$I$2)</f>
        <v>0</v>
      </c>
      <c r="J189" s="2">
        <f>SUMIFS(Timesheet!$F$13:$F$11483,Timesheet!$A$13:$A$11483,'Início|Fim 1'!E189,Timesheet!$C$13:$C$11483,'Início|Fim 1'!$J$2)</f>
        <v>0</v>
      </c>
      <c r="K189" s="2">
        <f>SUMIFS(Timesheet!$F$13:$F$11483,Timesheet!$A$13:$A$11483,'Início|Fim 1'!E189,Timesheet!$C$13:$C$11483,'Início|Fim 1'!$K$2)</f>
        <v>0</v>
      </c>
      <c r="L189" s="2">
        <f>SUMIFS(Timesheet!$F$13:$F$11483,Timesheet!$A$13:$A$11483,'Início|Fim 1'!E189,Timesheet!$C$13:$C$11483,'Início|Fim 1'!$L$2)</f>
        <v>0</v>
      </c>
      <c r="M189" s="2">
        <f>SUMIFS(Timesheet!$F$13:$F$11483,Timesheet!$A$13:$A$11483,'Início|Fim 1'!E189,Timesheet!$C$13:$C$11483,'Início|Fim 1'!$M$2)</f>
        <v>0</v>
      </c>
      <c r="N189" s="2">
        <f>SUMIFS(Timesheet!$F$13:$F$11483,Timesheet!$A$13:$A$11483,'Início|Fim 1'!E189,Timesheet!$C$13:$C$11483,'Início|Fim 1'!$N$2)</f>
        <v>0</v>
      </c>
      <c r="O189" s="2">
        <f t="shared" si="2"/>
        <v>0</v>
      </c>
    </row>
    <row r="190" spans="1:15" x14ac:dyDescent="0.25">
      <c r="A190" s="1">
        <v>45114</v>
      </c>
      <c r="B190" s="3">
        <f t="array" ref="B190">MIN(IF(A190=Timesheet!$A$13:$A$2615,Timesheet!$D$13:$D$2615))</f>
        <v>0</v>
      </c>
      <c r="C190" s="3">
        <f t="array" ref="C190">MAX(IF(A190=Timesheet!$A$13:$A$2615,Timesheet!$E$13:$E$2615))</f>
        <v>0</v>
      </c>
      <c r="E190" s="1">
        <v>45114</v>
      </c>
      <c r="F190" s="2">
        <f>SUMIFS(Timesheet!$F$13:$F$11483,Timesheet!$A$13:$A$11483,'Início|Fim 1'!E190,Timesheet!$C$13:$C$11483,'Início|Fim 1'!$F$2)</f>
        <v>0</v>
      </c>
      <c r="G190" s="2">
        <f>SUMIFS(Timesheet!$F$13:$F$11483,Timesheet!$A$13:$A$11483,'Início|Fim 1'!E190,Timesheet!$C$13:$C$11483,'Início|Fim 1'!$G$2)</f>
        <v>0</v>
      </c>
      <c r="H190" s="2">
        <f>SUMIFS(Timesheet!$F$13:$F$11483,Timesheet!$A$13:$A$11483,'Início|Fim 1'!E190,Timesheet!$C$13:$C$11483,'Início|Fim 1'!$H$2)</f>
        <v>0</v>
      </c>
      <c r="I190" s="2">
        <f>SUMIFS(Timesheet!$F$13:$F$11483,Timesheet!$A$13:$A$11483,'Início|Fim 1'!E190,Timesheet!$C$13:$C$11483,'Início|Fim 1'!$I$2)</f>
        <v>0</v>
      </c>
      <c r="J190" s="2">
        <f>SUMIFS(Timesheet!$F$13:$F$11483,Timesheet!$A$13:$A$11483,'Início|Fim 1'!E190,Timesheet!$C$13:$C$11483,'Início|Fim 1'!$J$2)</f>
        <v>0</v>
      </c>
      <c r="K190" s="2">
        <f>SUMIFS(Timesheet!$F$13:$F$11483,Timesheet!$A$13:$A$11483,'Início|Fim 1'!E190,Timesheet!$C$13:$C$11483,'Início|Fim 1'!$K$2)</f>
        <v>0</v>
      </c>
      <c r="L190" s="2">
        <f>SUMIFS(Timesheet!$F$13:$F$11483,Timesheet!$A$13:$A$11483,'Início|Fim 1'!E190,Timesheet!$C$13:$C$11483,'Início|Fim 1'!$L$2)</f>
        <v>0</v>
      </c>
      <c r="M190" s="2">
        <f>SUMIFS(Timesheet!$F$13:$F$11483,Timesheet!$A$13:$A$11483,'Início|Fim 1'!E190,Timesheet!$C$13:$C$11483,'Início|Fim 1'!$M$2)</f>
        <v>0</v>
      </c>
      <c r="N190" s="2">
        <f>SUMIFS(Timesheet!$F$13:$F$11483,Timesheet!$A$13:$A$11483,'Início|Fim 1'!E190,Timesheet!$C$13:$C$11483,'Início|Fim 1'!$N$2)</f>
        <v>0</v>
      </c>
      <c r="O190" s="2">
        <f t="shared" si="2"/>
        <v>0</v>
      </c>
    </row>
    <row r="191" spans="1:15" x14ac:dyDescent="0.25">
      <c r="A191" s="1">
        <v>45115</v>
      </c>
      <c r="B191" s="3">
        <f t="array" ref="B191">MIN(IF(A191=Timesheet!$A$13:$A$2615,Timesheet!$D$13:$D$2615))</f>
        <v>0</v>
      </c>
      <c r="C191" s="3">
        <f t="array" ref="C191">MAX(IF(A191=Timesheet!$A$13:$A$2615,Timesheet!$E$13:$E$2615))</f>
        <v>0</v>
      </c>
      <c r="E191" s="1">
        <v>45115</v>
      </c>
      <c r="F191" s="2">
        <f>SUMIFS(Timesheet!$F$13:$F$11483,Timesheet!$A$13:$A$11483,'Início|Fim 1'!E191,Timesheet!$C$13:$C$11483,'Início|Fim 1'!$F$2)</f>
        <v>0</v>
      </c>
      <c r="G191" s="2">
        <f>SUMIFS(Timesheet!$F$13:$F$11483,Timesheet!$A$13:$A$11483,'Início|Fim 1'!E191,Timesheet!$C$13:$C$11483,'Início|Fim 1'!$G$2)</f>
        <v>0</v>
      </c>
      <c r="H191" s="2">
        <f>SUMIFS(Timesheet!$F$13:$F$11483,Timesheet!$A$13:$A$11483,'Início|Fim 1'!E191,Timesheet!$C$13:$C$11483,'Início|Fim 1'!$H$2)</f>
        <v>0</v>
      </c>
      <c r="I191" s="2">
        <f>SUMIFS(Timesheet!$F$13:$F$11483,Timesheet!$A$13:$A$11483,'Início|Fim 1'!E191,Timesheet!$C$13:$C$11483,'Início|Fim 1'!$I$2)</f>
        <v>0</v>
      </c>
      <c r="J191" s="2">
        <f>SUMIFS(Timesheet!$F$13:$F$11483,Timesheet!$A$13:$A$11483,'Início|Fim 1'!E191,Timesheet!$C$13:$C$11483,'Início|Fim 1'!$J$2)</f>
        <v>0</v>
      </c>
      <c r="K191" s="2">
        <f>SUMIFS(Timesheet!$F$13:$F$11483,Timesheet!$A$13:$A$11483,'Início|Fim 1'!E191,Timesheet!$C$13:$C$11483,'Início|Fim 1'!$K$2)</f>
        <v>0</v>
      </c>
      <c r="L191" s="2">
        <f>SUMIFS(Timesheet!$F$13:$F$11483,Timesheet!$A$13:$A$11483,'Início|Fim 1'!E191,Timesheet!$C$13:$C$11483,'Início|Fim 1'!$L$2)</f>
        <v>0</v>
      </c>
      <c r="M191" s="2">
        <f>SUMIFS(Timesheet!$F$13:$F$11483,Timesheet!$A$13:$A$11483,'Início|Fim 1'!E191,Timesheet!$C$13:$C$11483,'Início|Fim 1'!$M$2)</f>
        <v>0</v>
      </c>
      <c r="N191" s="2">
        <f>SUMIFS(Timesheet!$F$13:$F$11483,Timesheet!$A$13:$A$11483,'Início|Fim 1'!E191,Timesheet!$C$13:$C$11483,'Início|Fim 1'!$N$2)</f>
        <v>0</v>
      </c>
      <c r="O191" s="2">
        <f t="shared" si="2"/>
        <v>0</v>
      </c>
    </row>
    <row r="192" spans="1:15" x14ac:dyDescent="0.25">
      <c r="A192" s="1">
        <v>45116</v>
      </c>
      <c r="B192" s="3">
        <f t="array" ref="B192">MIN(IF(A192=Timesheet!$A$13:$A$2615,Timesheet!$D$13:$D$2615))</f>
        <v>0</v>
      </c>
      <c r="C192" s="3">
        <f t="array" ref="C192">MAX(IF(A192=Timesheet!$A$13:$A$2615,Timesheet!$E$13:$E$2615))</f>
        <v>0</v>
      </c>
      <c r="E192" s="1">
        <v>45116</v>
      </c>
      <c r="F192" s="2">
        <f>SUMIFS(Timesheet!$F$13:$F$11483,Timesheet!$A$13:$A$11483,'Início|Fim 1'!E192,Timesheet!$C$13:$C$11483,'Início|Fim 1'!$F$2)</f>
        <v>0</v>
      </c>
      <c r="G192" s="2">
        <f>SUMIFS(Timesheet!$F$13:$F$11483,Timesheet!$A$13:$A$11483,'Início|Fim 1'!E192,Timesheet!$C$13:$C$11483,'Início|Fim 1'!$G$2)</f>
        <v>0</v>
      </c>
      <c r="H192" s="2">
        <f>SUMIFS(Timesheet!$F$13:$F$11483,Timesheet!$A$13:$A$11483,'Início|Fim 1'!E192,Timesheet!$C$13:$C$11483,'Início|Fim 1'!$H$2)</f>
        <v>0</v>
      </c>
      <c r="I192" s="2">
        <f>SUMIFS(Timesheet!$F$13:$F$11483,Timesheet!$A$13:$A$11483,'Início|Fim 1'!E192,Timesheet!$C$13:$C$11483,'Início|Fim 1'!$I$2)</f>
        <v>0</v>
      </c>
      <c r="J192" s="2">
        <f>SUMIFS(Timesheet!$F$13:$F$11483,Timesheet!$A$13:$A$11483,'Início|Fim 1'!E192,Timesheet!$C$13:$C$11483,'Início|Fim 1'!$J$2)</f>
        <v>0</v>
      </c>
      <c r="K192" s="2">
        <f>SUMIFS(Timesheet!$F$13:$F$11483,Timesheet!$A$13:$A$11483,'Início|Fim 1'!E192,Timesheet!$C$13:$C$11483,'Início|Fim 1'!$K$2)</f>
        <v>0</v>
      </c>
      <c r="L192" s="2">
        <f>SUMIFS(Timesheet!$F$13:$F$11483,Timesheet!$A$13:$A$11483,'Início|Fim 1'!E192,Timesheet!$C$13:$C$11483,'Início|Fim 1'!$L$2)</f>
        <v>0</v>
      </c>
      <c r="M192" s="2">
        <f>SUMIFS(Timesheet!$F$13:$F$11483,Timesheet!$A$13:$A$11483,'Início|Fim 1'!E192,Timesheet!$C$13:$C$11483,'Início|Fim 1'!$M$2)</f>
        <v>0</v>
      </c>
      <c r="N192" s="2">
        <f>SUMIFS(Timesheet!$F$13:$F$11483,Timesheet!$A$13:$A$11483,'Início|Fim 1'!E192,Timesheet!$C$13:$C$11483,'Início|Fim 1'!$N$2)</f>
        <v>0</v>
      </c>
      <c r="O192" s="2">
        <f t="shared" si="2"/>
        <v>0</v>
      </c>
    </row>
    <row r="193" spans="1:15" x14ac:dyDescent="0.25">
      <c r="A193" s="1">
        <v>45117</v>
      </c>
      <c r="B193" s="3">
        <f t="array" ref="B193">MIN(IF(A193=Timesheet!$A$13:$A$2615,Timesheet!$D$13:$D$2615))</f>
        <v>0</v>
      </c>
      <c r="C193" s="3">
        <f t="array" ref="C193">MAX(IF(A193=Timesheet!$A$13:$A$2615,Timesheet!$E$13:$E$2615))</f>
        <v>0</v>
      </c>
      <c r="E193" s="1">
        <v>45117</v>
      </c>
      <c r="F193" s="2">
        <f>SUMIFS(Timesheet!$F$13:$F$11483,Timesheet!$A$13:$A$11483,'Início|Fim 1'!E193,Timesheet!$C$13:$C$11483,'Início|Fim 1'!$F$2)</f>
        <v>0</v>
      </c>
      <c r="G193" s="2">
        <f>SUMIFS(Timesheet!$F$13:$F$11483,Timesheet!$A$13:$A$11483,'Início|Fim 1'!E193,Timesheet!$C$13:$C$11483,'Início|Fim 1'!$G$2)</f>
        <v>0</v>
      </c>
      <c r="H193" s="2">
        <f>SUMIFS(Timesheet!$F$13:$F$11483,Timesheet!$A$13:$A$11483,'Início|Fim 1'!E193,Timesheet!$C$13:$C$11483,'Início|Fim 1'!$H$2)</f>
        <v>0</v>
      </c>
      <c r="I193" s="2">
        <f>SUMIFS(Timesheet!$F$13:$F$11483,Timesheet!$A$13:$A$11483,'Início|Fim 1'!E193,Timesheet!$C$13:$C$11483,'Início|Fim 1'!$I$2)</f>
        <v>0</v>
      </c>
      <c r="J193" s="2">
        <f>SUMIFS(Timesheet!$F$13:$F$11483,Timesheet!$A$13:$A$11483,'Início|Fim 1'!E193,Timesheet!$C$13:$C$11483,'Início|Fim 1'!$J$2)</f>
        <v>0</v>
      </c>
      <c r="K193" s="2">
        <f>SUMIFS(Timesheet!$F$13:$F$11483,Timesheet!$A$13:$A$11483,'Início|Fim 1'!E193,Timesheet!$C$13:$C$11483,'Início|Fim 1'!$K$2)</f>
        <v>0</v>
      </c>
      <c r="L193" s="2">
        <f>SUMIFS(Timesheet!$F$13:$F$11483,Timesheet!$A$13:$A$11483,'Início|Fim 1'!E193,Timesheet!$C$13:$C$11483,'Início|Fim 1'!$L$2)</f>
        <v>0</v>
      </c>
      <c r="M193" s="2">
        <f>SUMIFS(Timesheet!$F$13:$F$11483,Timesheet!$A$13:$A$11483,'Início|Fim 1'!E193,Timesheet!$C$13:$C$11483,'Início|Fim 1'!$M$2)</f>
        <v>0</v>
      </c>
      <c r="N193" s="2">
        <f>SUMIFS(Timesheet!$F$13:$F$11483,Timesheet!$A$13:$A$11483,'Início|Fim 1'!E193,Timesheet!$C$13:$C$11483,'Início|Fim 1'!$N$2)</f>
        <v>0</v>
      </c>
      <c r="O193" s="2">
        <f t="shared" si="2"/>
        <v>0</v>
      </c>
    </row>
    <row r="194" spans="1:15" x14ac:dyDescent="0.25">
      <c r="A194" s="1">
        <v>45118</v>
      </c>
      <c r="B194" s="3">
        <f t="array" ref="B194">MIN(IF(A194=Timesheet!$A$13:$A$2615,Timesheet!$D$13:$D$2615))</f>
        <v>0</v>
      </c>
      <c r="C194" s="3">
        <f t="array" ref="C194">MAX(IF(A194=Timesheet!$A$13:$A$2615,Timesheet!$E$13:$E$2615))</f>
        <v>0</v>
      </c>
      <c r="E194" s="1">
        <v>45118</v>
      </c>
      <c r="F194" s="2">
        <f>SUMIFS(Timesheet!$F$13:$F$11483,Timesheet!$A$13:$A$11483,'Início|Fim 1'!E194,Timesheet!$C$13:$C$11483,'Início|Fim 1'!$F$2)</f>
        <v>0</v>
      </c>
      <c r="G194" s="2">
        <f>SUMIFS(Timesheet!$F$13:$F$11483,Timesheet!$A$13:$A$11483,'Início|Fim 1'!E194,Timesheet!$C$13:$C$11483,'Início|Fim 1'!$G$2)</f>
        <v>0</v>
      </c>
      <c r="H194" s="2">
        <f>SUMIFS(Timesheet!$F$13:$F$11483,Timesheet!$A$13:$A$11483,'Início|Fim 1'!E194,Timesheet!$C$13:$C$11483,'Início|Fim 1'!$H$2)</f>
        <v>0</v>
      </c>
      <c r="I194" s="2">
        <f>SUMIFS(Timesheet!$F$13:$F$11483,Timesheet!$A$13:$A$11483,'Início|Fim 1'!E194,Timesheet!$C$13:$C$11483,'Início|Fim 1'!$I$2)</f>
        <v>0</v>
      </c>
      <c r="J194" s="2">
        <f>SUMIFS(Timesheet!$F$13:$F$11483,Timesheet!$A$13:$A$11483,'Início|Fim 1'!E194,Timesheet!$C$13:$C$11483,'Início|Fim 1'!$J$2)</f>
        <v>0</v>
      </c>
      <c r="K194" s="2">
        <f>SUMIFS(Timesheet!$F$13:$F$11483,Timesheet!$A$13:$A$11483,'Início|Fim 1'!E194,Timesheet!$C$13:$C$11483,'Início|Fim 1'!$K$2)</f>
        <v>0</v>
      </c>
      <c r="L194" s="2">
        <f>SUMIFS(Timesheet!$F$13:$F$11483,Timesheet!$A$13:$A$11483,'Início|Fim 1'!E194,Timesheet!$C$13:$C$11483,'Início|Fim 1'!$L$2)</f>
        <v>0</v>
      </c>
      <c r="M194" s="2">
        <f>SUMIFS(Timesheet!$F$13:$F$11483,Timesheet!$A$13:$A$11483,'Início|Fim 1'!E194,Timesheet!$C$13:$C$11483,'Início|Fim 1'!$M$2)</f>
        <v>0</v>
      </c>
      <c r="N194" s="2">
        <f>SUMIFS(Timesheet!$F$13:$F$11483,Timesheet!$A$13:$A$11483,'Início|Fim 1'!E194,Timesheet!$C$13:$C$11483,'Início|Fim 1'!$N$2)</f>
        <v>0</v>
      </c>
      <c r="O194" s="2">
        <f t="shared" si="2"/>
        <v>0</v>
      </c>
    </row>
    <row r="195" spans="1:15" x14ac:dyDescent="0.25">
      <c r="A195" s="1">
        <v>45119</v>
      </c>
      <c r="B195" s="3">
        <f t="array" ref="B195">MIN(IF(A195=Timesheet!$A$13:$A$2615,Timesheet!$D$13:$D$2615))</f>
        <v>0</v>
      </c>
      <c r="C195" s="3">
        <f t="array" ref="C195">MAX(IF(A195=Timesheet!$A$13:$A$2615,Timesheet!$E$13:$E$2615))</f>
        <v>0</v>
      </c>
      <c r="E195" s="1">
        <v>45119</v>
      </c>
      <c r="F195" s="2">
        <f>SUMIFS(Timesheet!$F$13:$F$11483,Timesheet!$A$13:$A$11483,'Início|Fim 1'!E195,Timesheet!$C$13:$C$11483,'Início|Fim 1'!$F$2)</f>
        <v>0</v>
      </c>
      <c r="G195" s="2">
        <f>SUMIFS(Timesheet!$F$13:$F$11483,Timesheet!$A$13:$A$11483,'Início|Fim 1'!E195,Timesheet!$C$13:$C$11483,'Início|Fim 1'!$G$2)</f>
        <v>0</v>
      </c>
      <c r="H195" s="2">
        <f>SUMIFS(Timesheet!$F$13:$F$11483,Timesheet!$A$13:$A$11483,'Início|Fim 1'!E195,Timesheet!$C$13:$C$11483,'Início|Fim 1'!$H$2)</f>
        <v>0</v>
      </c>
      <c r="I195" s="2">
        <f>SUMIFS(Timesheet!$F$13:$F$11483,Timesheet!$A$13:$A$11483,'Início|Fim 1'!E195,Timesheet!$C$13:$C$11483,'Início|Fim 1'!$I$2)</f>
        <v>0</v>
      </c>
      <c r="J195" s="2">
        <f>SUMIFS(Timesheet!$F$13:$F$11483,Timesheet!$A$13:$A$11483,'Início|Fim 1'!E195,Timesheet!$C$13:$C$11483,'Início|Fim 1'!$J$2)</f>
        <v>0</v>
      </c>
      <c r="K195" s="2">
        <f>SUMIFS(Timesheet!$F$13:$F$11483,Timesheet!$A$13:$A$11483,'Início|Fim 1'!E195,Timesheet!$C$13:$C$11483,'Início|Fim 1'!$K$2)</f>
        <v>0</v>
      </c>
      <c r="L195" s="2">
        <f>SUMIFS(Timesheet!$F$13:$F$11483,Timesheet!$A$13:$A$11483,'Início|Fim 1'!E195,Timesheet!$C$13:$C$11483,'Início|Fim 1'!$L$2)</f>
        <v>0</v>
      </c>
      <c r="M195" s="2">
        <f>SUMIFS(Timesheet!$F$13:$F$11483,Timesheet!$A$13:$A$11483,'Início|Fim 1'!E195,Timesheet!$C$13:$C$11483,'Início|Fim 1'!$M$2)</f>
        <v>0</v>
      </c>
      <c r="N195" s="2">
        <f>SUMIFS(Timesheet!$F$13:$F$11483,Timesheet!$A$13:$A$11483,'Início|Fim 1'!E195,Timesheet!$C$13:$C$11483,'Início|Fim 1'!$N$2)</f>
        <v>0</v>
      </c>
      <c r="O195" s="2">
        <f t="shared" ref="O195:O258" si="3">SUM(F195:K195)</f>
        <v>0</v>
      </c>
    </row>
    <row r="196" spans="1:15" x14ac:dyDescent="0.25">
      <c r="A196" s="1">
        <v>45120</v>
      </c>
      <c r="B196" s="3">
        <f t="array" ref="B196">MIN(IF(A196=Timesheet!$A$13:$A$2615,Timesheet!$D$13:$D$2615))</f>
        <v>0</v>
      </c>
      <c r="C196" s="3">
        <f t="array" ref="C196">MAX(IF(A196=Timesheet!$A$13:$A$2615,Timesheet!$E$13:$E$2615))</f>
        <v>0</v>
      </c>
      <c r="E196" s="1">
        <v>45120</v>
      </c>
      <c r="F196" s="2">
        <f>SUMIFS(Timesheet!$F$13:$F$11483,Timesheet!$A$13:$A$11483,'Início|Fim 1'!E196,Timesheet!$C$13:$C$11483,'Início|Fim 1'!$F$2)</f>
        <v>0</v>
      </c>
      <c r="G196" s="2">
        <f>SUMIFS(Timesheet!$F$13:$F$11483,Timesheet!$A$13:$A$11483,'Início|Fim 1'!E196,Timesheet!$C$13:$C$11483,'Início|Fim 1'!$G$2)</f>
        <v>0</v>
      </c>
      <c r="H196" s="2">
        <f>SUMIFS(Timesheet!$F$13:$F$11483,Timesheet!$A$13:$A$11483,'Início|Fim 1'!E196,Timesheet!$C$13:$C$11483,'Início|Fim 1'!$H$2)</f>
        <v>0</v>
      </c>
      <c r="I196" s="2">
        <f>SUMIFS(Timesheet!$F$13:$F$11483,Timesheet!$A$13:$A$11483,'Início|Fim 1'!E196,Timesheet!$C$13:$C$11483,'Início|Fim 1'!$I$2)</f>
        <v>0</v>
      </c>
      <c r="J196" s="2">
        <f>SUMIFS(Timesheet!$F$13:$F$11483,Timesheet!$A$13:$A$11483,'Início|Fim 1'!E196,Timesheet!$C$13:$C$11483,'Início|Fim 1'!$J$2)</f>
        <v>0</v>
      </c>
      <c r="K196" s="2">
        <f>SUMIFS(Timesheet!$F$13:$F$11483,Timesheet!$A$13:$A$11483,'Início|Fim 1'!E196,Timesheet!$C$13:$C$11483,'Início|Fim 1'!$K$2)</f>
        <v>0</v>
      </c>
      <c r="L196" s="2">
        <f>SUMIFS(Timesheet!$F$13:$F$11483,Timesheet!$A$13:$A$11483,'Início|Fim 1'!E196,Timesheet!$C$13:$C$11483,'Início|Fim 1'!$L$2)</f>
        <v>0</v>
      </c>
      <c r="M196" s="2">
        <f>SUMIFS(Timesheet!$F$13:$F$11483,Timesheet!$A$13:$A$11483,'Início|Fim 1'!E196,Timesheet!$C$13:$C$11483,'Início|Fim 1'!$M$2)</f>
        <v>0</v>
      </c>
      <c r="N196" s="2">
        <f>SUMIFS(Timesheet!$F$13:$F$11483,Timesheet!$A$13:$A$11483,'Início|Fim 1'!E196,Timesheet!$C$13:$C$11483,'Início|Fim 1'!$N$2)</f>
        <v>0</v>
      </c>
      <c r="O196" s="2">
        <f t="shared" si="3"/>
        <v>0</v>
      </c>
    </row>
    <row r="197" spans="1:15" x14ac:dyDescent="0.25">
      <c r="A197" s="1">
        <v>45121</v>
      </c>
      <c r="B197" s="3">
        <f t="array" ref="B197">MIN(IF(A197=Timesheet!$A$13:$A$2615,Timesheet!$D$13:$D$2615))</f>
        <v>0</v>
      </c>
      <c r="C197" s="3">
        <f t="array" ref="C197">MAX(IF(A197=Timesheet!$A$13:$A$2615,Timesheet!$E$13:$E$2615))</f>
        <v>0</v>
      </c>
      <c r="E197" s="1">
        <v>45121</v>
      </c>
      <c r="F197" s="2">
        <f>SUMIFS(Timesheet!$F$13:$F$11483,Timesheet!$A$13:$A$11483,'Início|Fim 1'!E197,Timesheet!$C$13:$C$11483,'Início|Fim 1'!$F$2)</f>
        <v>0</v>
      </c>
      <c r="G197" s="2">
        <f>SUMIFS(Timesheet!$F$13:$F$11483,Timesheet!$A$13:$A$11483,'Início|Fim 1'!E197,Timesheet!$C$13:$C$11483,'Início|Fim 1'!$G$2)</f>
        <v>0</v>
      </c>
      <c r="H197" s="2">
        <f>SUMIFS(Timesheet!$F$13:$F$11483,Timesheet!$A$13:$A$11483,'Início|Fim 1'!E197,Timesheet!$C$13:$C$11483,'Início|Fim 1'!$H$2)</f>
        <v>0</v>
      </c>
      <c r="I197" s="2">
        <f>SUMIFS(Timesheet!$F$13:$F$11483,Timesheet!$A$13:$A$11483,'Início|Fim 1'!E197,Timesheet!$C$13:$C$11483,'Início|Fim 1'!$I$2)</f>
        <v>0</v>
      </c>
      <c r="J197" s="2">
        <f>SUMIFS(Timesheet!$F$13:$F$11483,Timesheet!$A$13:$A$11483,'Início|Fim 1'!E197,Timesheet!$C$13:$C$11483,'Início|Fim 1'!$J$2)</f>
        <v>0</v>
      </c>
      <c r="K197" s="2">
        <f>SUMIFS(Timesheet!$F$13:$F$11483,Timesheet!$A$13:$A$11483,'Início|Fim 1'!E197,Timesheet!$C$13:$C$11483,'Início|Fim 1'!$K$2)</f>
        <v>0</v>
      </c>
      <c r="L197" s="2">
        <f>SUMIFS(Timesheet!$F$13:$F$11483,Timesheet!$A$13:$A$11483,'Início|Fim 1'!E197,Timesheet!$C$13:$C$11483,'Início|Fim 1'!$L$2)</f>
        <v>0</v>
      </c>
      <c r="M197" s="2">
        <f>SUMIFS(Timesheet!$F$13:$F$11483,Timesheet!$A$13:$A$11483,'Início|Fim 1'!E197,Timesheet!$C$13:$C$11483,'Início|Fim 1'!$M$2)</f>
        <v>0</v>
      </c>
      <c r="N197" s="2">
        <f>SUMIFS(Timesheet!$F$13:$F$11483,Timesheet!$A$13:$A$11483,'Início|Fim 1'!E197,Timesheet!$C$13:$C$11483,'Início|Fim 1'!$N$2)</f>
        <v>0</v>
      </c>
      <c r="O197" s="2">
        <f t="shared" si="3"/>
        <v>0</v>
      </c>
    </row>
    <row r="198" spans="1:15" x14ac:dyDescent="0.25">
      <c r="A198" s="1">
        <v>45122</v>
      </c>
      <c r="B198" s="3">
        <f t="array" ref="B198">MIN(IF(A198=Timesheet!$A$13:$A$2615,Timesheet!$D$13:$D$2615))</f>
        <v>0</v>
      </c>
      <c r="C198" s="3">
        <f t="array" ref="C198">MAX(IF(A198=Timesheet!$A$13:$A$2615,Timesheet!$E$13:$E$2615))</f>
        <v>0</v>
      </c>
      <c r="E198" s="1">
        <v>45122</v>
      </c>
      <c r="F198" s="2">
        <f>SUMIFS(Timesheet!$F$13:$F$11483,Timesheet!$A$13:$A$11483,'Início|Fim 1'!E198,Timesheet!$C$13:$C$11483,'Início|Fim 1'!$F$2)</f>
        <v>0</v>
      </c>
      <c r="G198" s="2">
        <f>SUMIFS(Timesheet!$F$13:$F$11483,Timesheet!$A$13:$A$11483,'Início|Fim 1'!E198,Timesheet!$C$13:$C$11483,'Início|Fim 1'!$G$2)</f>
        <v>0</v>
      </c>
      <c r="H198" s="2">
        <f>SUMIFS(Timesheet!$F$13:$F$11483,Timesheet!$A$13:$A$11483,'Início|Fim 1'!E198,Timesheet!$C$13:$C$11483,'Início|Fim 1'!$H$2)</f>
        <v>0</v>
      </c>
      <c r="I198" s="2">
        <f>SUMIFS(Timesheet!$F$13:$F$11483,Timesheet!$A$13:$A$11483,'Início|Fim 1'!E198,Timesheet!$C$13:$C$11483,'Início|Fim 1'!$I$2)</f>
        <v>0</v>
      </c>
      <c r="J198" s="2">
        <f>SUMIFS(Timesheet!$F$13:$F$11483,Timesheet!$A$13:$A$11483,'Início|Fim 1'!E198,Timesheet!$C$13:$C$11483,'Início|Fim 1'!$J$2)</f>
        <v>0</v>
      </c>
      <c r="K198" s="2">
        <f>SUMIFS(Timesheet!$F$13:$F$11483,Timesheet!$A$13:$A$11483,'Início|Fim 1'!E198,Timesheet!$C$13:$C$11483,'Início|Fim 1'!$K$2)</f>
        <v>0</v>
      </c>
      <c r="L198" s="2">
        <f>SUMIFS(Timesheet!$F$13:$F$11483,Timesheet!$A$13:$A$11483,'Início|Fim 1'!E198,Timesheet!$C$13:$C$11483,'Início|Fim 1'!$L$2)</f>
        <v>0</v>
      </c>
      <c r="M198" s="2">
        <f>SUMIFS(Timesheet!$F$13:$F$11483,Timesheet!$A$13:$A$11483,'Início|Fim 1'!E198,Timesheet!$C$13:$C$11483,'Início|Fim 1'!$M$2)</f>
        <v>0</v>
      </c>
      <c r="N198" s="2">
        <f>SUMIFS(Timesheet!$F$13:$F$11483,Timesheet!$A$13:$A$11483,'Início|Fim 1'!E198,Timesheet!$C$13:$C$11483,'Início|Fim 1'!$N$2)</f>
        <v>0</v>
      </c>
      <c r="O198" s="2">
        <f t="shared" si="3"/>
        <v>0</v>
      </c>
    </row>
    <row r="199" spans="1:15" x14ac:dyDescent="0.25">
      <c r="A199" s="1">
        <v>45123</v>
      </c>
      <c r="B199" s="3">
        <f t="array" ref="B199">MIN(IF(A199=Timesheet!$A$13:$A$2615,Timesheet!$D$13:$D$2615))</f>
        <v>0</v>
      </c>
      <c r="C199" s="3">
        <f t="array" ref="C199">MAX(IF(A199=Timesheet!$A$13:$A$2615,Timesheet!$E$13:$E$2615))</f>
        <v>0</v>
      </c>
      <c r="E199" s="1">
        <v>45123</v>
      </c>
      <c r="F199" s="2">
        <f>SUMIFS(Timesheet!$F$13:$F$11483,Timesheet!$A$13:$A$11483,'Início|Fim 1'!E199,Timesheet!$C$13:$C$11483,'Início|Fim 1'!$F$2)</f>
        <v>0</v>
      </c>
      <c r="G199" s="2">
        <f>SUMIFS(Timesheet!$F$13:$F$11483,Timesheet!$A$13:$A$11483,'Início|Fim 1'!E199,Timesheet!$C$13:$C$11483,'Início|Fim 1'!$G$2)</f>
        <v>0</v>
      </c>
      <c r="H199" s="2">
        <f>SUMIFS(Timesheet!$F$13:$F$11483,Timesheet!$A$13:$A$11483,'Início|Fim 1'!E199,Timesheet!$C$13:$C$11483,'Início|Fim 1'!$H$2)</f>
        <v>0</v>
      </c>
      <c r="I199" s="2">
        <f>SUMIFS(Timesheet!$F$13:$F$11483,Timesheet!$A$13:$A$11483,'Início|Fim 1'!E199,Timesheet!$C$13:$C$11483,'Início|Fim 1'!$I$2)</f>
        <v>0</v>
      </c>
      <c r="J199" s="2">
        <f>SUMIFS(Timesheet!$F$13:$F$11483,Timesheet!$A$13:$A$11483,'Início|Fim 1'!E199,Timesheet!$C$13:$C$11483,'Início|Fim 1'!$J$2)</f>
        <v>0</v>
      </c>
      <c r="K199" s="2">
        <f>SUMIFS(Timesheet!$F$13:$F$11483,Timesheet!$A$13:$A$11483,'Início|Fim 1'!E199,Timesheet!$C$13:$C$11483,'Início|Fim 1'!$K$2)</f>
        <v>0</v>
      </c>
      <c r="L199" s="2">
        <f>SUMIFS(Timesheet!$F$13:$F$11483,Timesheet!$A$13:$A$11483,'Início|Fim 1'!E199,Timesheet!$C$13:$C$11483,'Início|Fim 1'!$L$2)</f>
        <v>0</v>
      </c>
      <c r="M199" s="2">
        <f>SUMIFS(Timesheet!$F$13:$F$11483,Timesheet!$A$13:$A$11483,'Início|Fim 1'!E199,Timesheet!$C$13:$C$11483,'Início|Fim 1'!$M$2)</f>
        <v>0</v>
      </c>
      <c r="N199" s="2">
        <f>SUMIFS(Timesheet!$F$13:$F$11483,Timesheet!$A$13:$A$11483,'Início|Fim 1'!E199,Timesheet!$C$13:$C$11483,'Início|Fim 1'!$N$2)</f>
        <v>0</v>
      </c>
      <c r="O199" s="2">
        <f t="shared" si="3"/>
        <v>0</v>
      </c>
    </row>
    <row r="200" spans="1:15" x14ac:dyDescent="0.25">
      <c r="A200" s="1">
        <v>45124</v>
      </c>
      <c r="B200" s="3">
        <f t="array" ref="B200">MIN(IF(A200=Timesheet!$A$13:$A$2615,Timesheet!$D$13:$D$2615))</f>
        <v>0</v>
      </c>
      <c r="C200" s="3">
        <f t="array" ref="C200">MAX(IF(A200=Timesheet!$A$13:$A$2615,Timesheet!$E$13:$E$2615))</f>
        <v>0</v>
      </c>
      <c r="E200" s="1">
        <v>45124</v>
      </c>
      <c r="F200" s="2">
        <f>SUMIFS(Timesheet!$F$13:$F$11483,Timesheet!$A$13:$A$11483,'Início|Fim 1'!E200,Timesheet!$C$13:$C$11483,'Início|Fim 1'!$F$2)</f>
        <v>0</v>
      </c>
      <c r="G200" s="2">
        <f>SUMIFS(Timesheet!$F$13:$F$11483,Timesheet!$A$13:$A$11483,'Início|Fim 1'!E200,Timesheet!$C$13:$C$11483,'Início|Fim 1'!$G$2)</f>
        <v>0</v>
      </c>
      <c r="H200" s="2">
        <f>SUMIFS(Timesheet!$F$13:$F$11483,Timesheet!$A$13:$A$11483,'Início|Fim 1'!E200,Timesheet!$C$13:$C$11483,'Início|Fim 1'!$H$2)</f>
        <v>0</v>
      </c>
      <c r="I200" s="2">
        <f>SUMIFS(Timesheet!$F$13:$F$11483,Timesheet!$A$13:$A$11483,'Início|Fim 1'!E200,Timesheet!$C$13:$C$11483,'Início|Fim 1'!$I$2)</f>
        <v>0</v>
      </c>
      <c r="J200" s="2">
        <f>SUMIFS(Timesheet!$F$13:$F$11483,Timesheet!$A$13:$A$11483,'Início|Fim 1'!E200,Timesheet!$C$13:$C$11483,'Início|Fim 1'!$J$2)</f>
        <v>0</v>
      </c>
      <c r="K200" s="2">
        <f>SUMIFS(Timesheet!$F$13:$F$11483,Timesheet!$A$13:$A$11483,'Início|Fim 1'!E200,Timesheet!$C$13:$C$11483,'Início|Fim 1'!$K$2)</f>
        <v>0</v>
      </c>
      <c r="L200" s="2">
        <f>SUMIFS(Timesheet!$F$13:$F$11483,Timesheet!$A$13:$A$11483,'Início|Fim 1'!E200,Timesheet!$C$13:$C$11483,'Início|Fim 1'!$L$2)</f>
        <v>0</v>
      </c>
      <c r="M200" s="2">
        <f>SUMIFS(Timesheet!$F$13:$F$11483,Timesheet!$A$13:$A$11483,'Início|Fim 1'!E200,Timesheet!$C$13:$C$11483,'Início|Fim 1'!$M$2)</f>
        <v>0</v>
      </c>
      <c r="N200" s="2">
        <f>SUMIFS(Timesheet!$F$13:$F$11483,Timesheet!$A$13:$A$11483,'Início|Fim 1'!E200,Timesheet!$C$13:$C$11483,'Início|Fim 1'!$N$2)</f>
        <v>0</v>
      </c>
      <c r="O200" s="2">
        <f t="shared" si="3"/>
        <v>0</v>
      </c>
    </row>
    <row r="201" spans="1:15" x14ac:dyDescent="0.25">
      <c r="A201" s="1">
        <v>45125</v>
      </c>
      <c r="B201" s="3">
        <f t="array" ref="B201">MIN(IF(A201=Timesheet!$A$13:$A$2615,Timesheet!$D$13:$D$2615))</f>
        <v>0</v>
      </c>
      <c r="C201" s="3">
        <f t="array" ref="C201">MAX(IF(A201=Timesheet!$A$13:$A$2615,Timesheet!$E$13:$E$2615))</f>
        <v>0</v>
      </c>
      <c r="E201" s="1">
        <v>45125</v>
      </c>
      <c r="F201" s="2">
        <f>SUMIFS(Timesheet!$F$13:$F$11483,Timesheet!$A$13:$A$11483,'Início|Fim 1'!E201,Timesheet!$C$13:$C$11483,'Início|Fim 1'!$F$2)</f>
        <v>0</v>
      </c>
      <c r="G201" s="2">
        <f>SUMIFS(Timesheet!$F$13:$F$11483,Timesheet!$A$13:$A$11483,'Início|Fim 1'!E201,Timesheet!$C$13:$C$11483,'Início|Fim 1'!$G$2)</f>
        <v>0</v>
      </c>
      <c r="H201" s="2">
        <f>SUMIFS(Timesheet!$F$13:$F$11483,Timesheet!$A$13:$A$11483,'Início|Fim 1'!E201,Timesheet!$C$13:$C$11483,'Início|Fim 1'!$H$2)</f>
        <v>0</v>
      </c>
      <c r="I201" s="2">
        <f>SUMIFS(Timesheet!$F$13:$F$11483,Timesheet!$A$13:$A$11483,'Início|Fim 1'!E201,Timesheet!$C$13:$C$11483,'Início|Fim 1'!$I$2)</f>
        <v>0</v>
      </c>
      <c r="J201" s="2">
        <f>SUMIFS(Timesheet!$F$13:$F$11483,Timesheet!$A$13:$A$11483,'Início|Fim 1'!E201,Timesheet!$C$13:$C$11483,'Início|Fim 1'!$J$2)</f>
        <v>0</v>
      </c>
      <c r="K201" s="2">
        <f>SUMIFS(Timesheet!$F$13:$F$11483,Timesheet!$A$13:$A$11483,'Início|Fim 1'!E201,Timesheet!$C$13:$C$11483,'Início|Fim 1'!$K$2)</f>
        <v>0</v>
      </c>
      <c r="L201" s="2">
        <f>SUMIFS(Timesheet!$F$13:$F$11483,Timesheet!$A$13:$A$11483,'Início|Fim 1'!E201,Timesheet!$C$13:$C$11483,'Início|Fim 1'!$L$2)</f>
        <v>0</v>
      </c>
      <c r="M201" s="2">
        <f>SUMIFS(Timesheet!$F$13:$F$11483,Timesheet!$A$13:$A$11483,'Início|Fim 1'!E201,Timesheet!$C$13:$C$11483,'Início|Fim 1'!$M$2)</f>
        <v>0</v>
      </c>
      <c r="N201" s="2">
        <f>SUMIFS(Timesheet!$F$13:$F$11483,Timesheet!$A$13:$A$11483,'Início|Fim 1'!E201,Timesheet!$C$13:$C$11483,'Início|Fim 1'!$N$2)</f>
        <v>0</v>
      </c>
      <c r="O201" s="2">
        <f t="shared" si="3"/>
        <v>0</v>
      </c>
    </row>
    <row r="202" spans="1:15" x14ac:dyDescent="0.25">
      <c r="A202" s="1">
        <v>45126</v>
      </c>
      <c r="B202" s="3">
        <f t="array" ref="B202">MIN(IF(A202=Timesheet!$A$13:$A$2615,Timesheet!$D$13:$D$2615))</f>
        <v>0</v>
      </c>
      <c r="C202" s="3">
        <f t="array" ref="C202">MAX(IF(A202=Timesheet!$A$13:$A$2615,Timesheet!$E$13:$E$2615))</f>
        <v>0</v>
      </c>
      <c r="E202" s="1">
        <v>45126</v>
      </c>
      <c r="F202" s="2">
        <f>SUMIFS(Timesheet!$F$13:$F$11483,Timesheet!$A$13:$A$11483,'Início|Fim 1'!E202,Timesheet!$C$13:$C$11483,'Início|Fim 1'!$F$2)</f>
        <v>0</v>
      </c>
      <c r="G202" s="2">
        <f>SUMIFS(Timesheet!$F$13:$F$11483,Timesheet!$A$13:$A$11483,'Início|Fim 1'!E202,Timesheet!$C$13:$C$11483,'Início|Fim 1'!$G$2)</f>
        <v>0</v>
      </c>
      <c r="H202" s="2">
        <f>SUMIFS(Timesheet!$F$13:$F$11483,Timesheet!$A$13:$A$11483,'Início|Fim 1'!E202,Timesheet!$C$13:$C$11483,'Início|Fim 1'!$H$2)</f>
        <v>0</v>
      </c>
      <c r="I202" s="2">
        <f>SUMIFS(Timesheet!$F$13:$F$11483,Timesheet!$A$13:$A$11483,'Início|Fim 1'!E202,Timesheet!$C$13:$C$11483,'Início|Fim 1'!$I$2)</f>
        <v>0</v>
      </c>
      <c r="J202" s="2">
        <f>SUMIFS(Timesheet!$F$13:$F$11483,Timesheet!$A$13:$A$11483,'Início|Fim 1'!E202,Timesheet!$C$13:$C$11483,'Início|Fim 1'!$J$2)</f>
        <v>0</v>
      </c>
      <c r="K202" s="2">
        <f>SUMIFS(Timesheet!$F$13:$F$11483,Timesheet!$A$13:$A$11483,'Início|Fim 1'!E202,Timesheet!$C$13:$C$11483,'Início|Fim 1'!$K$2)</f>
        <v>0</v>
      </c>
      <c r="L202" s="2">
        <f>SUMIFS(Timesheet!$F$13:$F$11483,Timesheet!$A$13:$A$11483,'Início|Fim 1'!E202,Timesheet!$C$13:$C$11483,'Início|Fim 1'!$L$2)</f>
        <v>0</v>
      </c>
      <c r="M202" s="2">
        <f>SUMIFS(Timesheet!$F$13:$F$11483,Timesheet!$A$13:$A$11483,'Início|Fim 1'!E202,Timesheet!$C$13:$C$11483,'Início|Fim 1'!$M$2)</f>
        <v>0</v>
      </c>
      <c r="N202" s="2">
        <f>SUMIFS(Timesheet!$F$13:$F$11483,Timesheet!$A$13:$A$11483,'Início|Fim 1'!E202,Timesheet!$C$13:$C$11483,'Início|Fim 1'!$N$2)</f>
        <v>0</v>
      </c>
      <c r="O202" s="2">
        <f t="shared" si="3"/>
        <v>0</v>
      </c>
    </row>
    <row r="203" spans="1:15" x14ac:dyDescent="0.25">
      <c r="A203" s="1">
        <v>45127</v>
      </c>
      <c r="B203" s="3">
        <f t="array" ref="B203">MIN(IF(A203=Timesheet!$A$13:$A$2615,Timesheet!$D$13:$D$2615))</f>
        <v>0</v>
      </c>
      <c r="C203" s="3">
        <f t="array" ref="C203">MAX(IF(A203=Timesheet!$A$13:$A$2615,Timesheet!$E$13:$E$2615))</f>
        <v>0</v>
      </c>
      <c r="E203" s="1">
        <v>45127</v>
      </c>
      <c r="F203" s="2">
        <f>SUMIFS(Timesheet!$F$13:$F$11483,Timesheet!$A$13:$A$11483,'Início|Fim 1'!E203,Timesheet!$C$13:$C$11483,'Início|Fim 1'!$F$2)</f>
        <v>0</v>
      </c>
      <c r="G203" s="2">
        <f>SUMIFS(Timesheet!$F$13:$F$11483,Timesheet!$A$13:$A$11483,'Início|Fim 1'!E203,Timesheet!$C$13:$C$11483,'Início|Fim 1'!$G$2)</f>
        <v>0</v>
      </c>
      <c r="H203" s="2">
        <f>SUMIFS(Timesheet!$F$13:$F$11483,Timesheet!$A$13:$A$11483,'Início|Fim 1'!E203,Timesheet!$C$13:$C$11483,'Início|Fim 1'!$H$2)</f>
        <v>0</v>
      </c>
      <c r="I203" s="2">
        <f>SUMIFS(Timesheet!$F$13:$F$11483,Timesheet!$A$13:$A$11483,'Início|Fim 1'!E203,Timesheet!$C$13:$C$11483,'Início|Fim 1'!$I$2)</f>
        <v>0</v>
      </c>
      <c r="J203" s="2">
        <f>SUMIFS(Timesheet!$F$13:$F$11483,Timesheet!$A$13:$A$11483,'Início|Fim 1'!E203,Timesheet!$C$13:$C$11483,'Início|Fim 1'!$J$2)</f>
        <v>0</v>
      </c>
      <c r="K203" s="2">
        <f>SUMIFS(Timesheet!$F$13:$F$11483,Timesheet!$A$13:$A$11483,'Início|Fim 1'!E203,Timesheet!$C$13:$C$11483,'Início|Fim 1'!$K$2)</f>
        <v>0</v>
      </c>
      <c r="L203" s="2">
        <f>SUMIFS(Timesheet!$F$13:$F$11483,Timesheet!$A$13:$A$11483,'Início|Fim 1'!E203,Timesheet!$C$13:$C$11483,'Início|Fim 1'!$L$2)</f>
        <v>0</v>
      </c>
      <c r="M203" s="2">
        <f>SUMIFS(Timesheet!$F$13:$F$11483,Timesheet!$A$13:$A$11483,'Início|Fim 1'!E203,Timesheet!$C$13:$C$11483,'Início|Fim 1'!$M$2)</f>
        <v>0</v>
      </c>
      <c r="N203" s="2">
        <f>SUMIFS(Timesheet!$F$13:$F$11483,Timesheet!$A$13:$A$11483,'Início|Fim 1'!E203,Timesheet!$C$13:$C$11483,'Início|Fim 1'!$N$2)</f>
        <v>0</v>
      </c>
      <c r="O203" s="2">
        <f t="shared" si="3"/>
        <v>0</v>
      </c>
    </row>
    <row r="204" spans="1:15" x14ac:dyDescent="0.25">
      <c r="A204" s="1">
        <v>45128</v>
      </c>
      <c r="B204" s="3">
        <f t="array" ref="B204">MIN(IF(A204=Timesheet!$A$13:$A$2615,Timesheet!$D$13:$D$2615))</f>
        <v>0</v>
      </c>
      <c r="C204" s="3">
        <f t="array" ref="C204">MAX(IF(A204=Timesheet!$A$13:$A$2615,Timesheet!$E$13:$E$2615))</f>
        <v>0</v>
      </c>
      <c r="E204" s="1">
        <v>45128</v>
      </c>
      <c r="F204" s="2">
        <f>SUMIFS(Timesheet!$F$13:$F$11483,Timesheet!$A$13:$A$11483,'Início|Fim 1'!E204,Timesheet!$C$13:$C$11483,'Início|Fim 1'!$F$2)</f>
        <v>0</v>
      </c>
      <c r="G204" s="2">
        <f>SUMIFS(Timesheet!$F$13:$F$11483,Timesheet!$A$13:$A$11483,'Início|Fim 1'!E204,Timesheet!$C$13:$C$11483,'Início|Fim 1'!$G$2)</f>
        <v>0</v>
      </c>
      <c r="H204" s="2">
        <f>SUMIFS(Timesheet!$F$13:$F$11483,Timesheet!$A$13:$A$11483,'Início|Fim 1'!E204,Timesheet!$C$13:$C$11483,'Início|Fim 1'!$H$2)</f>
        <v>0</v>
      </c>
      <c r="I204" s="2">
        <f>SUMIFS(Timesheet!$F$13:$F$11483,Timesheet!$A$13:$A$11483,'Início|Fim 1'!E204,Timesheet!$C$13:$C$11483,'Início|Fim 1'!$I$2)</f>
        <v>0</v>
      </c>
      <c r="J204" s="2">
        <f>SUMIFS(Timesheet!$F$13:$F$11483,Timesheet!$A$13:$A$11483,'Início|Fim 1'!E204,Timesheet!$C$13:$C$11483,'Início|Fim 1'!$J$2)</f>
        <v>0</v>
      </c>
      <c r="K204" s="2">
        <f>SUMIFS(Timesheet!$F$13:$F$11483,Timesheet!$A$13:$A$11483,'Início|Fim 1'!E204,Timesheet!$C$13:$C$11483,'Início|Fim 1'!$K$2)</f>
        <v>0</v>
      </c>
      <c r="L204" s="2">
        <f>SUMIFS(Timesheet!$F$13:$F$11483,Timesheet!$A$13:$A$11483,'Início|Fim 1'!E204,Timesheet!$C$13:$C$11483,'Início|Fim 1'!$L$2)</f>
        <v>0</v>
      </c>
      <c r="M204" s="2">
        <f>SUMIFS(Timesheet!$F$13:$F$11483,Timesheet!$A$13:$A$11483,'Início|Fim 1'!E204,Timesheet!$C$13:$C$11483,'Início|Fim 1'!$M$2)</f>
        <v>0</v>
      </c>
      <c r="N204" s="2">
        <f>SUMIFS(Timesheet!$F$13:$F$11483,Timesheet!$A$13:$A$11483,'Início|Fim 1'!E204,Timesheet!$C$13:$C$11483,'Início|Fim 1'!$N$2)</f>
        <v>0</v>
      </c>
      <c r="O204" s="2">
        <f t="shared" si="3"/>
        <v>0</v>
      </c>
    </row>
    <row r="205" spans="1:15" x14ac:dyDescent="0.25">
      <c r="A205" s="1">
        <v>45129</v>
      </c>
      <c r="B205" s="3">
        <f t="array" ref="B205">MIN(IF(A205=Timesheet!$A$13:$A$2615,Timesheet!$D$13:$D$2615))</f>
        <v>0</v>
      </c>
      <c r="C205" s="3">
        <f t="array" ref="C205">MAX(IF(A205=Timesheet!$A$13:$A$2615,Timesheet!$E$13:$E$2615))</f>
        <v>0</v>
      </c>
      <c r="E205" s="1">
        <v>45129</v>
      </c>
      <c r="F205" s="2">
        <f>SUMIFS(Timesheet!$F$13:$F$11483,Timesheet!$A$13:$A$11483,'Início|Fim 1'!E205,Timesheet!$C$13:$C$11483,'Início|Fim 1'!$F$2)</f>
        <v>0</v>
      </c>
      <c r="G205" s="2">
        <f>SUMIFS(Timesheet!$F$13:$F$11483,Timesheet!$A$13:$A$11483,'Início|Fim 1'!E205,Timesheet!$C$13:$C$11483,'Início|Fim 1'!$G$2)</f>
        <v>0</v>
      </c>
      <c r="H205" s="2">
        <f>SUMIFS(Timesheet!$F$13:$F$11483,Timesheet!$A$13:$A$11483,'Início|Fim 1'!E205,Timesheet!$C$13:$C$11483,'Início|Fim 1'!$H$2)</f>
        <v>0</v>
      </c>
      <c r="I205" s="2">
        <f>SUMIFS(Timesheet!$F$13:$F$11483,Timesheet!$A$13:$A$11483,'Início|Fim 1'!E205,Timesheet!$C$13:$C$11483,'Início|Fim 1'!$I$2)</f>
        <v>0</v>
      </c>
      <c r="J205" s="2">
        <f>SUMIFS(Timesheet!$F$13:$F$11483,Timesheet!$A$13:$A$11483,'Início|Fim 1'!E205,Timesheet!$C$13:$C$11483,'Início|Fim 1'!$J$2)</f>
        <v>0</v>
      </c>
      <c r="K205" s="2">
        <f>SUMIFS(Timesheet!$F$13:$F$11483,Timesheet!$A$13:$A$11483,'Início|Fim 1'!E205,Timesheet!$C$13:$C$11483,'Início|Fim 1'!$K$2)</f>
        <v>0</v>
      </c>
      <c r="L205" s="2">
        <f>SUMIFS(Timesheet!$F$13:$F$11483,Timesheet!$A$13:$A$11483,'Início|Fim 1'!E205,Timesheet!$C$13:$C$11483,'Início|Fim 1'!$L$2)</f>
        <v>0</v>
      </c>
      <c r="M205" s="2">
        <f>SUMIFS(Timesheet!$F$13:$F$11483,Timesheet!$A$13:$A$11483,'Início|Fim 1'!E205,Timesheet!$C$13:$C$11483,'Início|Fim 1'!$M$2)</f>
        <v>0</v>
      </c>
      <c r="N205" s="2">
        <f>SUMIFS(Timesheet!$F$13:$F$11483,Timesheet!$A$13:$A$11483,'Início|Fim 1'!E205,Timesheet!$C$13:$C$11483,'Início|Fim 1'!$N$2)</f>
        <v>0</v>
      </c>
      <c r="O205" s="2">
        <f t="shared" si="3"/>
        <v>0</v>
      </c>
    </row>
    <row r="206" spans="1:15" x14ac:dyDescent="0.25">
      <c r="A206" s="1">
        <v>45130</v>
      </c>
      <c r="B206" s="3">
        <f t="array" ref="B206">MIN(IF(A206=Timesheet!$A$13:$A$2615,Timesheet!$D$13:$D$2615))</f>
        <v>0</v>
      </c>
      <c r="C206" s="3">
        <f t="array" ref="C206">MAX(IF(A206=Timesheet!$A$13:$A$2615,Timesheet!$E$13:$E$2615))</f>
        <v>0</v>
      </c>
      <c r="E206" s="1">
        <v>45130</v>
      </c>
      <c r="F206" s="2">
        <f>SUMIFS(Timesheet!$F$13:$F$11483,Timesheet!$A$13:$A$11483,'Início|Fim 1'!E206,Timesheet!$C$13:$C$11483,'Início|Fim 1'!$F$2)</f>
        <v>0</v>
      </c>
      <c r="G206" s="2">
        <f>SUMIFS(Timesheet!$F$13:$F$11483,Timesheet!$A$13:$A$11483,'Início|Fim 1'!E206,Timesheet!$C$13:$C$11483,'Início|Fim 1'!$G$2)</f>
        <v>0</v>
      </c>
      <c r="H206" s="2">
        <f>SUMIFS(Timesheet!$F$13:$F$11483,Timesheet!$A$13:$A$11483,'Início|Fim 1'!E206,Timesheet!$C$13:$C$11483,'Início|Fim 1'!$H$2)</f>
        <v>0</v>
      </c>
      <c r="I206" s="2">
        <f>SUMIFS(Timesheet!$F$13:$F$11483,Timesheet!$A$13:$A$11483,'Início|Fim 1'!E206,Timesheet!$C$13:$C$11483,'Início|Fim 1'!$I$2)</f>
        <v>0</v>
      </c>
      <c r="J206" s="2">
        <f>SUMIFS(Timesheet!$F$13:$F$11483,Timesheet!$A$13:$A$11483,'Início|Fim 1'!E206,Timesheet!$C$13:$C$11483,'Início|Fim 1'!$J$2)</f>
        <v>0</v>
      </c>
      <c r="K206" s="2">
        <f>SUMIFS(Timesheet!$F$13:$F$11483,Timesheet!$A$13:$A$11483,'Início|Fim 1'!E206,Timesheet!$C$13:$C$11483,'Início|Fim 1'!$K$2)</f>
        <v>0</v>
      </c>
      <c r="L206" s="2">
        <f>SUMIFS(Timesheet!$F$13:$F$11483,Timesheet!$A$13:$A$11483,'Início|Fim 1'!E206,Timesheet!$C$13:$C$11483,'Início|Fim 1'!$L$2)</f>
        <v>0</v>
      </c>
      <c r="M206" s="2">
        <f>SUMIFS(Timesheet!$F$13:$F$11483,Timesheet!$A$13:$A$11483,'Início|Fim 1'!E206,Timesheet!$C$13:$C$11483,'Início|Fim 1'!$M$2)</f>
        <v>0</v>
      </c>
      <c r="N206" s="2">
        <f>SUMIFS(Timesheet!$F$13:$F$11483,Timesheet!$A$13:$A$11483,'Início|Fim 1'!E206,Timesheet!$C$13:$C$11483,'Início|Fim 1'!$N$2)</f>
        <v>0</v>
      </c>
      <c r="O206" s="2">
        <f t="shared" si="3"/>
        <v>0</v>
      </c>
    </row>
    <row r="207" spans="1:15" x14ac:dyDescent="0.25">
      <c r="A207" s="1">
        <v>45131</v>
      </c>
      <c r="B207" s="3">
        <f t="array" ref="B207">MIN(IF(A207=Timesheet!$A$13:$A$2615,Timesheet!$D$13:$D$2615))</f>
        <v>0</v>
      </c>
      <c r="C207" s="3">
        <f t="array" ref="C207">MAX(IF(A207=Timesheet!$A$13:$A$2615,Timesheet!$E$13:$E$2615))</f>
        <v>0</v>
      </c>
      <c r="E207" s="1">
        <v>45131</v>
      </c>
      <c r="F207" s="2">
        <f>SUMIFS(Timesheet!$F$13:$F$11483,Timesheet!$A$13:$A$11483,'Início|Fim 1'!E207,Timesheet!$C$13:$C$11483,'Início|Fim 1'!$F$2)</f>
        <v>0</v>
      </c>
      <c r="G207" s="2">
        <f>SUMIFS(Timesheet!$F$13:$F$11483,Timesheet!$A$13:$A$11483,'Início|Fim 1'!E207,Timesheet!$C$13:$C$11483,'Início|Fim 1'!$G$2)</f>
        <v>0</v>
      </c>
      <c r="H207" s="2">
        <f>SUMIFS(Timesheet!$F$13:$F$11483,Timesheet!$A$13:$A$11483,'Início|Fim 1'!E207,Timesheet!$C$13:$C$11483,'Início|Fim 1'!$H$2)</f>
        <v>0</v>
      </c>
      <c r="I207" s="2">
        <f>SUMIFS(Timesheet!$F$13:$F$11483,Timesheet!$A$13:$A$11483,'Início|Fim 1'!E207,Timesheet!$C$13:$C$11483,'Início|Fim 1'!$I$2)</f>
        <v>0</v>
      </c>
      <c r="J207" s="2">
        <f>SUMIFS(Timesheet!$F$13:$F$11483,Timesheet!$A$13:$A$11483,'Início|Fim 1'!E207,Timesheet!$C$13:$C$11483,'Início|Fim 1'!$J$2)</f>
        <v>0</v>
      </c>
      <c r="K207" s="2">
        <f>SUMIFS(Timesheet!$F$13:$F$11483,Timesheet!$A$13:$A$11483,'Início|Fim 1'!E207,Timesheet!$C$13:$C$11483,'Início|Fim 1'!$K$2)</f>
        <v>0</v>
      </c>
      <c r="L207" s="2">
        <f>SUMIFS(Timesheet!$F$13:$F$11483,Timesheet!$A$13:$A$11483,'Início|Fim 1'!E207,Timesheet!$C$13:$C$11483,'Início|Fim 1'!$L$2)</f>
        <v>0</v>
      </c>
      <c r="M207" s="2">
        <f>SUMIFS(Timesheet!$F$13:$F$11483,Timesheet!$A$13:$A$11483,'Início|Fim 1'!E207,Timesheet!$C$13:$C$11483,'Início|Fim 1'!$M$2)</f>
        <v>0</v>
      </c>
      <c r="N207" s="2">
        <f>SUMIFS(Timesheet!$F$13:$F$11483,Timesheet!$A$13:$A$11483,'Início|Fim 1'!E207,Timesheet!$C$13:$C$11483,'Início|Fim 1'!$N$2)</f>
        <v>0</v>
      </c>
      <c r="O207" s="2">
        <f t="shared" si="3"/>
        <v>0</v>
      </c>
    </row>
    <row r="208" spans="1:15" x14ac:dyDescent="0.25">
      <c r="A208" s="1">
        <v>45132</v>
      </c>
      <c r="B208" s="3">
        <f t="array" ref="B208">MIN(IF(A208=Timesheet!$A$13:$A$2615,Timesheet!$D$13:$D$2615))</f>
        <v>0</v>
      </c>
      <c r="C208" s="3">
        <f t="array" ref="C208">MAX(IF(A208=Timesheet!$A$13:$A$2615,Timesheet!$E$13:$E$2615))</f>
        <v>0</v>
      </c>
      <c r="E208" s="1">
        <v>45132</v>
      </c>
      <c r="F208" s="2">
        <f>SUMIFS(Timesheet!$F$13:$F$11483,Timesheet!$A$13:$A$11483,'Início|Fim 1'!E208,Timesheet!$C$13:$C$11483,'Início|Fim 1'!$F$2)</f>
        <v>0</v>
      </c>
      <c r="G208" s="2">
        <f>SUMIFS(Timesheet!$F$13:$F$11483,Timesheet!$A$13:$A$11483,'Início|Fim 1'!E208,Timesheet!$C$13:$C$11483,'Início|Fim 1'!$G$2)</f>
        <v>0</v>
      </c>
      <c r="H208" s="2">
        <f>SUMIFS(Timesheet!$F$13:$F$11483,Timesheet!$A$13:$A$11483,'Início|Fim 1'!E208,Timesheet!$C$13:$C$11483,'Início|Fim 1'!$H$2)</f>
        <v>0</v>
      </c>
      <c r="I208" s="2">
        <f>SUMIFS(Timesheet!$F$13:$F$11483,Timesheet!$A$13:$A$11483,'Início|Fim 1'!E208,Timesheet!$C$13:$C$11483,'Início|Fim 1'!$I$2)</f>
        <v>0</v>
      </c>
      <c r="J208" s="2">
        <f>SUMIFS(Timesheet!$F$13:$F$11483,Timesheet!$A$13:$A$11483,'Início|Fim 1'!E208,Timesheet!$C$13:$C$11483,'Início|Fim 1'!$J$2)</f>
        <v>0</v>
      </c>
      <c r="K208" s="2">
        <f>SUMIFS(Timesheet!$F$13:$F$11483,Timesheet!$A$13:$A$11483,'Início|Fim 1'!E208,Timesheet!$C$13:$C$11483,'Início|Fim 1'!$K$2)</f>
        <v>0</v>
      </c>
      <c r="L208" s="2">
        <f>SUMIFS(Timesheet!$F$13:$F$11483,Timesheet!$A$13:$A$11483,'Início|Fim 1'!E208,Timesheet!$C$13:$C$11483,'Início|Fim 1'!$L$2)</f>
        <v>0</v>
      </c>
      <c r="M208" s="2">
        <f>SUMIFS(Timesheet!$F$13:$F$11483,Timesheet!$A$13:$A$11483,'Início|Fim 1'!E208,Timesheet!$C$13:$C$11483,'Início|Fim 1'!$M$2)</f>
        <v>0</v>
      </c>
      <c r="N208" s="2">
        <f>SUMIFS(Timesheet!$F$13:$F$11483,Timesheet!$A$13:$A$11483,'Início|Fim 1'!E208,Timesheet!$C$13:$C$11483,'Início|Fim 1'!$N$2)</f>
        <v>0</v>
      </c>
      <c r="O208" s="2">
        <f t="shared" si="3"/>
        <v>0</v>
      </c>
    </row>
    <row r="209" spans="1:15" x14ac:dyDescent="0.25">
      <c r="A209" s="1">
        <v>45133</v>
      </c>
      <c r="B209" s="3">
        <f t="array" ref="B209">MIN(IF(A209=Timesheet!$A$13:$A$2615,Timesheet!$D$13:$D$2615))</f>
        <v>0</v>
      </c>
      <c r="C209" s="3">
        <f t="array" ref="C209">MAX(IF(A209=Timesheet!$A$13:$A$2615,Timesheet!$E$13:$E$2615))</f>
        <v>0</v>
      </c>
      <c r="E209" s="1">
        <v>45133</v>
      </c>
      <c r="F209" s="2">
        <f>SUMIFS(Timesheet!$F$13:$F$11483,Timesheet!$A$13:$A$11483,'Início|Fim 1'!E209,Timesheet!$C$13:$C$11483,'Início|Fim 1'!$F$2)</f>
        <v>0</v>
      </c>
      <c r="G209" s="2">
        <f>SUMIFS(Timesheet!$F$13:$F$11483,Timesheet!$A$13:$A$11483,'Início|Fim 1'!E209,Timesheet!$C$13:$C$11483,'Início|Fim 1'!$G$2)</f>
        <v>0</v>
      </c>
      <c r="H209" s="2">
        <f>SUMIFS(Timesheet!$F$13:$F$11483,Timesheet!$A$13:$A$11483,'Início|Fim 1'!E209,Timesheet!$C$13:$C$11483,'Início|Fim 1'!$H$2)</f>
        <v>0</v>
      </c>
      <c r="I209" s="2">
        <f>SUMIFS(Timesheet!$F$13:$F$11483,Timesheet!$A$13:$A$11483,'Início|Fim 1'!E209,Timesheet!$C$13:$C$11483,'Início|Fim 1'!$I$2)</f>
        <v>0</v>
      </c>
      <c r="J209" s="2">
        <f>SUMIFS(Timesheet!$F$13:$F$11483,Timesheet!$A$13:$A$11483,'Início|Fim 1'!E209,Timesheet!$C$13:$C$11483,'Início|Fim 1'!$J$2)</f>
        <v>0</v>
      </c>
      <c r="K209" s="2">
        <f>SUMIFS(Timesheet!$F$13:$F$11483,Timesheet!$A$13:$A$11483,'Início|Fim 1'!E209,Timesheet!$C$13:$C$11483,'Início|Fim 1'!$K$2)</f>
        <v>0</v>
      </c>
      <c r="L209" s="2">
        <f>SUMIFS(Timesheet!$F$13:$F$11483,Timesheet!$A$13:$A$11483,'Início|Fim 1'!E209,Timesheet!$C$13:$C$11483,'Início|Fim 1'!$L$2)</f>
        <v>0</v>
      </c>
      <c r="M209" s="2">
        <f>SUMIFS(Timesheet!$F$13:$F$11483,Timesheet!$A$13:$A$11483,'Início|Fim 1'!E209,Timesheet!$C$13:$C$11483,'Início|Fim 1'!$M$2)</f>
        <v>0</v>
      </c>
      <c r="N209" s="2">
        <f>SUMIFS(Timesheet!$F$13:$F$11483,Timesheet!$A$13:$A$11483,'Início|Fim 1'!E209,Timesheet!$C$13:$C$11483,'Início|Fim 1'!$N$2)</f>
        <v>0</v>
      </c>
      <c r="O209" s="2">
        <f t="shared" si="3"/>
        <v>0</v>
      </c>
    </row>
    <row r="210" spans="1:15" x14ac:dyDescent="0.25">
      <c r="A210" s="1">
        <v>45134</v>
      </c>
      <c r="B210" s="3">
        <f t="array" ref="B210">MIN(IF(A210=Timesheet!$A$13:$A$2615,Timesheet!$D$13:$D$2615))</f>
        <v>0</v>
      </c>
      <c r="C210" s="3">
        <f t="array" ref="C210">MAX(IF(A210=Timesheet!$A$13:$A$2615,Timesheet!$E$13:$E$2615))</f>
        <v>0</v>
      </c>
      <c r="E210" s="1">
        <v>45134</v>
      </c>
      <c r="F210" s="2">
        <f>SUMIFS(Timesheet!$F$13:$F$11483,Timesheet!$A$13:$A$11483,'Início|Fim 1'!E210,Timesheet!$C$13:$C$11483,'Início|Fim 1'!$F$2)</f>
        <v>0</v>
      </c>
      <c r="G210" s="2">
        <f>SUMIFS(Timesheet!$F$13:$F$11483,Timesheet!$A$13:$A$11483,'Início|Fim 1'!E210,Timesheet!$C$13:$C$11483,'Início|Fim 1'!$G$2)</f>
        <v>0</v>
      </c>
      <c r="H210" s="2">
        <f>SUMIFS(Timesheet!$F$13:$F$11483,Timesheet!$A$13:$A$11483,'Início|Fim 1'!E210,Timesheet!$C$13:$C$11483,'Início|Fim 1'!$H$2)</f>
        <v>0</v>
      </c>
      <c r="I210" s="2">
        <f>SUMIFS(Timesheet!$F$13:$F$11483,Timesheet!$A$13:$A$11483,'Início|Fim 1'!E210,Timesheet!$C$13:$C$11483,'Início|Fim 1'!$I$2)</f>
        <v>0</v>
      </c>
      <c r="J210" s="2">
        <f>SUMIFS(Timesheet!$F$13:$F$11483,Timesheet!$A$13:$A$11483,'Início|Fim 1'!E210,Timesheet!$C$13:$C$11483,'Início|Fim 1'!$J$2)</f>
        <v>0</v>
      </c>
      <c r="K210" s="2">
        <f>SUMIFS(Timesheet!$F$13:$F$11483,Timesheet!$A$13:$A$11483,'Início|Fim 1'!E210,Timesheet!$C$13:$C$11483,'Início|Fim 1'!$K$2)</f>
        <v>0</v>
      </c>
      <c r="L210" s="2">
        <f>SUMIFS(Timesheet!$F$13:$F$11483,Timesheet!$A$13:$A$11483,'Início|Fim 1'!E210,Timesheet!$C$13:$C$11483,'Início|Fim 1'!$L$2)</f>
        <v>0</v>
      </c>
      <c r="M210" s="2">
        <f>SUMIFS(Timesheet!$F$13:$F$11483,Timesheet!$A$13:$A$11483,'Início|Fim 1'!E210,Timesheet!$C$13:$C$11483,'Início|Fim 1'!$M$2)</f>
        <v>0</v>
      </c>
      <c r="N210" s="2">
        <f>SUMIFS(Timesheet!$F$13:$F$11483,Timesheet!$A$13:$A$11483,'Início|Fim 1'!E210,Timesheet!$C$13:$C$11483,'Início|Fim 1'!$N$2)</f>
        <v>0</v>
      </c>
      <c r="O210" s="2">
        <f t="shared" si="3"/>
        <v>0</v>
      </c>
    </row>
    <row r="211" spans="1:15" x14ac:dyDescent="0.25">
      <c r="A211" s="1">
        <v>45135</v>
      </c>
      <c r="B211" s="3">
        <f t="array" ref="B211">MIN(IF(A211=Timesheet!$A$13:$A$2615,Timesheet!$D$13:$D$2615))</f>
        <v>0</v>
      </c>
      <c r="C211" s="3">
        <f t="array" ref="C211">MAX(IF(A211=Timesheet!$A$13:$A$2615,Timesheet!$E$13:$E$2615))</f>
        <v>0</v>
      </c>
      <c r="E211" s="1">
        <v>45135</v>
      </c>
      <c r="F211" s="2">
        <f>SUMIFS(Timesheet!$F$13:$F$11483,Timesheet!$A$13:$A$11483,'Início|Fim 1'!E211,Timesheet!$C$13:$C$11483,'Início|Fim 1'!$F$2)</f>
        <v>0</v>
      </c>
      <c r="G211" s="2">
        <f>SUMIFS(Timesheet!$F$13:$F$11483,Timesheet!$A$13:$A$11483,'Início|Fim 1'!E211,Timesheet!$C$13:$C$11483,'Início|Fim 1'!$G$2)</f>
        <v>0</v>
      </c>
      <c r="H211" s="2">
        <f>SUMIFS(Timesheet!$F$13:$F$11483,Timesheet!$A$13:$A$11483,'Início|Fim 1'!E211,Timesheet!$C$13:$C$11483,'Início|Fim 1'!$H$2)</f>
        <v>0</v>
      </c>
      <c r="I211" s="2">
        <f>SUMIFS(Timesheet!$F$13:$F$11483,Timesheet!$A$13:$A$11483,'Início|Fim 1'!E211,Timesheet!$C$13:$C$11483,'Início|Fim 1'!$I$2)</f>
        <v>0</v>
      </c>
      <c r="J211" s="2">
        <f>SUMIFS(Timesheet!$F$13:$F$11483,Timesheet!$A$13:$A$11483,'Início|Fim 1'!E211,Timesheet!$C$13:$C$11483,'Início|Fim 1'!$J$2)</f>
        <v>0</v>
      </c>
      <c r="K211" s="2">
        <f>SUMIFS(Timesheet!$F$13:$F$11483,Timesheet!$A$13:$A$11483,'Início|Fim 1'!E211,Timesheet!$C$13:$C$11483,'Início|Fim 1'!$K$2)</f>
        <v>0</v>
      </c>
      <c r="L211" s="2">
        <f>SUMIFS(Timesheet!$F$13:$F$11483,Timesheet!$A$13:$A$11483,'Início|Fim 1'!E211,Timesheet!$C$13:$C$11483,'Início|Fim 1'!$L$2)</f>
        <v>0</v>
      </c>
      <c r="M211" s="2">
        <f>SUMIFS(Timesheet!$F$13:$F$11483,Timesheet!$A$13:$A$11483,'Início|Fim 1'!E211,Timesheet!$C$13:$C$11483,'Início|Fim 1'!$M$2)</f>
        <v>0</v>
      </c>
      <c r="N211" s="2">
        <f>SUMIFS(Timesheet!$F$13:$F$11483,Timesheet!$A$13:$A$11483,'Início|Fim 1'!E211,Timesheet!$C$13:$C$11483,'Início|Fim 1'!$N$2)</f>
        <v>0</v>
      </c>
      <c r="O211" s="2">
        <f t="shared" si="3"/>
        <v>0</v>
      </c>
    </row>
    <row r="212" spans="1:15" x14ac:dyDescent="0.25">
      <c r="A212" s="1">
        <v>45136</v>
      </c>
      <c r="B212" s="3">
        <f t="array" ref="B212">MIN(IF(A212=Timesheet!$A$13:$A$2615,Timesheet!$D$13:$D$2615))</f>
        <v>0</v>
      </c>
      <c r="C212" s="3">
        <f t="array" ref="C212">MAX(IF(A212=Timesheet!$A$13:$A$2615,Timesheet!$E$13:$E$2615))</f>
        <v>0</v>
      </c>
      <c r="E212" s="1">
        <v>45136</v>
      </c>
      <c r="F212" s="2">
        <f>SUMIFS(Timesheet!$F$13:$F$11483,Timesheet!$A$13:$A$11483,'Início|Fim 1'!E212,Timesheet!$C$13:$C$11483,'Início|Fim 1'!$F$2)</f>
        <v>0</v>
      </c>
      <c r="G212" s="2">
        <f>SUMIFS(Timesheet!$F$13:$F$11483,Timesheet!$A$13:$A$11483,'Início|Fim 1'!E212,Timesheet!$C$13:$C$11483,'Início|Fim 1'!$G$2)</f>
        <v>0</v>
      </c>
      <c r="H212" s="2">
        <f>SUMIFS(Timesheet!$F$13:$F$11483,Timesheet!$A$13:$A$11483,'Início|Fim 1'!E212,Timesheet!$C$13:$C$11483,'Início|Fim 1'!$H$2)</f>
        <v>0</v>
      </c>
      <c r="I212" s="2">
        <f>SUMIFS(Timesheet!$F$13:$F$11483,Timesheet!$A$13:$A$11483,'Início|Fim 1'!E212,Timesheet!$C$13:$C$11483,'Início|Fim 1'!$I$2)</f>
        <v>0</v>
      </c>
      <c r="J212" s="2">
        <f>SUMIFS(Timesheet!$F$13:$F$11483,Timesheet!$A$13:$A$11483,'Início|Fim 1'!E212,Timesheet!$C$13:$C$11483,'Início|Fim 1'!$J$2)</f>
        <v>0</v>
      </c>
      <c r="K212" s="2">
        <f>SUMIFS(Timesheet!$F$13:$F$11483,Timesheet!$A$13:$A$11483,'Início|Fim 1'!E212,Timesheet!$C$13:$C$11483,'Início|Fim 1'!$K$2)</f>
        <v>0</v>
      </c>
      <c r="L212" s="2">
        <f>SUMIFS(Timesheet!$F$13:$F$11483,Timesheet!$A$13:$A$11483,'Início|Fim 1'!E212,Timesheet!$C$13:$C$11483,'Início|Fim 1'!$L$2)</f>
        <v>0</v>
      </c>
      <c r="M212" s="2">
        <f>SUMIFS(Timesheet!$F$13:$F$11483,Timesheet!$A$13:$A$11483,'Início|Fim 1'!E212,Timesheet!$C$13:$C$11483,'Início|Fim 1'!$M$2)</f>
        <v>0</v>
      </c>
      <c r="N212" s="2">
        <f>SUMIFS(Timesheet!$F$13:$F$11483,Timesheet!$A$13:$A$11483,'Início|Fim 1'!E212,Timesheet!$C$13:$C$11483,'Início|Fim 1'!$N$2)</f>
        <v>0</v>
      </c>
      <c r="O212" s="2">
        <f t="shared" si="3"/>
        <v>0</v>
      </c>
    </row>
    <row r="213" spans="1:15" x14ac:dyDescent="0.25">
      <c r="A213" s="1">
        <v>45137</v>
      </c>
      <c r="B213" s="3">
        <f t="array" ref="B213">MIN(IF(A213=Timesheet!$A$13:$A$2615,Timesheet!$D$13:$D$2615))</f>
        <v>0</v>
      </c>
      <c r="C213" s="3">
        <f t="array" ref="C213">MAX(IF(A213=Timesheet!$A$13:$A$2615,Timesheet!$E$13:$E$2615))</f>
        <v>0</v>
      </c>
      <c r="E213" s="1">
        <v>45137</v>
      </c>
      <c r="F213" s="2">
        <f>SUMIFS(Timesheet!$F$13:$F$11483,Timesheet!$A$13:$A$11483,'Início|Fim 1'!E213,Timesheet!$C$13:$C$11483,'Início|Fim 1'!$F$2)</f>
        <v>0</v>
      </c>
      <c r="G213" s="2">
        <f>SUMIFS(Timesheet!$F$13:$F$11483,Timesheet!$A$13:$A$11483,'Início|Fim 1'!E213,Timesheet!$C$13:$C$11483,'Início|Fim 1'!$G$2)</f>
        <v>0</v>
      </c>
      <c r="H213" s="2">
        <f>SUMIFS(Timesheet!$F$13:$F$11483,Timesheet!$A$13:$A$11483,'Início|Fim 1'!E213,Timesheet!$C$13:$C$11483,'Início|Fim 1'!$H$2)</f>
        <v>0</v>
      </c>
      <c r="I213" s="2">
        <f>SUMIFS(Timesheet!$F$13:$F$11483,Timesheet!$A$13:$A$11483,'Início|Fim 1'!E213,Timesheet!$C$13:$C$11483,'Início|Fim 1'!$I$2)</f>
        <v>0</v>
      </c>
      <c r="J213" s="2">
        <f>SUMIFS(Timesheet!$F$13:$F$11483,Timesheet!$A$13:$A$11483,'Início|Fim 1'!E213,Timesheet!$C$13:$C$11483,'Início|Fim 1'!$J$2)</f>
        <v>0</v>
      </c>
      <c r="K213" s="2">
        <f>SUMIFS(Timesheet!$F$13:$F$11483,Timesheet!$A$13:$A$11483,'Início|Fim 1'!E213,Timesheet!$C$13:$C$11483,'Início|Fim 1'!$K$2)</f>
        <v>0</v>
      </c>
      <c r="L213" s="2">
        <f>SUMIFS(Timesheet!$F$13:$F$11483,Timesheet!$A$13:$A$11483,'Início|Fim 1'!E213,Timesheet!$C$13:$C$11483,'Início|Fim 1'!$L$2)</f>
        <v>0</v>
      </c>
      <c r="M213" s="2">
        <f>SUMIFS(Timesheet!$F$13:$F$11483,Timesheet!$A$13:$A$11483,'Início|Fim 1'!E213,Timesheet!$C$13:$C$11483,'Início|Fim 1'!$M$2)</f>
        <v>0</v>
      </c>
      <c r="N213" s="2">
        <f>SUMIFS(Timesheet!$F$13:$F$11483,Timesheet!$A$13:$A$11483,'Início|Fim 1'!E213,Timesheet!$C$13:$C$11483,'Início|Fim 1'!$N$2)</f>
        <v>0</v>
      </c>
      <c r="O213" s="2">
        <f t="shared" si="3"/>
        <v>0</v>
      </c>
    </row>
    <row r="214" spans="1:15" x14ac:dyDescent="0.25">
      <c r="A214" s="1">
        <v>45138</v>
      </c>
      <c r="B214" s="3">
        <f t="array" ref="B214">MIN(IF(A214=Timesheet!$A$13:$A$2615,Timesheet!$D$13:$D$2615))</f>
        <v>0</v>
      </c>
      <c r="C214" s="3">
        <f t="array" ref="C214">MAX(IF(A214=Timesheet!$A$13:$A$2615,Timesheet!$E$13:$E$2615))</f>
        <v>0</v>
      </c>
      <c r="E214" s="1">
        <v>45138</v>
      </c>
      <c r="F214" s="2">
        <f>SUMIFS(Timesheet!$F$13:$F$11483,Timesheet!$A$13:$A$11483,'Início|Fim 1'!E214,Timesheet!$C$13:$C$11483,'Início|Fim 1'!$F$2)</f>
        <v>0</v>
      </c>
      <c r="G214" s="2">
        <f>SUMIFS(Timesheet!$F$13:$F$11483,Timesheet!$A$13:$A$11483,'Início|Fim 1'!E214,Timesheet!$C$13:$C$11483,'Início|Fim 1'!$G$2)</f>
        <v>0</v>
      </c>
      <c r="H214" s="2">
        <f>SUMIFS(Timesheet!$F$13:$F$11483,Timesheet!$A$13:$A$11483,'Início|Fim 1'!E214,Timesheet!$C$13:$C$11483,'Início|Fim 1'!$H$2)</f>
        <v>0</v>
      </c>
      <c r="I214" s="2">
        <f>SUMIFS(Timesheet!$F$13:$F$11483,Timesheet!$A$13:$A$11483,'Início|Fim 1'!E214,Timesheet!$C$13:$C$11483,'Início|Fim 1'!$I$2)</f>
        <v>0</v>
      </c>
      <c r="J214" s="2">
        <f>SUMIFS(Timesheet!$F$13:$F$11483,Timesheet!$A$13:$A$11483,'Início|Fim 1'!E214,Timesheet!$C$13:$C$11483,'Início|Fim 1'!$J$2)</f>
        <v>0</v>
      </c>
      <c r="K214" s="2">
        <f>SUMIFS(Timesheet!$F$13:$F$11483,Timesheet!$A$13:$A$11483,'Início|Fim 1'!E214,Timesheet!$C$13:$C$11483,'Início|Fim 1'!$K$2)</f>
        <v>0</v>
      </c>
      <c r="L214" s="2">
        <f>SUMIFS(Timesheet!$F$13:$F$11483,Timesheet!$A$13:$A$11483,'Início|Fim 1'!E214,Timesheet!$C$13:$C$11483,'Início|Fim 1'!$L$2)</f>
        <v>0</v>
      </c>
      <c r="M214" s="2">
        <f>SUMIFS(Timesheet!$F$13:$F$11483,Timesheet!$A$13:$A$11483,'Início|Fim 1'!E214,Timesheet!$C$13:$C$11483,'Início|Fim 1'!$M$2)</f>
        <v>0</v>
      </c>
      <c r="N214" s="2">
        <f>SUMIFS(Timesheet!$F$13:$F$11483,Timesheet!$A$13:$A$11483,'Início|Fim 1'!E214,Timesheet!$C$13:$C$11483,'Início|Fim 1'!$N$2)</f>
        <v>0</v>
      </c>
      <c r="O214" s="2">
        <f t="shared" si="3"/>
        <v>0</v>
      </c>
    </row>
    <row r="215" spans="1:15" x14ac:dyDescent="0.25">
      <c r="A215" s="1">
        <v>45139</v>
      </c>
      <c r="B215" s="3">
        <f t="array" ref="B215">MIN(IF(A215=Timesheet!$A$13:$A$2615,Timesheet!$D$13:$D$2615))</f>
        <v>0</v>
      </c>
      <c r="C215" s="3">
        <f t="array" ref="C215">MAX(IF(A215=Timesheet!$A$13:$A$2615,Timesheet!$E$13:$E$2615))</f>
        <v>0</v>
      </c>
      <c r="E215" s="1">
        <v>45139</v>
      </c>
      <c r="F215" s="2">
        <f>SUMIFS(Timesheet!$F$13:$F$11483,Timesheet!$A$13:$A$11483,'Início|Fim 1'!E215,Timesheet!$C$13:$C$11483,'Início|Fim 1'!$F$2)</f>
        <v>0</v>
      </c>
      <c r="G215" s="2">
        <f>SUMIFS(Timesheet!$F$13:$F$11483,Timesheet!$A$13:$A$11483,'Início|Fim 1'!E215,Timesheet!$C$13:$C$11483,'Início|Fim 1'!$G$2)</f>
        <v>0</v>
      </c>
      <c r="H215" s="2">
        <f>SUMIFS(Timesheet!$F$13:$F$11483,Timesheet!$A$13:$A$11483,'Início|Fim 1'!E215,Timesheet!$C$13:$C$11483,'Início|Fim 1'!$H$2)</f>
        <v>0</v>
      </c>
      <c r="I215" s="2">
        <f>SUMIFS(Timesheet!$F$13:$F$11483,Timesheet!$A$13:$A$11483,'Início|Fim 1'!E215,Timesheet!$C$13:$C$11483,'Início|Fim 1'!$I$2)</f>
        <v>0</v>
      </c>
      <c r="J215" s="2">
        <f>SUMIFS(Timesheet!$F$13:$F$11483,Timesheet!$A$13:$A$11483,'Início|Fim 1'!E215,Timesheet!$C$13:$C$11483,'Início|Fim 1'!$J$2)</f>
        <v>0</v>
      </c>
      <c r="K215" s="2">
        <f>SUMIFS(Timesheet!$F$13:$F$11483,Timesheet!$A$13:$A$11483,'Início|Fim 1'!E215,Timesheet!$C$13:$C$11483,'Início|Fim 1'!$K$2)</f>
        <v>0</v>
      </c>
      <c r="L215" s="2">
        <f>SUMIFS(Timesheet!$F$13:$F$11483,Timesheet!$A$13:$A$11483,'Início|Fim 1'!E215,Timesheet!$C$13:$C$11483,'Início|Fim 1'!$L$2)</f>
        <v>0</v>
      </c>
      <c r="M215" s="2">
        <f>SUMIFS(Timesheet!$F$13:$F$11483,Timesheet!$A$13:$A$11483,'Início|Fim 1'!E215,Timesheet!$C$13:$C$11483,'Início|Fim 1'!$M$2)</f>
        <v>0</v>
      </c>
      <c r="N215" s="2">
        <f>SUMIFS(Timesheet!$F$13:$F$11483,Timesheet!$A$13:$A$11483,'Início|Fim 1'!E215,Timesheet!$C$13:$C$11483,'Início|Fim 1'!$N$2)</f>
        <v>0</v>
      </c>
      <c r="O215" s="2">
        <f t="shared" si="3"/>
        <v>0</v>
      </c>
    </row>
    <row r="216" spans="1:15" x14ac:dyDescent="0.25">
      <c r="A216" s="1">
        <v>45140</v>
      </c>
      <c r="B216" s="3">
        <f t="array" ref="B216">MIN(IF(A216=Timesheet!$A$13:$A$2615,Timesheet!$D$13:$D$2615))</f>
        <v>0</v>
      </c>
      <c r="C216" s="3">
        <f t="array" ref="C216">MAX(IF(A216=Timesheet!$A$13:$A$2615,Timesheet!$E$13:$E$2615))</f>
        <v>0</v>
      </c>
      <c r="E216" s="1">
        <v>45140</v>
      </c>
      <c r="F216" s="2">
        <f>SUMIFS(Timesheet!$F$13:$F$11483,Timesheet!$A$13:$A$11483,'Início|Fim 1'!E216,Timesheet!$C$13:$C$11483,'Início|Fim 1'!$F$2)</f>
        <v>0</v>
      </c>
      <c r="G216" s="2">
        <f>SUMIFS(Timesheet!$F$13:$F$11483,Timesheet!$A$13:$A$11483,'Início|Fim 1'!E216,Timesheet!$C$13:$C$11483,'Início|Fim 1'!$G$2)</f>
        <v>0</v>
      </c>
      <c r="H216" s="2">
        <f>SUMIFS(Timesheet!$F$13:$F$11483,Timesheet!$A$13:$A$11483,'Início|Fim 1'!E216,Timesheet!$C$13:$C$11483,'Início|Fim 1'!$H$2)</f>
        <v>0</v>
      </c>
      <c r="I216" s="2">
        <f>SUMIFS(Timesheet!$F$13:$F$11483,Timesheet!$A$13:$A$11483,'Início|Fim 1'!E216,Timesheet!$C$13:$C$11483,'Início|Fim 1'!$I$2)</f>
        <v>0</v>
      </c>
      <c r="J216" s="2">
        <f>SUMIFS(Timesheet!$F$13:$F$11483,Timesheet!$A$13:$A$11483,'Início|Fim 1'!E216,Timesheet!$C$13:$C$11483,'Início|Fim 1'!$J$2)</f>
        <v>0</v>
      </c>
      <c r="K216" s="2">
        <f>SUMIFS(Timesheet!$F$13:$F$11483,Timesheet!$A$13:$A$11483,'Início|Fim 1'!E216,Timesheet!$C$13:$C$11483,'Início|Fim 1'!$K$2)</f>
        <v>0</v>
      </c>
      <c r="L216" s="2">
        <f>SUMIFS(Timesheet!$F$13:$F$11483,Timesheet!$A$13:$A$11483,'Início|Fim 1'!E216,Timesheet!$C$13:$C$11483,'Início|Fim 1'!$L$2)</f>
        <v>0</v>
      </c>
      <c r="M216" s="2">
        <f>SUMIFS(Timesheet!$F$13:$F$11483,Timesheet!$A$13:$A$11483,'Início|Fim 1'!E216,Timesheet!$C$13:$C$11483,'Início|Fim 1'!$M$2)</f>
        <v>0</v>
      </c>
      <c r="N216" s="2">
        <f>SUMIFS(Timesheet!$F$13:$F$11483,Timesheet!$A$13:$A$11483,'Início|Fim 1'!E216,Timesheet!$C$13:$C$11483,'Início|Fim 1'!$N$2)</f>
        <v>0</v>
      </c>
      <c r="O216" s="2">
        <f t="shared" si="3"/>
        <v>0</v>
      </c>
    </row>
    <row r="217" spans="1:15" x14ac:dyDescent="0.25">
      <c r="A217" s="1">
        <v>45141</v>
      </c>
      <c r="B217" s="3">
        <f t="array" ref="B217">MIN(IF(A217=Timesheet!$A$13:$A$2615,Timesheet!$D$13:$D$2615))</f>
        <v>0</v>
      </c>
      <c r="C217" s="3">
        <f t="array" ref="C217">MAX(IF(A217=Timesheet!$A$13:$A$2615,Timesheet!$E$13:$E$2615))</f>
        <v>0</v>
      </c>
      <c r="E217" s="1">
        <v>45141</v>
      </c>
      <c r="F217" s="2">
        <f>SUMIFS(Timesheet!$F$13:$F$11483,Timesheet!$A$13:$A$11483,'Início|Fim 1'!E217,Timesheet!$C$13:$C$11483,'Início|Fim 1'!$F$2)</f>
        <v>0</v>
      </c>
      <c r="G217" s="2">
        <f>SUMIFS(Timesheet!$F$13:$F$11483,Timesheet!$A$13:$A$11483,'Início|Fim 1'!E217,Timesheet!$C$13:$C$11483,'Início|Fim 1'!$G$2)</f>
        <v>0</v>
      </c>
      <c r="H217" s="2">
        <f>SUMIFS(Timesheet!$F$13:$F$11483,Timesheet!$A$13:$A$11483,'Início|Fim 1'!E217,Timesheet!$C$13:$C$11483,'Início|Fim 1'!$H$2)</f>
        <v>0</v>
      </c>
      <c r="I217" s="2">
        <f>SUMIFS(Timesheet!$F$13:$F$11483,Timesheet!$A$13:$A$11483,'Início|Fim 1'!E217,Timesheet!$C$13:$C$11483,'Início|Fim 1'!$I$2)</f>
        <v>0</v>
      </c>
      <c r="J217" s="2">
        <f>SUMIFS(Timesheet!$F$13:$F$11483,Timesheet!$A$13:$A$11483,'Início|Fim 1'!E217,Timesheet!$C$13:$C$11483,'Início|Fim 1'!$J$2)</f>
        <v>0</v>
      </c>
      <c r="K217" s="2">
        <f>SUMIFS(Timesheet!$F$13:$F$11483,Timesheet!$A$13:$A$11483,'Início|Fim 1'!E217,Timesheet!$C$13:$C$11483,'Início|Fim 1'!$K$2)</f>
        <v>0</v>
      </c>
      <c r="L217" s="2">
        <f>SUMIFS(Timesheet!$F$13:$F$11483,Timesheet!$A$13:$A$11483,'Início|Fim 1'!E217,Timesheet!$C$13:$C$11483,'Início|Fim 1'!$L$2)</f>
        <v>0</v>
      </c>
      <c r="M217" s="2">
        <f>SUMIFS(Timesheet!$F$13:$F$11483,Timesheet!$A$13:$A$11483,'Início|Fim 1'!E217,Timesheet!$C$13:$C$11483,'Início|Fim 1'!$M$2)</f>
        <v>0</v>
      </c>
      <c r="N217" s="2">
        <f>SUMIFS(Timesheet!$F$13:$F$11483,Timesheet!$A$13:$A$11483,'Início|Fim 1'!E217,Timesheet!$C$13:$C$11483,'Início|Fim 1'!$N$2)</f>
        <v>0</v>
      </c>
      <c r="O217" s="2">
        <f t="shared" si="3"/>
        <v>0</v>
      </c>
    </row>
    <row r="218" spans="1:15" x14ac:dyDescent="0.25">
      <c r="A218" s="1">
        <v>45142</v>
      </c>
      <c r="B218" s="3">
        <f t="array" ref="B218">MIN(IF(A218=Timesheet!$A$13:$A$2615,Timesheet!$D$13:$D$2615))</f>
        <v>0</v>
      </c>
      <c r="C218" s="3">
        <f t="array" ref="C218">MAX(IF(A218=Timesheet!$A$13:$A$2615,Timesheet!$E$13:$E$2615))</f>
        <v>0</v>
      </c>
      <c r="E218" s="1">
        <v>45142</v>
      </c>
      <c r="F218" s="2">
        <f>SUMIFS(Timesheet!$F$13:$F$11483,Timesheet!$A$13:$A$11483,'Início|Fim 1'!E218,Timesheet!$C$13:$C$11483,'Início|Fim 1'!$F$2)</f>
        <v>0</v>
      </c>
      <c r="G218" s="2">
        <f>SUMIFS(Timesheet!$F$13:$F$11483,Timesheet!$A$13:$A$11483,'Início|Fim 1'!E218,Timesheet!$C$13:$C$11483,'Início|Fim 1'!$G$2)</f>
        <v>0</v>
      </c>
      <c r="H218" s="2">
        <f>SUMIFS(Timesheet!$F$13:$F$11483,Timesheet!$A$13:$A$11483,'Início|Fim 1'!E218,Timesheet!$C$13:$C$11483,'Início|Fim 1'!$H$2)</f>
        <v>0</v>
      </c>
      <c r="I218" s="2">
        <f>SUMIFS(Timesheet!$F$13:$F$11483,Timesheet!$A$13:$A$11483,'Início|Fim 1'!E218,Timesheet!$C$13:$C$11483,'Início|Fim 1'!$I$2)</f>
        <v>0</v>
      </c>
      <c r="J218" s="2">
        <f>SUMIFS(Timesheet!$F$13:$F$11483,Timesheet!$A$13:$A$11483,'Início|Fim 1'!E218,Timesheet!$C$13:$C$11483,'Início|Fim 1'!$J$2)</f>
        <v>0</v>
      </c>
      <c r="K218" s="2">
        <f>SUMIFS(Timesheet!$F$13:$F$11483,Timesheet!$A$13:$A$11483,'Início|Fim 1'!E218,Timesheet!$C$13:$C$11483,'Início|Fim 1'!$K$2)</f>
        <v>0</v>
      </c>
      <c r="L218" s="2">
        <f>SUMIFS(Timesheet!$F$13:$F$11483,Timesheet!$A$13:$A$11483,'Início|Fim 1'!E218,Timesheet!$C$13:$C$11483,'Início|Fim 1'!$L$2)</f>
        <v>0</v>
      </c>
      <c r="M218" s="2">
        <f>SUMIFS(Timesheet!$F$13:$F$11483,Timesheet!$A$13:$A$11483,'Início|Fim 1'!E218,Timesheet!$C$13:$C$11483,'Início|Fim 1'!$M$2)</f>
        <v>0</v>
      </c>
      <c r="N218" s="2">
        <f>SUMIFS(Timesheet!$F$13:$F$11483,Timesheet!$A$13:$A$11483,'Início|Fim 1'!E218,Timesheet!$C$13:$C$11483,'Início|Fim 1'!$N$2)</f>
        <v>0</v>
      </c>
      <c r="O218" s="2">
        <f t="shared" si="3"/>
        <v>0</v>
      </c>
    </row>
    <row r="219" spans="1:15" x14ac:dyDescent="0.25">
      <c r="A219" s="1">
        <v>45143</v>
      </c>
      <c r="B219" s="3">
        <f t="array" ref="B219">MIN(IF(A219=Timesheet!$A$13:$A$2615,Timesheet!$D$13:$D$2615))</f>
        <v>0</v>
      </c>
      <c r="C219" s="3">
        <f t="array" ref="C219">MAX(IF(A219=Timesheet!$A$13:$A$2615,Timesheet!$E$13:$E$2615))</f>
        <v>0</v>
      </c>
      <c r="E219" s="1">
        <v>45143</v>
      </c>
      <c r="F219" s="2">
        <f>SUMIFS(Timesheet!$F$13:$F$11483,Timesheet!$A$13:$A$11483,'Início|Fim 1'!E219,Timesheet!$C$13:$C$11483,'Início|Fim 1'!$F$2)</f>
        <v>0</v>
      </c>
      <c r="G219" s="2">
        <f>SUMIFS(Timesheet!$F$13:$F$11483,Timesheet!$A$13:$A$11483,'Início|Fim 1'!E219,Timesheet!$C$13:$C$11483,'Início|Fim 1'!$G$2)</f>
        <v>0</v>
      </c>
      <c r="H219" s="2">
        <f>SUMIFS(Timesheet!$F$13:$F$11483,Timesheet!$A$13:$A$11483,'Início|Fim 1'!E219,Timesheet!$C$13:$C$11483,'Início|Fim 1'!$H$2)</f>
        <v>0</v>
      </c>
      <c r="I219" s="2">
        <f>SUMIFS(Timesheet!$F$13:$F$11483,Timesheet!$A$13:$A$11483,'Início|Fim 1'!E219,Timesheet!$C$13:$C$11483,'Início|Fim 1'!$I$2)</f>
        <v>0</v>
      </c>
      <c r="J219" s="2">
        <f>SUMIFS(Timesheet!$F$13:$F$11483,Timesheet!$A$13:$A$11483,'Início|Fim 1'!E219,Timesheet!$C$13:$C$11483,'Início|Fim 1'!$J$2)</f>
        <v>0</v>
      </c>
      <c r="K219" s="2">
        <f>SUMIFS(Timesheet!$F$13:$F$11483,Timesheet!$A$13:$A$11483,'Início|Fim 1'!E219,Timesheet!$C$13:$C$11483,'Início|Fim 1'!$K$2)</f>
        <v>0</v>
      </c>
      <c r="L219" s="2">
        <f>SUMIFS(Timesheet!$F$13:$F$11483,Timesheet!$A$13:$A$11483,'Início|Fim 1'!E219,Timesheet!$C$13:$C$11483,'Início|Fim 1'!$L$2)</f>
        <v>0</v>
      </c>
      <c r="M219" s="2">
        <f>SUMIFS(Timesheet!$F$13:$F$11483,Timesheet!$A$13:$A$11483,'Início|Fim 1'!E219,Timesheet!$C$13:$C$11483,'Início|Fim 1'!$M$2)</f>
        <v>0</v>
      </c>
      <c r="N219" s="2">
        <f>SUMIFS(Timesheet!$F$13:$F$11483,Timesheet!$A$13:$A$11483,'Início|Fim 1'!E219,Timesheet!$C$13:$C$11483,'Início|Fim 1'!$N$2)</f>
        <v>0</v>
      </c>
      <c r="O219" s="2">
        <f t="shared" si="3"/>
        <v>0</v>
      </c>
    </row>
    <row r="220" spans="1:15" x14ac:dyDescent="0.25">
      <c r="A220" s="1">
        <v>45144</v>
      </c>
      <c r="B220" s="3">
        <f t="array" ref="B220">MIN(IF(A220=Timesheet!$A$13:$A$2615,Timesheet!$D$13:$D$2615))</f>
        <v>0</v>
      </c>
      <c r="C220" s="3">
        <f t="array" ref="C220">MAX(IF(A220=Timesheet!$A$13:$A$2615,Timesheet!$E$13:$E$2615))</f>
        <v>0</v>
      </c>
      <c r="E220" s="1">
        <v>45144</v>
      </c>
      <c r="F220" s="2">
        <f>SUMIFS(Timesheet!$F$13:$F$11483,Timesheet!$A$13:$A$11483,'Início|Fim 1'!E220,Timesheet!$C$13:$C$11483,'Início|Fim 1'!$F$2)</f>
        <v>0</v>
      </c>
      <c r="G220" s="2">
        <f>SUMIFS(Timesheet!$F$13:$F$11483,Timesheet!$A$13:$A$11483,'Início|Fim 1'!E220,Timesheet!$C$13:$C$11483,'Início|Fim 1'!$G$2)</f>
        <v>0</v>
      </c>
      <c r="H220" s="2">
        <f>SUMIFS(Timesheet!$F$13:$F$11483,Timesheet!$A$13:$A$11483,'Início|Fim 1'!E220,Timesheet!$C$13:$C$11483,'Início|Fim 1'!$H$2)</f>
        <v>0</v>
      </c>
      <c r="I220" s="2">
        <f>SUMIFS(Timesheet!$F$13:$F$11483,Timesheet!$A$13:$A$11483,'Início|Fim 1'!E220,Timesheet!$C$13:$C$11483,'Início|Fim 1'!$I$2)</f>
        <v>0</v>
      </c>
      <c r="J220" s="2">
        <f>SUMIFS(Timesheet!$F$13:$F$11483,Timesheet!$A$13:$A$11483,'Início|Fim 1'!E220,Timesheet!$C$13:$C$11483,'Início|Fim 1'!$J$2)</f>
        <v>0</v>
      </c>
      <c r="K220" s="2">
        <f>SUMIFS(Timesheet!$F$13:$F$11483,Timesheet!$A$13:$A$11483,'Início|Fim 1'!E220,Timesheet!$C$13:$C$11483,'Início|Fim 1'!$K$2)</f>
        <v>0</v>
      </c>
      <c r="L220" s="2">
        <f>SUMIFS(Timesheet!$F$13:$F$11483,Timesheet!$A$13:$A$11483,'Início|Fim 1'!E220,Timesheet!$C$13:$C$11483,'Início|Fim 1'!$L$2)</f>
        <v>0</v>
      </c>
      <c r="M220" s="2">
        <f>SUMIFS(Timesheet!$F$13:$F$11483,Timesheet!$A$13:$A$11483,'Início|Fim 1'!E220,Timesheet!$C$13:$C$11483,'Início|Fim 1'!$M$2)</f>
        <v>0</v>
      </c>
      <c r="N220" s="2">
        <f>SUMIFS(Timesheet!$F$13:$F$11483,Timesheet!$A$13:$A$11483,'Início|Fim 1'!E220,Timesheet!$C$13:$C$11483,'Início|Fim 1'!$N$2)</f>
        <v>0</v>
      </c>
      <c r="O220" s="2">
        <f t="shared" si="3"/>
        <v>0</v>
      </c>
    </row>
    <row r="221" spans="1:15" x14ac:dyDescent="0.25">
      <c r="A221" s="1">
        <v>45145</v>
      </c>
      <c r="B221" s="3">
        <f t="array" ref="B221">MIN(IF(A221=Timesheet!$A$13:$A$2615,Timesheet!$D$13:$D$2615))</f>
        <v>0</v>
      </c>
      <c r="C221" s="3">
        <f t="array" ref="C221">MAX(IF(A221=Timesheet!$A$13:$A$2615,Timesheet!$E$13:$E$2615))</f>
        <v>0</v>
      </c>
      <c r="E221" s="1">
        <v>45145</v>
      </c>
      <c r="F221" s="2">
        <f>SUMIFS(Timesheet!$F$13:$F$11483,Timesheet!$A$13:$A$11483,'Início|Fim 1'!E221,Timesheet!$C$13:$C$11483,'Início|Fim 1'!$F$2)</f>
        <v>0</v>
      </c>
      <c r="G221" s="2">
        <f>SUMIFS(Timesheet!$F$13:$F$11483,Timesheet!$A$13:$A$11483,'Início|Fim 1'!E221,Timesheet!$C$13:$C$11483,'Início|Fim 1'!$G$2)</f>
        <v>0</v>
      </c>
      <c r="H221" s="2">
        <f>SUMIFS(Timesheet!$F$13:$F$11483,Timesheet!$A$13:$A$11483,'Início|Fim 1'!E221,Timesheet!$C$13:$C$11483,'Início|Fim 1'!$H$2)</f>
        <v>0</v>
      </c>
      <c r="I221" s="2">
        <f>SUMIFS(Timesheet!$F$13:$F$11483,Timesheet!$A$13:$A$11483,'Início|Fim 1'!E221,Timesheet!$C$13:$C$11483,'Início|Fim 1'!$I$2)</f>
        <v>0</v>
      </c>
      <c r="J221" s="2">
        <f>SUMIFS(Timesheet!$F$13:$F$11483,Timesheet!$A$13:$A$11483,'Início|Fim 1'!E221,Timesheet!$C$13:$C$11483,'Início|Fim 1'!$J$2)</f>
        <v>0</v>
      </c>
      <c r="K221" s="2">
        <f>SUMIFS(Timesheet!$F$13:$F$11483,Timesheet!$A$13:$A$11483,'Início|Fim 1'!E221,Timesheet!$C$13:$C$11483,'Início|Fim 1'!$K$2)</f>
        <v>0</v>
      </c>
      <c r="L221" s="2">
        <f>SUMIFS(Timesheet!$F$13:$F$11483,Timesheet!$A$13:$A$11483,'Início|Fim 1'!E221,Timesheet!$C$13:$C$11483,'Início|Fim 1'!$L$2)</f>
        <v>0</v>
      </c>
      <c r="M221" s="2">
        <f>SUMIFS(Timesheet!$F$13:$F$11483,Timesheet!$A$13:$A$11483,'Início|Fim 1'!E221,Timesheet!$C$13:$C$11483,'Início|Fim 1'!$M$2)</f>
        <v>0</v>
      </c>
      <c r="N221" s="2">
        <f>SUMIFS(Timesheet!$F$13:$F$11483,Timesheet!$A$13:$A$11483,'Início|Fim 1'!E221,Timesheet!$C$13:$C$11483,'Início|Fim 1'!$N$2)</f>
        <v>0</v>
      </c>
      <c r="O221" s="2">
        <f t="shared" si="3"/>
        <v>0</v>
      </c>
    </row>
    <row r="222" spans="1:15" x14ac:dyDescent="0.25">
      <c r="A222" s="1">
        <v>45146</v>
      </c>
      <c r="B222" s="3">
        <f t="array" ref="B222">MIN(IF(A222=Timesheet!$A$13:$A$2615,Timesheet!$D$13:$D$2615))</f>
        <v>0</v>
      </c>
      <c r="C222" s="3">
        <f t="array" ref="C222">MAX(IF(A222=Timesheet!$A$13:$A$2615,Timesheet!$E$13:$E$2615))</f>
        <v>0</v>
      </c>
      <c r="E222" s="1">
        <v>45146</v>
      </c>
      <c r="F222" s="2">
        <f>SUMIFS(Timesheet!$F$13:$F$11483,Timesheet!$A$13:$A$11483,'Início|Fim 1'!E222,Timesheet!$C$13:$C$11483,'Início|Fim 1'!$F$2)</f>
        <v>0</v>
      </c>
      <c r="G222" s="2">
        <f>SUMIFS(Timesheet!$F$13:$F$11483,Timesheet!$A$13:$A$11483,'Início|Fim 1'!E222,Timesheet!$C$13:$C$11483,'Início|Fim 1'!$G$2)</f>
        <v>0</v>
      </c>
      <c r="H222" s="2">
        <f>SUMIFS(Timesheet!$F$13:$F$11483,Timesheet!$A$13:$A$11483,'Início|Fim 1'!E222,Timesheet!$C$13:$C$11483,'Início|Fim 1'!$H$2)</f>
        <v>0</v>
      </c>
      <c r="I222" s="2">
        <f>SUMIFS(Timesheet!$F$13:$F$11483,Timesheet!$A$13:$A$11483,'Início|Fim 1'!E222,Timesheet!$C$13:$C$11483,'Início|Fim 1'!$I$2)</f>
        <v>0</v>
      </c>
      <c r="J222" s="2">
        <f>SUMIFS(Timesheet!$F$13:$F$11483,Timesheet!$A$13:$A$11483,'Início|Fim 1'!E222,Timesheet!$C$13:$C$11483,'Início|Fim 1'!$J$2)</f>
        <v>0</v>
      </c>
      <c r="K222" s="2">
        <f>SUMIFS(Timesheet!$F$13:$F$11483,Timesheet!$A$13:$A$11483,'Início|Fim 1'!E222,Timesheet!$C$13:$C$11483,'Início|Fim 1'!$K$2)</f>
        <v>0</v>
      </c>
      <c r="L222" s="2">
        <f>SUMIFS(Timesheet!$F$13:$F$11483,Timesheet!$A$13:$A$11483,'Início|Fim 1'!E222,Timesheet!$C$13:$C$11483,'Início|Fim 1'!$L$2)</f>
        <v>0</v>
      </c>
      <c r="M222" s="2">
        <f>SUMIFS(Timesheet!$F$13:$F$11483,Timesheet!$A$13:$A$11483,'Início|Fim 1'!E222,Timesheet!$C$13:$C$11483,'Início|Fim 1'!$M$2)</f>
        <v>0</v>
      </c>
      <c r="N222" s="2">
        <f>SUMIFS(Timesheet!$F$13:$F$11483,Timesheet!$A$13:$A$11483,'Início|Fim 1'!E222,Timesheet!$C$13:$C$11483,'Início|Fim 1'!$N$2)</f>
        <v>0</v>
      </c>
      <c r="O222" s="2">
        <f t="shared" si="3"/>
        <v>0</v>
      </c>
    </row>
    <row r="223" spans="1:15" x14ac:dyDescent="0.25">
      <c r="A223" s="1">
        <v>45147</v>
      </c>
      <c r="B223" s="3">
        <f t="array" ref="B223">MIN(IF(A223=Timesheet!$A$13:$A$2615,Timesheet!$D$13:$D$2615))</f>
        <v>0</v>
      </c>
      <c r="C223" s="3">
        <f t="array" ref="C223">MAX(IF(A223=Timesheet!$A$13:$A$2615,Timesheet!$E$13:$E$2615))</f>
        <v>0</v>
      </c>
      <c r="E223" s="1">
        <v>45147</v>
      </c>
      <c r="F223" s="2">
        <f>SUMIFS(Timesheet!$F$13:$F$11483,Timesheet!$A$13:$A$11483,'Início|Fim 1'!E223,Timesheet!$C$13:$C$11483,'Início|Fim 1'!$F$2)</f>
        <v>0</v>
      </c>
      <c r="G223" s="2">
        <f>SUMIFS(Timesheet!$F$13:$F$11483,Timesheet!$A$13:$A$11483,'Início|Fim 1'!E223,Timesheet!$C$13:$C$11483,'Início|Fim 1'!$G$2)</f>
        <v>0</v>
      </c>
      <c r="H223" s="2">
        <f>SUMIFS(Timesheet!$F$13:$F$11483,Timesheet!$A$13:$A$11483,'Início|Fim 1'!E223,Timesheet!$C$13:$C$11483,'Início|Fim 1'!$H$2)</f>
        <v>0</v>
      </c>
      <c r="I223" s="2">
        <f>SUMIFS(Timesheet!$F$13:$F$11483,Timesheet!$A$13:$A$11483,'Início|Fim 1'!E223,Timesheet!$C$13:$C$11483,'Início|Fim 1'!$I$2)</f>
        <v>0</v>
      </c>
      <c r="J223" s="2">
        <f>SUMIFS(Timesheet!$F$13:$F$11483,Timesheet!$A$13:$A$11483,'Início|Fim 1'!E223,Timesheet!$C$13:$C$11483,'Início|Fim 1'!$J$2)</f>
        <v>0</v>
      </c>
      <c r="K223" s="2">
        <f>SUMIFS(Timesheet!$F$13:$F$11483,Timesheet!$A$13:$A$11483,'Início|Fim 1'!E223,Timesheet!$C$13:$C$11483,'Início|Fim 1'!$K$2)</f>
        <v>0</v>
      </c>
      <c r="L223" s="2">
        <f>SUMIFS(Timesheet!$F$13:$F$11483,Timesheet!$A$13:$A$11483,'Início|Fim 1'!E223,Timesheet!$C$13:$C$11483,'Início|Fim 1'!$L$2)</f>
        <v>0</v>
      </c>
      <c r="M223" s="2">
        <f>SUMIFS(Timesheet!$F$13:$F$11483,Timesheet!$A$13:$A$11483,'Início|Fim 1'!E223,Timesheet!$C$13:$C$11483,'Início|Fim 1'!$M$2)</f>
        <v>0</v>
      </c>
      <c r="N223" s="2">
        <f>SUMIFS(Timesheet!$F$13:$F$11483,Timesheet!$A$13:$A$11483,'Início|Fim 1'!E223,Timesheet!$C$13:$C$11483,'Início|Fim 1'!$N$2)</f>
        <v>0</v>
      </c>
      <c r="O223" s="2">
        <f t="shared" si="3"/>
        <v>0</v>
      </c>
    </row>
    <row r="224" spans="1:15" x14ac:dyDescent="0.25">
      <c r="A224" s="1">
        <v>45148</v>
      </c>
      <c r="B224" s="3">
        <f t="array" ref="B224">MIN(IF(A224=Timesheet!$A$13:$A$2615,Timesheet!$D$13:$D$2615))</f>
        <v>0</v>
      </c>
      <c r="C224" s="3">
        <f t="array" ref="C224">MAX(IF(A224=Timesheet!$A$13:$A$2615,Timesheet!$E$13:$E$2615))</f>
        <v>0</v>
      </c>
      <c r="E224" s="1">
        <v>45148</v>
      </c>
      <c r="F224" s="2">
        <f>SUMIFS(Timesheet!$F$13:$F$11483,Timesheet!$A$13:$A$11483,'Início|Fim 1'!E224,Timesheet!$C$13:$C$11483,'Início|Fim 1'!$F$2)</f>
        <v>0</v>
      </c>
      <c r="G224" s="2">
        <f>SUMIFS(Timesheet!$F$13:$F$11483,Timesheet!$A$13:$A$11483,'Início|Fim 1'!E224,Timesheet!$C$13:$C$11483,'Início|Fim 1'!$G$2)</f>
        <v>0</v>
      </c>
      <c r="H224" s="2">
        <f>SUMIFS(Timesheet!$F$13:$F$11483,Timesheet!$A$13:$A$11483,'Início|Fim 1'!E224,Timesheet!$C$13:$C$11483,'Início|Fim 1'!$H$2)</f>
        <v>0</v>
      </c>
      <c r="I224" s="2">
        <f>SUMIFS(Timesheet!$F$13:$F$11483,Timesheet!$A$13:$A$11483,'Início|Fim 1'!E224,Timesheet!$C$13:$C$11483,'Início|Fim 1'!$I$2)</f>
        <v>0</v>
      </c>
      <c r="J224" s="2">
        <f>SUMIFS(Timesheet!$F$13:$F$11483,Timesheet!$A$13:$A$11483,'Início|Fim 1'!E224,Timesheet!$C$13:$C$11483,'Início|Fim 1'!$J$2)</f>
        <v>0</v>
      </c>
      <c r="K224" s="2">
        <f>SUMIFS(Timesheet!$F$13:$F$11483,Timesheet!$A$13:$A$11483,'Início|Fim 1'!E224,Timesheet!$C$13:$C$11483,'Início|Fim 1'!$K$2)</f>
        <v>0</v>
      </c>
      <c r="L224" s="2">
        <f>SUMIFS(Timesheet!$F$13:$F$11483,Timesheet!$A$13:$A$11483,'Início|Fim 1'!E224,Timesheet!$C$13:$C$11483,'Início|Fim 1'!$L$2)</f>
        <v>0</v>
      </c>
      <c r="M224" s="2">
        <f>SUMIFS(Timesheet!$F$13:$F$11483,Timesheet!$A$13:$A$11483,'Início|Fim 1'!E224,Timesheet!$C$13:$C$11483,'Início|Fim 1'!$M$2)</f>
        <v>0</v>
      </c>
      <c r="N224" s="2">
        <f>SUMIFS(Timesheet!$F$13:$F$11483,Timesheet!$A$13:$A$11483,'Início|Fim 1'!E224,Timesheet!$C$13:$C$11483,'Início|Fim 1'!$N$2)</f>
        <v>0</v>
      </c>
      <c r="O224" s="2">
        <f t="shared" si="3"/>
        <v>0</v>
      </c>
    </row>
    <row r="225" spans="1:15" x14ac:dyDescent="0.25">
      <c r="A225" s="1">
        <v>45149</v>
      </c>
      <c r="B225" s="3">
        <f t="array" ref="B225">MIN(IF(A225=Timesheet!$A$13:$A$2615,Timesheet!$D$13:$D$2615))</f>
        <v>0</v>
      </c>
      <c r="C225" s="3">
        <f t="array" ref="C225">MAX(IF(A225=Timesheet!$A$13:$A$2615,Timesheet!$E$13:$E$2615))</f>
        <v>0</v>
      </c>
      <c r="E225" s="1">
        <v>45149</v>
      </c>
      <c r="F225" s="2">
        <f>SUMIFS(Timesheet!$F$13:$F$11483,Timesheet!$A$13:$A$11483,'Início|Fim 1'!E225,Timesheet!$C$13:$C$11483,'Início|Fim 1'!$F$2)</f>
        <v>0</v>
      </c>
      <c r="G225" s="2">
        <f>SUMIFS(Timesheet!$F$13:$F$11483,Timesheet!$A$13:$A$11483,'Início|Fim 1'!E225,Timesheet!$C$13:$C$11483,'Início|Fim 1'!$G$2)</f>
        <v>0</v>
      </c>
      <c r="H225" s="2">
        <f>SUMIFS(Timesheet!$F$13:$F$11483,Timesheet!$A$13:$A$11483,'Início|Fim 1'!E225,Timesheet!$C$13:$C$11483,'Início|Fim 1'!$H$2)</f>
        <v>0</v>
      </c>
      <c r="I225" s="2">
        <f>SUMIFS(Timesheet!$F$13:$F$11483,Timesheet!$A$13:$A$11483,'Início|Fim 1'!E225,Timesheet!$C$13:$C$11483,'Início|Fim 1'!$I$2)</f>
        <v>0</v>
      </c>
      <c r="J225" s="2">
        <f>SUMIFS(Timesheet!$F$13:$F$11483,Timesheet!$A$13:$A$11483,'Início|Fim 1'!E225,Timesheet!$C$13:$C$11483,'Início|Fim 1'!$J$2)</f>
        <v>0</v>
      </c>
      <c r="K225" s="2">
        <f>SUMIFS(Timesheet!$F$13:$F$11483,Timesheet!$A$13:$A$11483,'Início|Fim 1'!E225,Timesheet!$C$13:$C$11483,'Início|Fim 1'!$K$2)</f>
        <v>0</v>
      </c>
      <c r="L225" s="2">
        <f>SUMIFS(Timesheet!$F$13:$F$11483,Timesheet!$A$13:$A$11483,'Início|Fim 1'!E225,Timesheet!$C$13:$C$11483,'Início|Fim 1'!$L$2)</f>
        <v>0</v>
      </c>
      <c r="M225" s="2">
        <f>SUMIFS(Timesheet!$F$13:$F$11483,Timesheet!$A$13:$A$11483,'Início|Fim 1'!E225,Timesheet!$C$13:$C$11483,'Início|Fim 1'!$M$2)</f>
        <v>0</v>
      </c>
      <c r="N225" s="2">
        <f>SUMIFS(Timesheet!$F$13:$F$11483,Timesheet!$A$13:$A$11483,'Início|Fim 1'!E225,Timesheet!$C$13:$C$11483,'Início|Fim 1'!$N$2)</f>
        <v>0</v>
      </c>
      <c r="O225" s="2">
        <f t="shared" si="3"/>
        <v>0</v>
      </c>
    </row>
    <row r="226" spans="1:15" x14ac:dyDescent="0.25">
      <c r="A226" s="1">
        <v>45150</v>
      </c>
      <c r="B226" s="3">
        <f t="array" ref="B226">MIN(IF(A226=Timesheet!$A$13:$A$2615,Timesheet!$D$13:$D$2615))</f>
        <v>0</v>
      </c>
      <c r="C226" s="3">
        <f t="array" ref="C226">MAX(IF(A226=Timesheet!$A$13:$A$2615,Timesheet!$E$13:$E$2615))</f>
        <v>0</v>
      </c>
      <c r="E226" s="1">
        <v>45150</v>
      </c>
      <c r="F226" s="2">
        <f>SUMIFS(Timesheet!$F$13:$F$11483,Timesheet!$A$13:$A$11483,'Início|Fim 1'!E226,Timesheet!$C$13:$C$11483,'Início|Fim 1'!$F$2)</f>
        <v>0</v>
      </c>
      <c r="G226" s="2">
        <f>SUMIFS(Timesheet!$F$13:$F$11483,Timesheet!$A$13:$A$11483,'Início|Fim 1'!E226,Timesheet!$C$13:$C$11483,'Início|Fim 1'!$G$2)</f>
        <v>0</v>
      </c>
      <c r="H226" s="2">
        <f>SUMIFS(Timesheet!$F$13:$F$11483,Timesheet!$A$13:$A$11483,'Início|Fim 1'!E226,Timesheet!$C$13:$C$11483,'Início|Fim 1'!$H$2)</f>
        <v>0</v>
      </c>
      <c r="I226" s="2">
        <f>SUMIFS(Timesheet!$F$13:$F$11483,Timesheet!$A$13:$A$11483,'Início|Fim 1'!E226,Timesheet!$C$13:$C$11483,'Início|Fim 1'!$I$2)</f>
        <v>0</v>
      </c>
      <c r="J226" s="2">
        <f>SUMIFS(Timesheet!$F$13:$F$11483,Timesheet!$A$13:$A$11483,'Início|Fim 1'!E226,Timesheet!$C$13:$C$11483,'Início|Fim 1'!$J$2)</f>
        <v>0</v>
      </c>
      <c r="K226" s="2">
        <f>SUMIFS(Timesheet!$F$13:$F$11483,Timesheet!$A$13:$A$11483,'Início|Fim 1'!E226,Timesheet!$C$13:$C$11483,'Início|Fim 1'!$K$2)</f>
        <v>0</v>
      </c>
      <c r="L226" s="2">
        <f>SUMIFS(Timesheet!$F$13:$F$11483,Timesheet!$A$13:$A$11483,'Início|Fim 1'!E226,Timesheet!$C$13:$C$11483,'Início|Fim 1'!$L$2)</f>
        <v>0</v>
      </c>
      <c r="M226" s="2">
        <f>SUMIFS(Timesheet!$F$13:$F$11483,Timesheet!$A$13:$A$11483,'Início|Fim 1'!E226,Timesheet!$C$13:$C$11483,'Início|Fim 1'!$M$2)</f>
        <v>0</v>
      </c>
      <c r="N226" s="2">
        <f>SUMIFS(Timesheet!$F$13:$F$11483,Timesheet!$A$13:$A$11483,'Início|Fim 1'!E226,Timesheet!$C$13:$C$11483,'Início|Fim 1'!$N$2)</f>
        <v>0</v>
      </c>
      <c r="O226" s="2">
        <f t="shared" si="3"/>
        <v>0</v>
      </c>
    </row>
    <row r="227" spans="1:15" x14ac:dyDescent="0.25">
      <c r="A227" s="1">
        <v>45151</v>
      </c>
      <c r="B227" s="3">
        <f t="array" ref="B227">MIN(IF(A227=Timesheet!$A$13:$A$2615,Timesheet!$D$13:$D$2615))</f>
        <v>0</v>
      </c>
      <c r="C227" s="3">
        <f t="array" ref="C227">MAX(IF(A227=Timesheet!$A$13:$A$2615,Timesheet!$E$13:$E$2615))</f>
        <v>0</v>
      </c>
      <c r="E227" s="1">
        <v>45151</v>
      </c>
      <c r="F227" s="2">
        <f>SUMIFS(Timesheet!$F$13:$F$11483,Timesheet!$A$13:$A$11483,'Início|Fim 1'!E227,Timesheet!$C$13:$C$11483,'Início|Fim 1'!$F$2)</f>
        <v>0</v>
      </c>
      <c r="G227" s="2">
        <f>SUMIFS(Timesheet!$F$13:$F$11483,Timesheet!$A$13:$A$11483,'Início|Fim 1'!E227,Timesheet!$C$13:$C$11483,'Início|Fim 1'!$G$2)</f>
        <v>0</v>
      </c>
      <c r="H227" s="2">
        <f>SUMIFS(Timesheet!$F$13:$F$11483,Timesheet!$A$13:$A$11483,'Início|Fim 1'!E227,Timesheet!$C$13:$C$11483,'Início|Fim 1'!$H$2)</f>
        <v>0</v>
      </c>
      <c r="I227" s="2">
        <f>SUMIFS(Timesheet!$F$13:$F$11483,Timesheet!$A$13:$A$11483,'Início|Fim 1'!E227,Timesheet!$C$13:$C$11483,'Início|Fim 1'!$I$2)</f>
        <v>0</v>
      </c>
      <c r="J227" s="2">
        <f>SUMIFS(Timesheet!$F$13:$F$11483,Timesheet!$A$13:$A$11483,'Início|Fim 1'!E227,Timesheet!$C$13:$C$11483,'Início|Fim 1'!$J$2)</f>
        <v>0</v>
      </c>
      <c r="K227" s="2">
        <f>SUMIFS(Timesheet!$F$13:$F$11483,Timesheet!$A$13:$A$11483,'Início|Fim 1'!E227,Timesheet!$C$13:$C$11483,'Início|Fim 1'!$K$2)</f>
        <v>0</v>
      </c>
      <c r="L227" s="2">
        <f>SUMIFS(Timesheet!$F$13:$F$11483,Timesheet!$A$13:$A$11483,'Início|Fim 1'!E227,Timesheet!$C$13:$C$11483,'Início|Fim 1'!$L$2)</f>
        <v>0</v>
      </c>
      <c r="M227" s="2">
        <f>SUMIFS(Timesheet!$F$13:$F$11483,Timesheet!$A$13:$A$11483,'Início|Fim 1'!E227,Timesheet!$C$13:$C$11483,'Início|Fim 1'!$M$2)</f>
        <v>0</v>
      </c>
      <c r="N227" s="2">
        <f>SUMIFS(Timesheet!$F$13:$F$11483,Timesheet!$A$13:$A$11483,'Início|Fim 1'!E227,Timesheet!$C$13:$C$11483,'Início|Fim 1'!$N$2)</f>
        <v>0</v>
      </c>
      <c r="O227" s="2">
        <f t="shared" si="3"/>
        <v>0</v>
      </c>
    </row>
    <row r="228" spans="1:15" x14ac:dyDescent="0.25">
      <c r="A228" s="1">
        <v>45152</v>
      </c>
      <c r="B228" s="3">
        <f t="array" ref="B228">MIN(IF(A228=Timesheet!$A$13:$A$2615,Timesheet!$D$13:$D$2615))</f>
        <v>0</v>
      </c>
      <c r="C228" s="3">
        <f t="array" ref="C228">MAX(IF(A228=Timesheet!$A$13:$A$2615,Timesheet!$E$13:$E$2615))</f>
        <v>0</v>
      </c>
      <c r="E228" s="1">
        <v>45152</v>
      </c>
      <c r="F228" s="2">
        <f>SUMIFS(Timesheet!$F$13:$F$11483,Timesheet!$A$13:$A$11483,'Início|Fim 1'!E228,Timesheet!$C$13:$C$11483,'Início|Fim 1'!$F$2)</f>
        <v>0</v>
      </c>
      <c r="G228" s="2">
        <f>SUMIFS(Timesheet!$F$13:$F$11483,Timesheet!$A$13:$A$11483,'Início|Fim 1'!E228,Timesheet!$C$13:$C$11483,'Início|Fim 1'!$G$2)</f>
        <v>0</v>
      </c>
      <c r="H228" s="2">
        <f>SUMIFS(Timesheet!$F$13:$F$11483,Timesheet!$A$13:$A$11483,'Início|Fim 1'!E228,Timesheet!$C$13:$C$11483,'Início|Fim 1'!$H$2)</f>
        <v>0</v>
      </c>
      <c r="I228" s="2">
        <f>SUMIFS(Timesheet!$F$13:$F$11483,Timesheet!$A$13:$A$11483,'Início|Fim 1'!E228,Timesheet!$C$13:$C$11483,'Início|Fim 1'!$I$2)</f>
        <v>0</v>
      </c>
      <c r="J228" s="2">
        <f>SUMIFS(Timesheet!$F$13:$F$11483,Timesheet!$A$13:$A$11483,'Início|Fim 1'!E228,Timesheet!$C$13:$C$11483,'Início|Fim 1'!$J$2)</f>
        <v>0</v>
      </c>
      <c r="K228" s="2">
        <f>SUMIFS(Timesheet!$F$13:$F$11483,Timesheet!$A$13:$A$11483,'Início|Fim 1'!E228,Timesheet!$C$13:$C$11483,'Início|Fim 1'!$K$2)</f>
        <v>0</v>
      </c>
      <c r="L228" s="2">
        <f>SUMIFS(Timesheet!$F$13:$F$11483,Timesheet!$A$13:$A$11483,'Início|Fim 1'!E228,Timesheet!$C$13:$C$11483,'Início|Fim 1'!$L$2)</f>
        <v>0</v>
      </c>
      <c r="M228" s="2">
        <f>SUMIFS(Timesheet!$F$13:$F$11483,Timesheet!$A$13:$A$11483,'Início|Fim 1'!E228,Timesheet!$C$13:$C$11483,'Início|Fim 1'!$M$2)</f>
        <v>0</v>
      </c>
      <c r="N228" s="2">
        <f>SUMIFS(Timesheet!$F$13:$F$11483,Timesheet!$A$13:$A$11483,'Início|Fim 1'!E228,Timesheet!$C$13:$C$11483,'Início|Fim 1'!$N$2)</f>
        <v>0</v>
      </c>
      <c r="O228" s="2">
        <f t="shared" si="3"/>
        <v>0</v>
      </c>
    </row>
    <row r="229" spans="1:15" x14ac:dyDescent="0.25">
      <c r="A229" s="1">
        <v>45153</v>
      </c>
      <c r="B229" s="3">
        <f t="array" ref="B229">MIN(IF(A229=Timesheet!$A$13:$A$2615,Timesheet!$D$13:$D$2615))</f>
        <v>0</v>
      </c>
      <c r="C229" s="3">
        <f t="array" ref="C229">MAX(IF(A229=Timesheet!$A$13:$A$2615,Timesheet!$E$13:$E$2615))</f>
        <v>0</v>
      </c>
      <c r="E229" s="1">
        <v>45153</v>
      </c>
      <c r="F229" s="2">
        <f>SUMIFS(Timesheet!$F$13:$F$11483,Timesheet!$A$13:$A$11483,'Início|Fim 1'!E229,Timesheet!$C$13:$C$11483,'Início|Fim 1'!$F$2)</f>
        <v>0</v>
      </c>
      <c r="G229" s="2">
        <f>SUMIFS(Timesheet!$F$13:$F$11483,Timesheet!$A$13:$A$11483,'Início|Fim 1'!E229,Timesheet!$C$13:$C$11483,'Início|Fim 1'!$G$2)</f>
        <v>0</v>
      </c>
      <c r="H229" s="2">
        <f>SUMIFS(Timesheet!$F$13:$F$11483,Timesheet!$A$13:$A$11483,'Início|Fim 1'!E229,Timesheet!$C$13:$C$11483,'Início|Fim 1'!$H$2)</f>
        <v>0</v>
      </c>
      <c r="I229" s="2">
        <f>SUMIFS(Timesheet!$F$13:$F$11483,Timesheet!$A$13:$A$11483,'Início|Fim 1'!E229,Timesheet!$C$13:$C$11483,'Início|Fim 1'!$I$2)</f>
        <v>0</v>
      </c>
      <c r="J229" s="2">
        <f>SUMIFS(Timesheet!$F$13:$F$11483,Timesheet!$A$13:$A$11483,'Início|Fim 1'!E229,Timesheet!$C$13:$C$11483,'Início|Fim 1'!$J$2)</f>
        <v>0</v>
      </c>
      <c r="K229" s="2">
        <f>SUMIFS(Timesheet!$F$13:$F$11483,Timesheet!$A$13:$A$11483,'Início|Fim 1'!E229,Timesheet!$C$13:$C$11483,'Início|Fim 1'!$K$2)</f>
        <v>0</v>
      </c>
      <c r="L229" s="2">
        <f>SUMIFS(Timesheet!$F$13:$F$11483,Timesheet!$A$13:$A$11483,'Início|Fim 1'!E229,Timesheet!$C$13:$C$11483,'Início|Fim 1'!$L$2)</f>
        <v>0</v>
      </c>
      <c r="M229" s="2">
        <f>SUMIFS(Timesheet!$F$13:$F$11483,Timesheet!$A$13:$A$11483,'Início|Fim 1'!E229,Timesheet!$C$13:$C$11483,'Início|Fim 1'!$M$2)</f>
        <v>0</v>
      </c>
      <c r="N229" s="2">
        <f>SUMIFS(Timesheet!$F$13:$F$11483,Timesheet!$A$13:$A$11483,'Início|Fim 1'!E229,Timesheet!$C$13:$C$11483,'Início|Fim 1'!$N$2)</f>
        <v>0</v>
      </c>
      <c r="O229" s="2">
        <f t="shared" si="3"/>
        <v>0</v>
      </c>
    </row>
    <row r="230" spans="1:15" x14ac:dyDescent="0.25">
      <c r="A230" s="1">
        <v>45154</v>
      </c>
      <c r="B230" s="3">
        <f t="array" ref="B230">MIN(IF(A230=Timesheet!$A$13:$A$2615,Timesheet!$D$13:$D$2615))</f>
        <v>0</v>
      </c>
      <c r="C230" s="3">
        <f t="array" ref="C230">MAX(IF(A230=Timesheet!$A$13:$A$2615,Timesheet!$E$13:$E$2615))</f>
        <v>0</v>
      </c>
      <c r="E230" s="1">
        <v>45154</v>
      </c>
      <c r="F230" s="2">
        <f>SUMIFS(Timesheet!$F$13:$F$11483,Timesheet!$A$13:$A$11483,'Início|Fim 1'!E230,Timesheet!$C$13:$C$11483,'Início|Fim 1'!$F$2)</f>
        <v>0</v>
      </c>
      <c r="G230" s="2">
        <f>SUMIFS(Timesheet!$F$13:$F$11483,Timesheet!$A$13:$A$11483,'Início|Fim 1'!E230,Timesheet!$C$13:$C$11483,'Início|Fim 1'!$G$2)</f>
        <v>0</v>
      </c>
      <c r="H230" s="2">
        <f>SUMIFS(Timesheet!$F$13:$F$11483,Timesheet!$A$13:$A$11483,'Início|Fim 1'!E230,Timesheet!$C$13:$C$11483,'Início|Fim 1'!$H$2)</f>
        <v>0</v>
      </c>
      <c r="I230" s="2">
        <f>SUMIFS(Timesheet!$F$13:$F$11483,Timesheet!$A$13:$A$11483,'Início|Fim 1'!E230,Timesheet!$C$13:$C$11483,'Início|Fim 1'!$I$2)</f>
        <v>0</v>
      </c>
      <c r="J230" s="2">
        <f>SUMIFS(Timesheet!$F$13:$F$11483,Timesheet!$A$13:$A$11483,'Início|Fim 1'!E230,Timesheet!$C$13:$C$11483,'Início|Fim 1'!$J$2)</f>
        <v>0</v>
      </c>
      <c r="K230" s="2">
        <f>SUMIFS(Timesheet!$F$13:$F$11483,Timesheet!$A$13:$A$11483,'Início|Fim 1'!E230,Timesheet!$C$13:$C$11483,'Início|Fim 1'!$K$2)</f>
        <v>0</v>
      </c>
      <c r="L230" s="2">
        <f>SUMIFS(Timesheet!$F$13:$F$11483,Timesheet!$A$13:$A$11483,'Início|Fim 1'!E230,Timesheet!$C$13:$C$11483,'Início|Fim 1'!$L$2)</f>
        <v>0</v>
      </c>
      <c r="M230" s="2">
        <f>SUMIFS(Timesheet!$F$13:$F$11483,Timesheet!$A$13:$A$11483,'Início|Fim 1'!E230,Timesheet!$C$13:$C$11483,'Início|Fim 1'!$M$2)</f>
        <v>0</v>
      </c>
      <c r="N230" s="2">
        <f>SUMIFS(Timesheet!$F$13:$F$11483,Timesheet!$A$13:$A$11483,'Início|Fim 1'!E230,Timesheet!$C$13:$C$11483,'Início|Fim 1'!$N$2)</f>
        <v>0</v>
      </c>
      <c r="O230" s="2">
        <f t="shared" si="3"/>
        <v>0</v>
      </c>
    </row>
    <row r="231" spans="1:15" x14ac:dyDescent="0.25">
      <c r="A231" s="1">
        <v>45155</v>
      </c>
      <c r="B231" s="3">
        <f t="array" ref="B231">MIN(IF(A231=Timesheet!$A$13:$A$2615,Timesheet!$D$13:$D$2615))</f>
        <v>0</v>
      </c>
      <c r="C231" s="3">
        <f t="array" ref="C231">MAX(IF(A231=Timesheet!$A$13:$A$2615,Timesheet!$E$13:$E$2615))</f>
        <v>0</v>
      </c>
      <c r="E231" s="1">
        <v>45155</v>
      </c>
      <c r="F231" s="2">
        <f>SUMIFS(Timesheet!$F$13:$F$11483,Timesheet!$A$13:$A$11483,'Início|Fim 1'!E231,Timesheet!$C$13:$C$11483,'Início|Fim 1'!$F$2)</f>
        <v>0</v>
      </c>
      <c r="G231" s="2">
        <f>SUMIFS(Timesheet!$F$13:$F$11483,Timesheet!$A$13:$A$11483,'Início|Fim 1'!E231,Timesheet!$C$13:$C$11483,'Início|Fim 1'!$G$2)</f>
        <v>0</v>
      </c>
      <c r="H231" s="2">
        <f>SUMIFS(Timesheet!$F$13:$F$11483,Timesheet!$A$13:$A$11483,'Início|Fim 1'!E231,Timesheet!$C$13:$C$11483,'Início|Fim 1'!$H$2)</f>
        <v>0</v>
      </c>
      <c r="I231" s="2">
        <f>SUMIFS(Timesheet!$F$13:$F$11483,Timesheet!$A$13:$A$11483,'Início|Fim 1'!E231,Timesheet!$C$13:$C$11483,'Início|Fim 1'!$I$2)</f>
        <v>0</v>
      </c>
      <c r="J231" s="2">
        <f>SUMIFS(Timesheet!$F$13:$F$11483,Timesheet!$A$13:$A$11483,'Início|Fim 1'!E231,Timesheet!$C$13:$C$11483,'Início|Fim 1'!$J$2)</f>
        <v>0</v>
      </c>
      <c r="K231" s="2">
        <f>SUMIFS(Timesheet!$F$13:$F$11483,Timesheet!$A$13:$A$11483,'Início|Fim 1'!E231,Timesheet!$C$13:$C$11483,'Início|Fim 1'!$K$2)</f>
        <v>0</v>
      </c>
      <c r="L231" s="2">
        <f>SUMIFS(Timesheet!$F$13:$F$11483,Timesheet!$A$13:$A$11483,'Início|Fim 1'!E231,Timesheet!$C$13:$C$11483,'Início|Fim 1'!$L$2)</f>
        <v>0</v>
      </c>
      <c r="M231" s="2">
        <f>SUMIFS(Timesheet!$F$13:$F$11483,Timesheet!$A$13:$A$11483,'Início|Fim 1'!E231,Timesheet!$C$13:$C$11483,'Início|Fim 1'!$M$2)</f>
        <v>0</v>
      </c>
      <c r="N231" s="2">
        <f>SUMIFS(Timesheet!$F$13:$F$11483,Timesheet!$A$13:$A$11483,'Início|Fim 1'!E231,Timesheet!$C$13:$C$11483,'Início|Fim 1'!$N$2)</f>
        <v>0</v>
      </c>
      <c r="O231" s="2">
        <f t="shared" si="3"/>
        <v>0</v>
      </c>
    </row>
    <row r="232" spans="1:15" x14ac:dyDescent="0.25">
      <c r="A232" s="1">
        <v>45156</v>
      </c>
      <c r="B232" s="3">
        <f t="array" ref="B232">MIN(IF(A232=Timesheet!$A$13:$A$2615,Timesheet!$D$13:$D$2615))</f>
        <v>0</v>
      </c>
      <c r="C232" s="3">
        <f t="array" ref="C232">MAX(IF(A232=Timesheet!$A$13:$A$2615,Timesheet!$E$13:$E$2615))</f>
        <v>0</v>
      </c>
      <c r="E232" s="1">
        <v>45156</v>
      </c>
      <c r="F232" s="2">
        <f>SUMIFS(Timesheet!$F$13:$F$11483,Timesheet!$A$13:$A$11483,'Início|Fim 1'!E232,Timesheet!$C$13:$C$11483,'Início|Fim 1'!$F$2)</f>
        <v>0</v>
      </c>
      <c r="G232" s="2">
        <f>SUMIFS(Timesheet!$F$13:$F$11483,Timesheet!$A$13:$A$11483,'Início|Fim 1'!E232,Timesheet!$C$13:$C$11483,'Início|Fim 1'!$G$2)</f>
        <v>0</v>
      </c>
      <c r="H232" s="2">
        <f>SUMIFS(Timesheet!$F$13:$F$11483,Timesheet!$A$13:$A$11483,'Início|Fim 1'!E232,Timesheet!$C$13:$C$11483,'Início|Fim 1'!$H$2)</f>
        <v>0</v>
      </c>
      <c r="I232" s="2">
        <f>SUMIFS(Timesheet!$F$13:$F$11483,Timesheet!$A$13:$A$11483,'Início|Fim 1'!E232,Timesheet!$C$13:$C$11483,'Início|Fim 1'!$I$2)</f>
        <v>0</v>
      </c>
      <c r="J232" s="2">
        <f>SUMIFS(Timesheet!$F$13:$F$11483,Timesheet!$A$13:$A$11483,'Início|Fim 1'!E232,Timesheet!$C$13:$C$11483,'Início|Fim 1'!$J$2)</f>
        <v>0</v>
      </c>
      <c r="K232" s="2">
        <f>SUMIFS(Timesheet!$F$13:$F$11483,Timesheet!$A$13:$A$11483,'Início|Fim 1'!E232,Timesheet!$C$13:$C$11483,'Início|Fim 1'!$K$2)</f>
        <v>0</v>
      </c>
      <c r="L232" s="2">
        <f>SUMIFS(Timesheet!$F$13:$F$11483,Timesheet!$A$13:$A$11483,'Início|Fim 1'!E232,Timesheet!$C$13:$C$11483,'Início|Fim 1'!$L$2)</f>
        <v>0</v>
      </c>
      <c r="M232" s="2">
        <f>SUMIFS(Timesheet!$F$13:$F$11483,Timesheet!$A$13:$A$11483,'Início|Fim 1'!E232,Timesheet!$C$13:$C$11483,'Início|Fim 1'!$M$2)</f>
        <v>0</v>
      </c>
      <c r="N232" s="2">
        <f>SUMIFS(Timesheet!$F$13:$F$11483,Timesheet!$A$13:$A$11483,'Início|Fim 1'!E232,Timesheet!$C$13:$C$11483,'Início|Fim 1'!$N$2)</f>
        <v>0</v>
      </c>
      <c r="O232" s="2">
        <f t="shared" si="3"/>
        <v>0</v>
      </c>
    </row>
    <row r="233" spans="1:15" x14ac:dyDescent="0.25">
      <c r="A233" s="1">
        <v>45157</v>
      </c>
      <c r="B233" s="3">
        <f t="array" ref="B233">MIN(IF(A233=Timesheet!$A$13:$A$2615,Timesheet!$D$13:$D$2615))</f>
        <v>0</v>
      </c>
      <c r="C233" s="3">
        <f t="array" ref="C233">MAX(IF(A233=Timesheet!$A$13:$A$2615,Timesheet!$E$13:$E$2615))</f>
        <v>0</v>
      </c>
      <c r="E233" s="1">
        <v>45157</v>
      </c>
      <c r="F233" s="2">
        <f>SUMIFS(Timesheet!$F$13:$F$11483,Timesheet!$A$13:$A$11483,'Início|Fim 1'!E233,Timesheet!$C$13:$C$11483,'Início|Fim 1'!$F$2)</f>
        <v>0</v>
      </c>
      <c r="G233" s="2">
        <f>SUMIFS(Timesheet!$F$13:$F$11483,Timesheet!$A$13:$A$11483,'Início|Fim 1'!E233,Timesheet!$C$13:$C$11483,'Início|Fim 1'!$G$2)</f>
        <v>0</v>
      </c>
      <c r="H233" s="2">
        <f>SUMIFS(Timesheet!$F$13:$F$11483,Timesheet!$A$13:$A$11483,'Início|Fim 1'!E233,Timesheet!$C$13:$C$11483,'Início|Fim 1'!$H$2)</f>
        <v>0</v>
      </c>
      <c r="I233" s="2">
        <f>SUMIFS(Timesheet!$F$13:$F$11483,Timesheet!$A$13:$A$11483,'Início|Fim 1'!E233,Timesheet!$C$13:$C$11483,'Início|Fim 1'!$I$2)</f>
        <v>0</v>
      </c>
      <c r="J233" s="2">
        <f>SUMIFS(Timesheet!$F$13:$F$11483,Timesheet!$A$13:$A$11483,'Início|Fim 1'!E233,Timesheet!$C$13:$C$11483,'Início|Fim 1'!$J$2)</f>
        <v>0</v>
      </c>
      <c r="K233" s="2">
        <f>SUMIFS(Timesheet!$F$13:$F$11483,Timesheet!$A$13:$A$11483,'Início|Fim 1'!E233,Timesheet!$C$13:$C$11483,'Início|Fim 1'!$K$2)</f>
        <v>0</v>
      </c>
      <c r="L233" s="2">
        <f>SUMIFS(Timesheet!$F$13:$F$11483,Timesheet!$A$13:$A$11483,'Início|Fim 1'!E233,Timesheet!$C$13:$C$11483,'Início|Fim 1'!$L$2)</f>
        <v>0</v>
      </c>
      <c r="M233" s="2">
        <f>SUMIFS(Timesheet!$F$13:$F$11483,Timesheet!$A$13:$A$11483,'Início|Fim 1'!E233,Timesheet!$C$13:$C$11483,'Início|Fim 1'!$M$2)</f>
        <v>0</v>
      </c>
      <c r="N233" s="2">
        <f>SUMIFS(Timesheet!$F$13:$F$11483,Timesheet!$A$13:$A$11483,'Início|Fim 1'!E233,Timesheet!$C$13:$C$11483,'Início|Fim 1'!$N$2)</f>
        <v>0</v>
      </c>
      <c r="O233" s="2">
        <f t="shared" si="3"/>
        <v>0</v>
      </c>
    </row>
    <row r="234" spans="1:15" x14ac:dyDescent="0.25">
      <c r="A234" s="1">
        <v>45158</v>
      </c>
      <c r="B234" s="3">
        <f t="array" ref="B234">MIN(IF(A234=Timesheet!$A$13:$A$2615,Timesheet!$D$13:$D$2615))</f>
        <v>0</v>
      </c>
      <c r="C234" s="3">
        <f t="array" ref="C234">MAX(IF(A234=Timesheet!$A$13:$A$2615,Timesheet!$E$13:$E$2615))</f>
        <v>0</v>
      </c>
      <c r="E234" s="1">
        <v>45158</v>
      </c>
      <c r="F234" s="2">
        <f>SUMIFS(Timesheet!$F$13:$F$11483,Timesheet!$A$13:$A$11483,'Início|Fim 1'!E234,Timesheet!$C$13:$C$11483,'Início|Fim 1'!$F$2)</f>
        <v>0</v>
      </c>
      <c r="G234" s="2">
        <f>SUMIFS(Timesheet!$F$13:$F$11483,Timesheet!$A$13:$A$11483,'Início|Fim 1'!E234,Timesheet!$C$13:$C$11483,'Início|Fim 1'!$G$2)</f>
        <v>0</v>
      </c>
      <c r="H234" s="2">
        <f>SUMIFS(Timesheet!$F$13:$F$11483,Timesheet!$A$13:$A$11483,'Início|Fim 1'!E234,Timesheet!$C$13:$C$11483,'Início|Fim 1'!$H$2)</f>
        <v>0</v>
      </c>
      <c r="I234" s="2">
        <f>SUMIFS(Timesheet!$F$13:$F$11483,Timesheet!$A$13:$A$11483,'Início|Fim 1'!E234,Timesheet!$C$13:$C$11483,'Início|Fim 1'!$I$2)</f>
        <v>0</v>
      </c>
      <c r="J234" s="2">
        <f>SUMIFS(Timesheet!$F$13:$F$11483,Timesheet!$A$13:$A$11483,'Início|Fim 1'!E234,Timesheet!$C$13:$C$11483,'Início|Fim 1'!$J$2)</f>
        <v>0</v>
      </c>
      <c r="K234" s="2">
        <f>SUMIFS(Timesheet!$F$13:$F$11483,Timesheet!$A$13:$A$11483,'Início|Fim 1'!E234,Timesheet!$C$13:$C$11483,'Início|Fim 1'!$K$2)</f>
        <v>0</v>
      </c>
      <c r="L234" s="2">
        <f>SUMIFS(Timesheet!$F$13:$F$11483,Timesheet!$A$13:$A$11483,'Início|Fim 1'!E234,Timesheet!$C$13:$C$11483,'Início|Fim 1'!$L$2)</f>
        <v>0</v>
      </c>
      <c r="M234" s="2">
        <f>SUMIFS(Timesheet!$F$13:$F$11483,Timesheet!$A$13:$A$11483,'Início|Fim 1'!E234,Timesheet!$C$13:$C$11483,'Início|Fim 1'!$M$2)</f>
        <v>0</v>
      </c>
      <c r="N234" s="2">
        <f>SUMIFS(Timesheet!$F$13:$F$11483,Timesheet!$A$13:$A$11483,'Início|Fim 1'!E234,Timesheet!$C$13:$C$11483,'Início|Fim 1'!$N$2)</f>
        <v>0</v>
      </c>
      <c r="O234" s="2">
        <f t="shared" si="3"/>
        <v>0</v>
      </c>
    </row>
    <row r="235" spans="1:15" x14ac:dyDescent="0.25">
      <c r="A235" s="1">
        <v>45159</v>
      </c>
      <c r="B235" s="3">
        <f t="array" ref="B235">MIN(IF(A235=Timesheet!$A$13:$A$2615,Timesheet!$D$13:$D$2615))</f>
        <v>0</v>
      </c>
      <c r="C235" s="3">
        <f t="array" ref="C235">MAX(IF(A235=Timesheet!$A$13:$A$2615,Timesheet!$E$13:$E$2615))</f>
        <v>0</v>
      </c>
      <c r="E235" s="1">
        <v>45159</v>
      </c>
      <c r="F235" s="2">
        <f>SUMIFS(Timesheet!$F$13:$F$11483,Timesheet!$A$13:$A$11483,'Início|Fim 1'!E235,Timesheet!$C$13:$C$11483,'Início|Fim 1'!$F$2)</f>
        <v>0</v>
      </c>
      <c r="G235" s="2">
        <f>SUMIFS(Timesheet!$F$13:$F$11483,Timesheet!$A$13:$A$11483,'Início|Fim 1'!E235,Timesheet!$C$13:$C$11483,'Início|Fim 1'!$G$2)</f>
        <v>0</v>
      </c>
      <c r="H235" s="2">
        <f>SUMIFS(Timesheet!$F$13:$F$11483,Timesheet!$A$13:$A$11483,'Início|Fim 1'!E235,Timesheet!$C$13:$C$11483,'Início|Fim 1'!$H$2)</f>
        <v>0</v>
      </c>
      <c r="I235" s="2">
        <f>SUMIFS(Timesheet!$F$13:$F$11483,Timesheet!$A$13:$A$11483,'Início|Fim 1'!E235,Timesheet!$C$13:$C$11483,'Início|Fim 1'!$I$2)</f>
        <v>0</v>
      </c>
      <c r="J235" s="2">
        <f>SUMIFS(Timesheet!$F$13:$F$11483,Timesheet!$A$13:$A$11483,'Início|Fim 1'!E235,Timesheet!$C$13:$C$11483,'Início|Fim 1'!$J$2)</f>
        <v>0</v>
      </c>
      <c r="K235" s="2">
        <f>SUMIFS(Timesheet!$F$13:$F$11483,Timesheet!$A$13:$A$11483,'Início|Fim 1'!E235,Timesheet!$C$13:$C$11483,'Início|Fim 1'!$K$2)</f>
        <v>0</v>
      </c>
      <c r="L235" s="2">
        <f>SUMIFS(Timesheet!$F$13:$F$11483,Timesheet!$A$13:$A$11483,'Início|Fim 1'!E235,Timesheet!$C$13:$C$11483,'Início|Fim 1'!$L$2)</f>
        <v>0</v>
      </c>
      <c r="M235" s="2">
        <f>SUMIFS(Timesheet!$F$13:$F$11483,Timesheet!$A$13:$A$11483,'Início|Fim 1'!E235,Timesheet!$C$13:$C$11483,'Início|Fim 1'!$M$2)</f>
        <v>0</v>
      </c>
      <c r="N235" s="2">
        <f>SUMIFS(Timesheet!$F$13:$F$11483,Timesheet!$A$13:$A$11483,'Início|Fim 1'!E235,Timesheet!$C$13:$C$11483,'Início|Fim 1'!$N$2)</f>
        <v>0</v>
      </c>
      <c r="O235" s="2">
        <f t="shared" si="3"/>
        <v>0</v>
      </c>
    </row>
    <row r="236" spans="1:15" x14ac:dyDescent="0.25">
      <c r="A236" s="1">
        <v>45160</v>
      </c>
      <c r="B236" s="3">
        <f t="array" ref="B236">MIN(IF(A236=Timesheet!$A$13:$A$2615,Timesheet!$D$13:$D$2615))</f>
        <v>0</v>
      </c>
      <c r="C236" s="3">
        <f t="array" ref="C236">MAX(IF(A236=Timesheet!$A$13:$A$2615,Timesheet!$E$13:$E$2615))</f>
        <v>0</v>
      </c>
      <c r="E236" s="1">
        <v>45160</v>
      </c>
      <c r="F236" s="2">
        <f>SUMIFS(Timesheet!$F$13:$F$11483,Timesheet!$A$13:$A$11483,'Início|Fim 1'!E236,Timesheet!$C$13:$C$11483,'Início|Fim 1'!$F$2)</f>
        <v>0</v>
      </c>
      <c r="G236" s="2">
        <f>SUMIFS(Timesheet!$F$13:$F$11483,Timesheet!$A$13:$A$11483,'Início|Fim 1'!E236,Timesheet!$C$13:$C$11483,'Início|Fim 1'!$G$2)</f>
        <v>0</v>
      </c>
      <c r="H236" s="2">
        <f>SUMIFS(Timesheet!$F$13:$F$11483,Timesheet!$A$13:$A$11483,'Início|Fim 1'!E236,Timesheet!$C$13:$C$11483,'Início|Fim 1'!$H$2)</f>
        <v>0</v>
      </c>
      <c r="I236" s="2">
        <f>SUMIFS(Timesheet!$F$13:$F$11483,Timesheet!$A$13:$A$11483,'Início|Fim 1'!E236,Timesheet!$C$13:$C$11483,'Início|Fim 1'!$I$2)</f>
        <v>0</v>
      </c>
      <c r="J236" s="2">
        <f>SUMIFS(Timesheet!$F$13:$F$11483,Timesheet!$A$13:$A$11483,'Início|Fim 1'!E236,Timesheet!$C$13:$C$11483,'Início|Fim 1'!$J$2)</f>
        <v>0</v>
      </c>
      <c r="K236" s="2">
        <f>SUMIFS(Timesheet!$F$13:$F$11483,Timesheet!$A$13:$A$11483,'Início|Fim 1'!E236,Timesheet!$C$13:$C$11483,'Início|Fim 1'!$K$2)</f>
        <v>0</v>
      </c>
      <c r="L236" s="2">
        <f>SUMIFS(Timesheet!$F$13:$F$11483,Timesheet!$A$13:$A$11483,'Início|Fim 1'!E236,Timesheet!$C$13:$C$11483,'Início|Fim 1'!$L$2)</f>
        <v>0</v>
      </c>
      <c r="M236" s="2">
        <f>SUMIFS(Timesheet!$F$13:$F$11483,Timesheet!$A$13:$A$11483,'Início|Fim 1'!E236,Timesheet!$C$13:$C$11483,'Início|Fim 1'!$M$2)</f>
        <v>0</v>
      </c>
      <c r="N236" s="2">
        <f>SUMIFS(Timesheet!$F$13:$F$11483,Timesheet!$A$13:$A$11483,'Início|Fim 1'!E236,Timesheet!$C$13:$C$11483,'Início|Fim 1'!$N$2)</f>
        <v>0</v>
      </c>
      <c r="O236" s="2">
        <f t="shared" si="3"/>
        <v>0</v>
      </c>
    </row>
    <row r="237" spans="1:15" x14ac:dyDescent="0.25">
      <c r="A237" s="1">
        <v>45161</v>
      </c>
      <c r="B237" s="3">
        <f t="array" ref="B237">MIN(IF(A237=Timesheet!$A$13:$A$2615,Timesheet!$D$13:$D$2615))</f>
        <v>0</v>
      </c>
      <c r="C237" s="3">
        <f t="array" ref="C237">MAX(IF(A237=Timesheet!$A$13:$A$2615,Timesheet!$E$13:$E$2615))</f>
        <v>0</v>
      </c>
      <c r="E237" s="1">
        <v>45161</v>
      </c>
      <c r="F237" s="2">
        <f>SUMIFS(Timesheet!$F$13:$F$11483,Timesheet!$A$13:$A$11483,'Início|Fim 1'!E237,Timesheet!$C$13:$C$11483,'Início|Fim 1'!$F$2)</f>
        <v>0</v>
      </c>
      <c r="G237" s="2">
        <f>SUMIFS(Timesheet!$F$13:$F$11483,Timesheet!$A$13:$A$11483,'Início|Fim 1'!E237,Timesheet!$C$13:$C$11483,'Início|Fim 1'!$G$2)</f>
        <v>0</v>
      </c>
      <c r="H237" s="2">
        <f>SUMIFS(Timesheet!$F$13:$F$11483,Timesheet!$A$13:$A$11483,'Início|Fim 1'!E237,Timesheet!$C$13:$C$11483,'Início|Fim 1'!$H$2)</f>
        <v>0</v>
      </c>
      <c r="I237" s="2">
        <f>SUMIFS(Timesheet!$F$13:$F$11483,Timesheet!$A$13:$A$11483,'Início|Fim 1'!E237,Timesheet!$C$13:$C$11483,'Início|Fim 1'!$I$2)</f>
        <v>0</v>
      </c>
      <c r="J237" s="2">
        <f>SUMIFS(Timesheet!$F$13:$F$11483,Timesheet!$A$13:$A$11483,'Início|Fim 1'!E237,Timesheet!$C$13:$C$11483,'Início|Fim 1'!$J$2)</f>
        <v>0</v>
      </c>
      <c r="K237" s="2">
        <f>SUMIFS(Timesheet!$F$13:$F$11483,Timesheet!$A$13:$A$11483,'Início|Fim 1'!E237,Timesheet!$C$13:$C$11483,'Início|Fim 1'!$K$2)</f>
        <v>0</v>
      </c>
      <c r="L237" s="2">
        <f>SUMIFS(Timesheet!$F$13:$F$11483,Timesheet!$A$13:$A$11483,'Início|Fim 1'!E237,Timesheet!$C$13:$C$11483,'Início|Fim 1'!$L$2)</f>
        <v>0</v>
      </c>
      <c r="M237" s="2">
        <f>SUMIFS(Timesheet!$F$13:$F$11483,Timesheet!$A$13:$A$11483,'Início|Fim 1'!E237,Timesheet!$C$13:$C$11483,'Início|Fim 1'!$M$2)</f>
        <v>0</v>
      </c>
      <c r="N237" s="2">
        <f>SUMIFS(Timesheet!$F$13:$F$11483,Timesheet!$A$13:$A$11483,'Início|Fim 1'!E237,Timesheet!$C$13:$C$11483,'Início|Fim 1'!$N$2)</f>
        <v>0</v>
      </c>
      <c r="O237" s="2">
        <f t="shared" si="3"/>
        <v>0</v>
      </c>
    </row>
    <row r="238" spans="1:15" x14ac:dyDescent="0.25">
      <c r="A238" s="1">
        <v>45162</v>
      </c>
      <c r="B238" s="3">
        <f t="array" ref="B238">MIN(IF(A238=Timesheet!$A$13:$A$2615,Timesheet!$D$13:$D$2615))</f>
        <v>0</v>
      </c>
      <c r="C238" s="3">
        <f t="array" ref="C238">MAX(IF(A238=Timesheet!$A$13:$A$2615,Timesheet!$E$13:$E$2615))</f>
        <v>0</v>
      </c>
      <c r="E238" s="1">
        <v>45162</v>
      </c>
      <c r="F238" s="2">
        <f>SUMIFS(Timesheet!$F$13:$F$11483,Timesheet!$A$13:$A$11483,'Início|Fim 1'!E238,Timesheet!$C$13:$C$11483,'Início|Fim 1'!$F$2)</f>
        <v>0</v>
      </c>
      <c r="G238" s="2">
        <f>SUMIFS(Timesheet!$F$13:$F$11483,Timesheet!$A$13:$A$11483,'Início|Fim 1'!E238,Timesheet!$C$13:$C$11483,'Início|Fim 1'!$G$2)</f>
        <v>0</v>
      </c>
      <c r="H238" s="2">
        <f>SUMIFS(Timesheet!$F$13:$F$11483,Timesheet!$A$13:$A$11483,'Início|Fim 1'!E238,Timesheet!$C$13:$C$11483,'Início|Fim 1'!$H$2)</f>
        <v>0</v>
      </c>
      <c r="I238" s="2">
        <f>SUMIFS(Timesheet!$F$13:$F$11483,Timesheet!$A$13:$A$11483,'Início|Fim 1'!E238,Timesheet!$C$13:$C$11483,'Início|Fim 1'!$I$2)</f>
        <v>0</v>
      </c>
      <c r="J238" s="2">
        <f>SUMIFS(Timesheet!$F$13:$F$11483,Timesheet!$A$13:$A$11483,'Início|Fim 1'!E238,Timesheet!$C$13:$C$11483,'Início|Fim 1'!$J$2)</f>
        <v>0</v>
      </c>
      <c r="K238" s="2">
        <f>SUMIFS(Timesheet!$F$13:$F$11483,Timesheet!$A$13:$A$11483,'Início|Fim 1'!E238,Timesheet!$C$13:$C$11483,'Início|Fim 1'!$K$2)</f>
        <v>0</v>
      </c>
      <c r="L238" s="2">
        <f>SUMIFS(Timesheet!$F$13:$F$11483,Timesheet!$A$13:$A$11483,'Início|Fim 1'!E238,Timesheet!$C$13:$C$11483,'Início|Fim 1'!$L$2)</f>
        <v>0</v>
      </c>
      <c r="M238" s="2">
        <f>SUMIFS(Timesheet!$F$13:$F$11483,Timesheet!$A$13:$A$11483,'Início|Fim 1'!E238,Timesheet!$C$13:$C$11483,'Início|Fim 1'!$M$2)</f>
        <v>0</v>
      </c>
      <c r="N238" s="2">
        <f>SUMIFS(Timesheet!$F$13:$F$11483,Timesheet!$A$13:$A$11483,'Início|Fim 1'!E238,Timesheet!$C$13:$C$11483,'Início|Fim 1'!$N$2)</f>
        <v>0</v>
      </c>
      <c r="O238" s="2">
        <f t="shared" si="3"/>
        <v>0</v>
      </c>
    </row>
    <row r="239" spans="1:15" x14ac:dyDescent="0.25">
      <c r="A239" s="1">
        <v>45163</v>
      </c>
      <c r="B239" s="3">
        <f t="array" ref="B239">MIN(IF(A239=Timesheet!$A$13:$A$2615,Timesheet!$D$13:$D$2615))</f>
        <v>0</v>
      </c>
      <c r="C239" s="3">
        <f t="array" ref="C239">MAX(IF(A239=Timesheet!$A$13:$A$2615,Timesheet!$E$13:$E$2615))</f>
        <v>0</v>
      </c>
      <c r="E239" s="1">
        <v>45163</v>
      </c>
      <c r="F239" s="2">
        <f>SUMIFS(Timesheet!$F$13:$F$11483,Timesheet!$A$13:$A$11483,'Início|Fim 1'!E239,Timesheet!$C$13:$C$11483,'Início|Fim 1'!$F$2)</f>
        <v>0</v>
      </c>
      <c r="G239" s="2">
        <f>SUMIFS(Timesheet!$F$13:$F$11483,Timesheet!$A$13:$A$11483,'Início|Fim 1'!E239,Timesheet!$C$13:$C$11483,'Início|Fim 1'!$G$2)</f>
        <v>0</v>
      </c>
      <c r="H239" s="2">
        <f>SUMIFS(Timesheet!$F$13:$F$11483,Timesheet!$A$13:$A$11483,'Início|Fim 1'!E239,Timesheet!$C$13:$C$11483,'Início|Fim 1'!$H$2)</f>
        <v>0</v>
      </c>
      <c r="I239" s="2">
        <f>SUMIFS(Timesheet!$F$13:$F$11483,Timesheet!$A$13:$A$11483,'Início|Fim 1'!E239,Timesheet!$C$13:$C$11483,'Início|Fim 1'!$I$2)</f>
        <v>0</v>
      </c>
      <c r="J239" s="2">
        <f>SUMIFS(Timesheet!$F$13:$F$11483,Timesheet!$A$13:$A$11483,'Início|Fim 1'!E239,Timesheet!$C$13:$C$11483,'Início|Fim 1'!$J$2)</f>
        <v>0</v>
      </c>
      <c r="K239" s="2">
        <f>SUMIFS(Timesheet!$F$13:$F$11483,Timesheet!$A$13:$A$11483,'Início|Fim 1'!E239,Timesheet!$C$13:$C$11483,'Início|Fim 1'!$K$2)</f>
        <v>0</v>
      </c>
      <c r="L239" s="2">
        <f>SUMIFS(Timesheet!$F$13:$F$11483,Timesheet!$A$13:$A$11483,'Início|Fim 1'!E239,Timesheet!$C$13:$C$11483,'Início|Fim 1'!$L$2)</f>
        <v>0</v>
      </c>
      <c r="M239" s="2">
        <f>SUMIFS(Timesheet!$F$13:$F$11483,Timesheet!$A$13:$A$11483,'Início|Fim 1'!E239,Timesheet!$C$13:$C$11483,'Início|Fim 1'!$M$2)</f>
        <v>0</v>
      </c>
      <c r="N239" s="2">
        <f>SUMIFS(Timesheet!$F$13:$F$11483,Timesheet!$A$13:$A$11483,'Início|Fim 1'!E239,Timesheet!$C$13:$C$11483,'Início|Fim 1'!$N$2)</f>
        <v>0</v>
      </c>
      <c r="O239" s="2">
        <f t="shared" si="3"/>
        <v>0</v>
      </c>
    </row>
    <row r="240" spans="1:15" x14ac:dyDescent="0.25">
      <c r="A240" s="1">
        <v>45164</v>
      </c>
      <c r="B240" s="3">
        <f t="array" ref="B240">MIN(IF(A240=Timesheet!$A$13:$A$2615,Timesheet!$D$13:$D$2615))</f>
        <v>0</v>
      </c>
      <c r="C240" s="3">
        <f t="array" ref="C240">MAX(IF(A240=Timesheet!$A$13:$A$2615,Timesheet!$E$13:$E$2615))</f>
        <v>0</v>
      </c>
      <c r="E240" s="1">
        <v>45164</v>
      </c>
      <c r="F240" s="2">
        <f>SUMIFS(Timesheet!$F$13:$F$11483,Timesheet!$A$13:$A$11483,'Início|Fim 1'!E240,Timesheet!$C$13:$C$11483,'Início|Fim 1'!$F$2)</f>
        <v>0</v>
      </c>
      <c r="G240" s="2">
        <f>SUMIFS(Timesheet!$F$13:$F$11483,Timesheet!$A$13:$A$11483,'Início|Fim 1'!E240,Timesheet!$C$13:$C$11483,'Início|Fim 1'!$G$2)</f>
        <v>0</v>
      </c>
      <c r="H240" s="2">
        <f>SUMIFS(Timesheet!$F$13:$F$11483,Timesheet!$A$13:$A$11483,'Início|Fim 1'!E240,Timesheet!$C$13:$C$11483,'Início|Fim 1'!$H$2)</f>
        <v>0</v>
      </c>
      <c r="I240" s="2">
        <f>SUMIFS(Timesheet!$F$13:$F$11483,Timesheet!$A$13:$A$11483,'Início|Fim 1'!E240,Timesheet!$C$13:$C$11483,'Início|Fim 1'!$I$2)</f>
        <v>0</v>
      </c>
      <c r="J240" s="2">
        <f>SUMIFS(Timesheet!$F$13:$F$11483,Timesheet!$A$13:$A$11483,'Início|Fim 1'!E240,Timesheet!$C$13:$C$11483,'Início|Fim 1'!$J$2)</f>
        <v>0</v>
      </c>
      <c r="K240" s="2">
        <f>SUMIFS(Timesheet!$F$13:$F$11483,Timesheet!$A$13:$A$11483,'Início|Fim 1'!E240,Timesheet!$C$13:$C$11483,'Início|Fim 1'!$K$2)</f>
        <v>0</v>
      </c>
      <c r="L240" s="2">
        <f>SUMIFS(Timesheet!$F$13:$F$11483,Timesheet!$A$13:$A$11483,'Início|Fim 1'!E240,Timesheet!$C$13:$C$11483,'Início|Fim 1'!$L$2)</f>
        <v>0</v>
      </c>
      <c r="M240" s="2">
        <f>SUMIFS(Timesheet!$F$13:$F$11483,Timesheet!$A$13:$A$11483,'Início|Fim 1'!E240,Timesheet!$C$13:$C$11483,'Início|Fim 1'!$M$2)</f>
        <v>0</v>
      </c>
      <c r="N240" s="2">
        <f>SUMIFS(Timesheet!$F$13:$F$11483,Timesheet!$A$13:$A$11483,'Início|Fim 1'!E240,Timesheet!$C$13:$C$11483,'Início|Fim 1'!$N$2)</f>
        <v>0</v>
      </c>
      <c r="O240" s="2">
        <f t="shared" si="3"/>
        <v>0</v>
      </c>
    </row>
    <row r="241" spans="1:15" x14ac:dyDescent="0.25">
      <c r="A241" s="1">
        <v>45165</v>
      </c>
      <c r="B241" s="3">
        <f t="array" ref="B241">MIN(IF(A241=Timesheet!$A$13:$A$2615,Timesheet!$D$13:$D$2615))</f>
        <v>0</v>
      </c>
      <c r="C241" s="3">
        <f t="array" ref="C241">MAX(IF(A241=Timesheet!$A$13:$A$2615,Timesheet!$E$13:$E$2615))</f>
        <v>0</v>
      </c>
      <c r="E241" s="1">
        <v>45165</v>
      </c>
      <c r="F241" s="2">
        <f>SUMIFS(Timesheet!$F$13:$F$11483,Timesheet!$A$13:$A$11483,'Início|Fim 1'!E241,Timesheet!$C$13:$C$11483,'Início|Fim 1'!$F$2)</f>
        <v>0</v>
      </c>
      <c r="G241" s="2">
        <f>SUMIFS(Timesheet!$F$13:$F$11483,Timesheet!$A$13:$A$11483,'Início|Fim 1'!E241,Timesheet!$C$13:$C$11483,'Início|Fim 1'!$G$2)</f>
        <v>0</v>
      </c>
      <c r="H241" s="2">
        <f>SUMIFS(Timesheet!$F$13:$F$11483,Timesheet!$A$13:$A$11483,'Início|Fim 1'!E241,Timesheet!$C$13:$C$11483,'Início|Fim 1'!$H$2)</f>
        <v>0</v>
      </c>
      <c r="I241" s="2">
        <f>SUMIFS(Timesheet!$F$13:$F$11483,Timesheet!$A$13:$A$11483,'Início|Fim 1'!E241,Timesheet!$C$13:$C$11483,'Início|Fim 1'!$I$2)</f>
        <v>0</v>
      </c>
      <c r="J241" s="2">
        <f>SUMIFS(Timesheet!$F$13:$F$11483,Timesheet!$A$13:$A$11483,'Início|Fim 1'!E241,Timesheet!$C$13:$C$11483,'Início|Fim 1'!$J$2)</f>
        <v>0</v>
      </c>
      <c r="K241" s="2">
        <f>SUMIFS(Timesheet!$F$13:$F$11483,Timesheet!$A$13:$A$11483,'Início|Fim 1'!E241,Timesheet!$C$13:$C$11483,'Início|Fim 1'!$K$2)</f>
        <v>0</v>
      </c>
      <c r="L241" s="2">
        <f>SUMIFS(Timesheet!$F$13:$F$11483,Timesheet!$A$13:$A$11483,'Início|Fim 1'!E241,Timesheet!$C$13:$C$11483,'Início|Fim 1'!$L$2)</f>
        <v>0</v>
      </c>
      <c r="M241" s="2">
        <f>SUMIFS(Timesheet!$F$13:$F$11483,Timesheet!$A$13:$A$11483,'Início|Fim 1'!E241,Timesheet!$C$13:$C$11483,'Início|Fim 1'!$M$2)</f>
        <v>0</v>
      </c>
      <c r="N241" s="2">
        <f>SUMIFS(Timesheet!$F$13:$F$11483,Timesheet!$A$13:$A$11483,'Início|Fim 1'!E241,Timesheet!$C$13:$C$11483,'Início|Fim 1'!$N$2)</f>
        <v>0</v>
      </c>
      <c r="O241" s="2">
        <f t="shared" si="3"/>
        <v>0</v>
      </c>
    </row>
    <row r="242" spans="1:15" x14ac:dyDescent="0.25">
      <c r="A242" s="1">
        <v>45166</v>
      </c>
      <c r="B242" s="3">
        <f t="array" ref="B242">MIN(IF(A242=Timesheet!$A$13:$A$2615,Timesheet!$D$13:$D$2615))</f>
        <v>0</v>
      </c>
      <c r="C242" s="3">
        <f t="array" ref="C242">MAX(IF(A242=Timesheet!$A$13:$A$2615,Timesheet!$E$13:$E$2615))</f>
        <v>0</v>
      </c>
      <c r="E242" s="1">
        <v>45166</v>
      </c>
      <c r="F242" s="2">
        <f>SUMIFS(Timesheet!$F$13:$F$11483,Timesheet!$A$13:$A$11483,'Início|Fim 1'!E242,Timesheet!$C$13:$C$11483,'Início|Fim 1'!$F$2)</f>
        <v>0</v>
      </c>
      <c r="G242" s="2">
        <f>SUMIFS(Timesheet!$F$13:$F$11483,Timesheet!$A$13:$A$11483,'Início|Fim 1'!E242,Timesheet!$C$13:$C$11483,'Início|Fim 1'!$G$2)</f>
        <v>0</v>
      </c>
      <c r="H242" s="2">
        <f>SUMIFS(Timesheet!$F$13:$F$11483,Timesheet!$A$13:$A$11483,'Início|Fim 1'!E242,Timesheet!$C$13:$C$11483,'Início|Fim 1'!$H$2)</f>
        <v>0</v>
      </c>
      <c r="I242" s="2">
        <f>SUMIFS(Timesheet!$F$13:$F$11483,Timesheet!$A$13:$A$11483,'Início|Fim 1'!E242,Timesheet!$C$13:$C$11483,'Início|Fim 1'!$I$2)</f>
        <v>0</v>
      </c>
      <c r="J242" s="2">
        <f>SUMIFS(Timesheet!$F$13:$F$11483,Timesheet!$A$13:$A$11483,'Início|Fim 1'!E242,Timesheet!$C$13:$C$11483,'Início|Fim 1'!$J$2)</f>
        <v>0</v>
      </c>
      <c r="K242" s="2">
        <f>SUMIFS(Timesheet!$F$13:$F$11483,Timesheet!$A$13:$A$11483,'Início|Fim 1'!E242,Timesheet!$C$13:$C$11483,'Início|Fim 1'!$K$2)</f>
        <v>0</v>
      </c>
      <c r="L242" s="2">
        <f>SUMIFS(Timesheet!$F$13:$F$11483,Timesheet!$A$13:$A$11483,'Início|Fim 1'!E242,Timesheet!$C$13:$C$11483,'Início|Fim 1'!$L$2)</f>
        <v>0</v>
      </c>
      <c r="M242" s="2">
        <f>SUMIFS(Timesheet!$F$13:$F$11483,Timesheet!$A$13:$A$11483,'Início|Fim 1'!E242,Timesheet!$C$13:$C$11483,'Início|Fim 1'!$M$2)</f>
        <v>0</v>
      </c>
      <c r="N242" s="2">
        <f>SUMIFS(Timesheet!$F$13:$F$11483,Timesheet!$A$13:$A$11483,'Início|Fim 1'!E242,Timesheet!$C$13:$C$11483,'Início|Fim 1'!$N$2)</f>
        <v>0</v>
      </c>
      <c r="O242" s="2">
        <f t="shared" si="3"/>
        <v>0</v>
      </c>
    </row>
    <row r="243" spans="1:15" x14ac:dyDescent="0.25">
      <c r="A243" s="1">
        <v>45167</v>
      </c>
      <c r="B243" s="3">
        <f t="array" ref="B243">MIN(IF(A243=Timesheet!$A$13:$A$2615,Timesheet!$D$13:$D$2615))</f>
        <v>0</v>
      </c>
      <c r="C243" s="3">
        <f t="array" ref="C243">MAX(IF(A243=Timesheet!$A$13:$A$2615,Timesheet!$E$13:$E$2615))</f>
        <v>0</v>
      </c>
      <c r="E243" s="1">
        <v>45167</v>
      </c>
      <c r="F243" s="2">
        <f>SUMIFS(Timesheet!$F$13:$F$11483,Timesheet!$A$13:$A$11483,'Início|Fim 1'!E243,Timesheet!$C$13:$C$11483,'Início|Fim 1'!$F$2)</f>
        <v>0</v>
      </c>
      <c r="G243" s="2">
        <f>SUMIFS(Timesheet!$F$13:$F$11483,Timesheet!$A$13:$A$11483,'Início|Fim 1'!E243,Timesheet!$C$13:$C$11483,'Início|Fim 1'!$G$2)</f>
        <v>0</v>
      </c>
      <c r="H243" s="2">
        <f>SUMIFS(Timesheet!$F$13:$F$11483,Timesheet!$A$13:$A$11483,'Início|Fim 1'!E243,Timesheet!$C$13:$C$11483,'Início|Fim 1'!$H$2)</f>
        <v>0</v>
      </c>
      <c r="I243" s="2">
        <f>SUMIFS(Timesheet!$F$13:$F$11483,Timesheet!$A$13:$A$11483,'Início|Fim 1'!E243,Timesheet!$C$13:$C$11483,'Início|Fim 1'!$I$2)</f>
        <v>0</v>
      </c>
      <c r="J243" s="2">
        <f>SUMIFS(Timesheet!$F$13:$F$11483,Timesheet!$A$13:$A$11483,'Início|Fim 1'!E243,Timesheet!$C$13:$C$11483,'Início|Fim 1'!$J$2)</f>
        <v>0</v>
      </c>
      <c r="K243" s="2">
        <f>SUMIFS(Timesheet!$F$13:$F$11483,Timesheet!$A$13:$A$11483,'Início|Fim 1'!E243,Timesheet!$C$13:$C$11483,'Início|Fim 1'!$K$2)</f>
        <v>0</v>
      </c>
      <c r="L243" s="2">
        <f>SUMIFS(Timesheet!$F$13:$F$11483,Timesheet!$A$13:$A$11483,'Início|Fim 1'!E243,Timesheet!$C$13:$C$11483,'Início|Fim 1'!$L$2)</f>
        <v>0</v>
      </c>
      <c r="M243" s="2">
        <f>SUMIFS(Timesheet!$F$13:$F$11483,Timesheet!$A$13:$A$11483,'Início|Fim 1'!E243,Timesheet!$C$13:$C$11483,'Início|Fim 1'!$M$2)</f>
        <v>0</v>
      </c>
      <c r="N243" s="2">
        <f>SUMIFS(Timesheet!$F$13:$F$11483,Timesheet!$A$13:$A$11483,'Início|Fim 1'!E243,Timesheet!$C$13:$C$11483,'Início|Fim 1'!$N$2)</f>
        <v>0</v>
      </c>
      <c r="O243" s="2">
        <f t="shared" si="3"/>
        <v>0</v>
      </c>
    </row>
    <row r="244" spans="1:15" x14ac:dyDescent="0.25">
      <c r="A244" s="1">
        <v>45168</v>
      </c>
      <c r="B244" s="3">
        <f t="array" ref="B244">MIN(IF(A244=Timesheet!$A$13:$A$2615,Timesheet!$D$13:$D$2615))</f>
        <v>0</v>
      </c>
      <c r="C244" s="3">
        <f t="array" ref="C244">MAX(IF(A244=Timesheet!$A$13:$A$2615,Timesheet!$E$13:$E$2615))</f>
        <v>0</v>
      </c>
      <c r="E244" s="1">
        <v>45168</v>
      </c>
      <c r="F244" s="2">
        <f>SUMIFS(Timesheet!$F$13:$F$11483,Timesheet!$A$13:$A$11483,'Início|Fim 1'!E244,Timesheet!$C$13:$C$11483,'Início|Fim 1'!$F$2)</f>
        <v>0</v>
      </c>
      <c r="G244" s="2">
        <f>SUMIFS(Timesheet!$F$13:$F$11483,Timesheet!$A$13:$A$11483,'Início|Fim 1'!E244,Timesheet!$C$13:$C$11483,'Início|Fim 1'!$G$2)</f>
        <v>0</v>
      </c>
      <c r="H244" s="2">
        <f>SUMIFS(Timesheet!$F$13:$F$11483,Timesheet!$A$13:$A$11483,'Início|Fim 1'!E244,Timesheet!$C$13:$C$11483,'Início|Fim 1'!$H$2)</f>
        <v>0</v>
      </c>
      <c r="I244" s="2">
        <f>SUMIFS(Timesheet!$F$13:$F$11483,Timesheet!$A$13:$A$11483,'Início|Fim 1'!E244,Timesheet!$C$13:$C$11483,'Início|Fim 1'!$I$2)</f>
        <v>0</v>
      </c>
      <c r="J244" s="2">
        <f>SUMIFS(Timesheet!$F$13:$F$11483,Timesheet!$A$13:$A$11483,'Início|Fim 1'!E244,Timesheet!$C$13:$C$11483,'Início|Fim 1'!$J$2)</f>
        <v>0</v>
      </c>
      <c r="K244" s="2">
        <f>SUMIFS(Timesheet!$F$13:$F$11483,Timesheet!$A$13:$A$11483,'Início|Fim 1'!E244,Timesheet!$C$13:$C$11483,'Início|Fim 1'!$K$2)</f>
        <v>0</v>
      </c>
      <c r="L244" s="2">
        <f>SUMIFS(Timesheet!$F$13:$F$11483,Timesheet!$A$13:$A$11483,'Início|Fim 1'!E244,Timesheet!$C$13:$C$11483,'Início|Fim 1'!$L$2)</f>
        <v>0</v>
      </c>
      <c r="M244" s="2">
        <f>SUMIFS(Timesheet!$F$13:$F$11483,Timesheet!$A$13:$A$11483,'Início|Fim 1'!E244,Timesheet!$C$13:$C$11483,'Início|Fim 1'!$M$2)</f>
        <v>0</v>
      </c>
      <c r="N244" s="2">
        <f>SUMIFS(Timesheet!$F$13:$F$11483,Timesheet!$A$13:$A$11483,'Início|Fim 1'!E244,Timesheet!$C$13:$C$11483,'Início|Fim 1'!$N$2)</f>
        <v>0</v>
      </c>
      <c r="O244" s="2">
        <f t="shared" si="3"/>
        <v>0</v>
      </c>
    </row>
    <row r="245" spans="1:15" x14ac:dyDescent="0.25">
      <c r="A245" s="1">
        <v>45169</v>
      </c>
      <c r="B245" s="3">
        <f t="array" ref="B245">MIN(IF(A245=Timesheet!$A$13:$A$2615,Timesheet!$D$13:$D$2615))</f>
        <v>0</v>
      </c>
      <c r="C245" s="3">
        <f t="array" ref="C245">MAX(IF(A245=Timesheet!$A$13:$A$2615,Timesheet!$E$13:$E$2615))</f>
        <v>0</v>
      </c>
      <c r="E245" s="1">
        <v>45169</v>
      </c>
      <c r="F245" s="2">
        <f>SUMIFS(Timesheet!$F$13:$F$11483,Timesheet!$A$13:$A$11483,'Início|Fim 1'!E245,Timesheet!$C$13:$C$11483,'Início|Fim 1'!$F$2)</f>
        <v>0</v>
      </c>
      <c r="G245" s="2">
        <f>SUMIFS(Timesheet!$F$13:$F$11483,Timesheet!$A$13:$A$11483,'Início|Fim 1'!E245,Timesheet!$C$13:$C$11483,'Início|Fim 1'!$G$2)</f>
        <v>0</v>
      </c>
      <c r="H245" s="2">
        <f>SUMIFS(Timesheet!$F$13:$F$11483,Timesheet!$A$13:$A$11483,'Início|Fim 1'!E245,Timesheet!$C$13:$C$11483,'Início|Fim 1'!$H$2)</f>
        <v>0</v>
      </c>
      <c r="I245" s="2">
        <f>SUMIFS(Timesheet!$F$13:$F$11483,Timesheet!$A$13:$A$11483,'Início|Fim 1'!E245,Timesheet!$C$13:$C$11483,'Início|Fim 1'!$I$2)</f>
        <v>0</v>
      </c>
      <c r="J245" s="2">
        <f>SUMIFS(Timesheet!$F$13:$F$11483,Timesheet!$A$13:$A$11483,'Início|Fim 1'!E245,Timesheet!$C$13:$C$11483,'Início|Fim 1'!$J$2)</f>
        <v>0</v>
      </c>
      <c r="K245" s="2">
        <f>SUMIFS(Timesheet!$F$13:$F$11483,Timesheet!$A$13:$A$11483,'Início|Fim 1'!E245,Timesheet!$C$13:$C$11483,'Início|Fim 1'!$K$2)</f>
        <v>0</v>
      </c>
      <c r="L245" s="2">
        <f>SUMIFS(Timesheet!$F$13:$F$11483,Timesheet!$A$13:$A$11483,'Início|Fim 1'!E245,Timesheet!$C$13:$C$11483,'Início|Fim 1'!$L$2)</f>
        <v>0</v>
      </c>
      <c r="M245" s="2">
        <f>SUMIFS(Timesheet!$F$13:$F$11483,Timesheet!$A$13:$A$11483,'Início|Fim 1'!E245,Timesheet!$C$13:$C$11483,'Início|Fim 1'!$M$2)</f>
        <v>0</v>
      </c>
      <c r="N245" s="2">
        <f>SUMIFS(Timesheet!$F$13:$F$11483,Timesheet!$A$13:$A$11483,'Início|Fim 1'!E245,Timesheet!$C$13:$C$11483,'Início|Fim 1'!$N$2)</f>
        <v>0</v>
      </c>
      <c r="O245" s="2">
        <f t="shared" si="3"/>
        <v>0</v>
      </c>
    </row>
    <row r="246" spans="1:15" x14ac:dyDescent="0.25">
      <c r="A246" s="1">
        <v>45170</v>
      </c>
      <c r="B246" s="3">
        <f t="array" ref="B246">MIN(IF(A246=Timesheet!$A$13:$A$2615,Timesheet!$D$13:$D$2615))</f>
        <v>0</v>
      </c>
      <c r="C246" s="3">
        <f t="array" ref="C246">MAX(IF(A246=Timesheet!$A$13:$A$2615,Timesheet!$E$13:$E$2615))</f>
        <v>0</v>
      </c>
      <c r="E246" s="1">
        <v>45170</v>
      </c>
      <c r="F246" s="2">
        <f>SUMIFS(Timesheet!$F$13:$F$11483,Timesheet!$A$13:$A$11483,'Início|Fim 1'!E246,Timesheet!$C$13:$C$11483,'Início|Fim 1'!$F$2)</f>
        <v>0</v>
      </c>
      <c r="G246" s="2">
        <f>SUMIFS(Timesheet!$F$13:$F$11483,Timesheet!$A$13:$A$11483,'Início|Fim 1'!E246,Timesheet!$C$13:$C$11483,'Início|Fim 1'!$G$2)</f>
        <v>0</v>
      </c>
      <c r="H246" s="2">
        <f>SUMIFS(Timesheet!$F$13:$F$11483,Timesheet!$A$13:$A$11483,'Início|Fim 1'!E246,Timesheet!$C$13:$C$11483,'Início|Fim 1'!$H$2)</f>
        <v>0</v>
      </c>
      <c r="I246" s="2">
        <f>SUMIFS(Timesheet!$F$13:$F$11483,Timesheet!$A$13:$A$11483,'Início|Fim 1'!E246,Timesheet!$C$13:$C$11483,'Início|Fim 1'!$I$2)</f>
        <v>0</v>
      </c>
      <c r="J246" s="2">
        <f>SUMIFS(Timesheet!$F$13:$F$11483,Timesheet!$A$13:$A$11483,'Início|Fim 1'!E246,Timesheet!$C$13:$C$11483,'Início|Fim 1'!$J$2)</f>
        <v>0</v>
      </c>
      <c r="K246" s="2">
        <f>SUMIFS(Timesheet!$F$13:$F$11483,Timesheet!$A$13:$A$11483,'Início|Fim 1'!E246,Timesheet!$C$13:$C$11483,'Início|Fim 1'!$K$2)</f>
        <v>0</v>
      </c>
      <c r="L246" s="2">
        <f>SUMIFS(Timesheet!$F$13:$F$11483,Timesheet!$A$13:$A$11483,'Início|Fim 1'!E246,Timesheet!$C$13:$C$11483,'Início|Fim 1'!$L$2)</f>
        <v>0</v>
      </c>
      <c r="M246" s="2">
        <f>SUMIFS(Timesheet!$F$13:$F$11483,Timesheet!$A$13:$A$11483,'Início|Fim 1'!E246,Timesheet!$C$13:$C$11483,'Início|Fim 1'!$M$2)</f>
        <v>0</v>
      </c>
      <c r="N246" s="2">
        <f>SUMIFS(Timesheet!$F$13:$F$11483,Timesheet!$A$13:$A$11483,'Início|Fim 1'!E246,Timesheet!$C$13:$C$11483,'Início|Fim 1'!$N$2)</f>
        <v>0</v>
      </c>
      <c r="O246" s="2">
        <f t="shared" si="3"/>
        <v>0</v>
      </c>
    </row>
    <row r="247" spans="1:15" x14ac:dyDescent="0.25">
      <c r="A247" s="1">
        <v>45171</v>
      </c>
      <c r="B247" s="3">
        <f t="array" ref="B247">MIN(IF(A247=Timesheet!$A$13:$A$2615,Timesheet!$D$13:$D$2615))</f>
        <v>0</v>
      </c>
      <c r="C247" s="3">
        <f t="array" ref="C247">MAX(IF(A247=Timesheet!$A$13:$A$2615,Timesheet!$E$13:$E$2615))</f>
        <v>0</v>
      </c>
      <c r="E247" s="1">
        <v>45171</v>
      </c>
      <c r="F247" s="2">
        <f>SUMIFS(Timesheet!$F$13:$F$11483,Timesheet!$A$13:$A$11483,'Início|Fim 1'!E247,Timesheet!$C$13:$C$11483,'Início|Fim 1'!$F$2)</f>
        <v>0</v>
      </c>
      <c r="G247" s="2">
        <f>SUMIFS(Timesheet!$F$13:$F$11483,Timesheet!$A$13:$A$11483,'Início|Fim 1'!E247,Timesheet!$C$13:$C$11483,'Início|Fim 1'!$G$2)</f>
        <v>0</v>
      </c>
      <c r="H247" s="2">
        <f>SUMIFS(Timesheet!$F$13:$F$11483,Timesheet!$A$13:$A$11483,'Início|Fim 1'!E247,Timesheet!$C$13:$C$11483,'Início|Fim 1'!$H$2)</f>
        <v>0</v>
      </c>
      <c r="I247" s="2">
        <f>SUMIFS(Timesheet!$F$13:$F$11483,Timesheet!$A$13:$A$11483,'Início|Fim 1'!E247,Timesheet!$C$13:$C$11483,'Início|Fim 1'!$I$2)</f>
        <v>0</v>
      </c>
      <c r="J247" s="2">
        <f>SUMIFS(Timesheet!$F$13:$F$11483,Timesheet!$A$13:$A$11483,'Início|Fim 1'!E247,Timesheet!$C$13:$C$11483,'Início|Fim 1'!$J$2)</f>
        <v>0</v>
      </c>
      <c r="K247" s="2">
        <f>SUMIFS(Timesheet!$F$13:$F$11483,Timesheet!$A$13:$A$11483,'Início|Fim 1'!E247,Timesheet!$C$13:$C$11483,'Início|Fim 1'!$K$2)</f>
        <v>0</v>
      </c>
      <c r="L247" s="2">
        <f>SUMIFS(Timesheet!$F$13:$F$11483,Timesheet!$A$13:$A$11483,'Início|Fim 1'!E247,Timesheet!$C$13:$C$11483,'Início|Fim 1'!$L$2)</f>
        <v>0</v>
      </c>
      <c r="M247" s="2">
        <f>SUMIFS(Timesheet!$F$13:$F$11483,Timesheet!$A$13:$A$11483,'Início|Fim 1'!E247,Timesheet!$C$13:$C$11483,'Início|Fim 1'!$M$2)</f>
        <v>0</v>
      </c>
      <c r="N247" s="2">
        <f>SUMIFS(Timesheet!$F$13:$F$11483,Timesheet!$A$13:$A$11483,'Início|Fim 1'!E247,Timesheet!$C$13:$C$11483,'Início|Fim 1'!$N$2)</f>
        <v>0</v>
      </c>
      <c r="O247" s="2">
        <f t="shared" si="3"/>
        <v>0</v>
      </c>
    </row>
    <row r="248" spans="1:15" x14ac:dyDescent="0.25">
      <c r="A248" s="1">
        <v>45172</v>
      </c>
      <c r="B248" s="3">
        <f t="array" ref="B248">MIN(IF(A248=Timesheet!$A$13:$A$2615,Timesheet!$D$13:$D$2615))</f>
        <v>0</v>
      </c>
      <c r="C248" s="3">
        <f t="array" ref="C248">MAX(IF(A248=Timesheet!$A$13:$A$2615,Timesheet!$E$13:$E$2615))</f>
        <v>0</v>
      </c>
      <c r="E248" s="1">
        <v>45172</v>
      </c>
      <c r="F248" s="2">
        <f>SUMIFS(Timesheet!$F$13:$F$11483,Timesheet!$A$13:$A$11483,'Início|Fim 1'!E248,Timesheet!$C$13:$C$11483,'Início|Fim 1'!$F$2)</f>
        <v>0</v>
      </c>
      <c r="G248" s="2">
        <f>SUMIFS(Timesheet!$F$13:$F$11483,Timesheet!$A$13:$A$11483,'Início|Fim 1'!E248,Timesheet!$C$13:$C$11483,'Início|Fim 1'!$G$2)</f>
        <v>0</v>
      </c>
      <c r="H248" s="2">
        <f>SUMIFS(Timesheet!$F$13:$F$11483,Timesheet!$A$13:$A$11483,'Início|Fim 1'!E248,Timesheet!$C$13:$C$11483,'Início|Fim 1'!$H$2)</f>
        <v>0</v>
      </c>
      <c r="I248" s="2">
        <f>SUMIFS(Timesheet!$F$13:$F$11483,Timesheet!$A$13:$A$11483,'Início|Fim 1'!E248,Timesheet!$C$13:$C$11483,'Início|Fim 1'!$I$2)</f>
        <v>0</v>
      </c>
      <c r="J248" s="2">
        <f>SUMIFS(Timesheet!$F$13:$F$11483,Timesheet!$A$13:$A$11483,'Início|Fim 1'!E248,Timesheet!$C$13:$C$11483,'Início|Fim 1'!$J$2)</f>
        <v>0</v>
      </c>
      <c r="K248" s="2">
        <f>SUMIFS(Timesheet!$F$13:$F$11483,Timesheet!$A$13:$A$11483,'Início|Fim 1'!E248,Timesheet!$C$13:$C$11483,'Início|Fim 1'!$K$2)</f>
        <v>0</v>
      </c>
      <c r="L248" s="2">
        <f>SUMIFS(Timesheet!$F$13:$F$11483,Timesheet!$A$13:$A$11483,'Início|Fim 1'!E248,Timesheet!$C$13:$C$11483,'Início|Fim 1'!$L$2)</f>
        <v>0</v>
      </c>
      <c r="M248" s="2">
        <f>SUMIFS(Timesheet!$F$13:$F$11483,Timesheet!$A$13:$A$11483,'Início|Fim 1'!E248,Timesheet!$C$13:$C$11483,'Início|Fim 1'!$M$2)</f>
        <v>0</v>
      </c>
      <c r="N248" s="2">
        <f>SUMIFS(Timesheet!$F$13:$F$11483,Timesheet!$A$13:$A$11483,'Início|Fim 1'!E248,Timesheet!$C$13:$C$11483,'Início|Fim 1'!$N$2)</f>
        <v>0</v>
      </c>
      <c r="O248" s="2">
        <f t="shared" si="3"/>
        <v>0</v>
      </c>
    </row>
    <row r="249" spans="1:15" x14ac:dyDescent="0.25">
      <c r="A249" s="1">
        <v>45173</v>
      </c>
      <c r="B249" s="3">
        <f t="array" ref="B249">MIN(IF(A249=Timesheet!$A$13:$A$2615,Timesheet!$D$13:$D$2615))</f>
        <v>0</v>
      </c>
      <c r="C249" s="3">
        <f t="array" ref="C249">MAX(IF(A249=Timesheet!$A$13:$A$2615,Timesheet!$E$13:$E$2615))</f>
        <v>0</v>
      </c>
      <c r="E249" s="1">
        <v>45173</v>
      </c>
      <c r="F249" s="2">
        <f>SUMIFS(Timesheet!$F$13:$F$11483,Timesheet!$A$13:$A$11483,'Início|Fim 1'!E249,Timesheet!$C$13:$C$11483,'Início|Fim 1'!$F$2)</f>
        <v>0</v>
      </c>
      <c r="G249" s="2">
        <f>SUMIFS(Timesheet!$F$13:$F$11483,Timesheet!$A$13:$A$11483,'Início|Fim 1'!E249,Timesheet!$C$13:$C$11483,'Início|Fim 1'!$G$2)</f>
        <v>0</v>
      </c>
      <c r="H249" s="2">
        <f>SUMIFS(Timesheet!$F$13:$F$11483,Timesheet!$A$13:$A$11483,'Início|Fim 1'!E249,Timesheet!$C$13:$C$11483,'Início|Fim 1'!$H$2)</f>
        <v>0</v>
      </c>
      <c r="I249" s="2">
        <f>SUMIFS(Timesheet!$F$13:$F$11483,Timesheet!$A$13:$A$11483,'Início|Fim 1'!E249,Timesheet!$C$13:$C$11483,'Início|Fim 1'!$I$2)</f>
        <v>0</v>
      </c>
      <c r="J249" s="2">
        <f>SUMIFS(Timesheet!$F$13:$F$11483,Timesheet!$A$13:$A$11483,'Início|Fim 1'!E249,Timesheet!$C$13:$C$11483,'Início|Fim 1'!$J$2)</f>
        <v>0</v>
      </c>
      <c r="K249" s="2">
        <f>SUMIFS(Timesheet!$F$13:$F$11483,Timesheet!$A$13:$A$11483,'Início|Fim 1'!E249,Timesheet!$C$13:$C$11483,'Início|Fim 1'!$K$2)</f>
        <v>0</v>
      </c>
      <c r="L249" s="2">
        <f>SUMIFS(Timesheet!$F$13:$F$11483,Timesheet!$A$13:$A$11483,'Início|Fim 1'!E249,Timesheet!$C$13:$C$11483,'Início|Fim 1'!$L$2)</f>
        <v>0</v>
      </c>
      <c r="M249" s="2">
        <f>SUMIFS(Timesheet!$F$13:$F$11483,Timesheet!$A$13:$A$11483,'Início|Fim 1'!E249,Timesheet!$C$13:$C$11483,'Início|Fim 1'!$M$2)</f>
        <v>0</v>
      </c>
      <c r="N249" s="2">
        <f>SUMIFS(Timesheet!$F$13:$F$11483,Timesheet!$A$13:$A$11483,'Início|Fim 1'!E249,Timesheet!$C$13:$C$11483,'Início|Fim 1'!$N$2)</f>
        <v>0</v>
      </c>
      <c r="O249" s="2">
        <f t="shared" si="3"/>
        <v>0</v>
      </c>
    </row>
    <row r="250" spans="1:15" x14ac:dyDescent="0.25">
      <c r="A250" s="1">
        <v>45174</v>
      </c>
      <c r="B250" s="3">
        <f t="array" ref="B250">MIN(IF(A250=Timesheet!$A$13:$A$2615,Timesheet!$D$13:$D$2615))</f>
        <v>0</v>
      </c>
      <c r="C250" s="3">
        <f t="array" ref="C250">MAX(IF(A250=Timesheet!$A$13:$A$2615,Timesheet!$E$13:$E$2615))</f>
        <v>0</v>
      </c>
      <c r="E250" s="1">
        <v>45174</v>
      </c>
      <c r="F250" s="2">
        <f>SUMIFS(Timesheet!$F$13:$F$11483,Timesheet!$A$13:$A$11483,'Início|Fim 1'!E250,Timesheet!$C$13:$C$11483,'Início|Fim 1'!$F$2)</f>
        <v>0</v>
      </c>
      <c r="G250" s="2">
        <f>SUMIFS(Timesheet!$F$13:$F$11483,Timesheet!$A$13:$A$11483,'Início|Fim 1'!E250,Timesheet!$C$13:$C$11483,'Início|Fim 1'!$G$2)</f>
        <v>0</v>
      </c>
      <c r="H250" s="2">
        <f>SUMIFS(Timesheet!$F$13:$F$11483,Timesheet!$A$13:$A$11483,'Início|Fim 1'!E250,Timesheet!$C$13:$C$11483,'Início|Fim 1'!$H$2)</f>
        <v>0</v>
      </c>
      <c r="I250" s="2">
        <f>SUMIFS(Timesheet!$F$13:$F$11483,Timesheet!$A$13:$A$11483,'Início|Fim 1'!E250,Timesheet!$C$13:$C$11483,'Início|Fim 1'!$I$2)</f>
        <v>0</v>
      </c>
      <c r="J250" s="2">
        <f>SUMIFS(Timesheet!$F$13:$F$11483,Timesheet!$A$13:$A$11483,'Início|Fim 1'!E250,Timesheet!$C$13:$C$11483,'Início|Fim 1'!$J$2)</f>
        <v>0</v>
      </c>
      <c r="K250" s="2">
        <f>SUMIFS(Timesheet!$F$13:$F$11483,Timesheet!$A$13:$A$11483,'Início|Fim 1'!E250,Timesheet!$C$13:$C$11483,'Início|Fim 1'!$K$2)</f>
        <v>0</v>
      </c>
      <c r="L250" s="2">
        <f>SUMIFS(Timesheet!$F$13:$F$11483,Timesheet!$A$13:$A$11483,'Início|Fim 1'!E250,Timesheet!$C$13:$C$11483,'Início|Fim 1'!$L$2)</f>
        <v>0</v>
      </c>
      <c r="M250" s="2">
        <f>SUMIFS(Timesheet!$F$13:$F$11483,Timesheet!$A$13:$A$11483,'Início|Fim 1'!E250,Timesheet!$C$13:$C$11483,'Início|Fim 1'!$M$2)</f>
        <v>0</v>
      </c>
      <c r="N250" s="2">
        <f>SUMIFS(Timesheet!$F$13:$F$11483,Timesheet!$A$13:$A$11483,'Início|Fim 1'!E250,Timesheet!$C$13:$C$11483,'Início|Fim 1'!$N$2)</f>
        <v>0</v>
      </c>
      <c r="O250" s="2">
        <f t="shared" si="3"/>
        <v>0</v>
      </c>
    </row>
    <row r="251" spans="1:15" x14ac:dyDescent="0.25">
      <c r="A251" s="1">
        <v>45175</v>
      </c>
      <c r="B251" s="3">
        <f t="array" ref="B251">MIN(IF(A251=Timesheet!$A$13:$A$2615,Timesheet!$D$13:$D$2615))</f>
        <v>0</v>
      </c>
      <c r="C251" s="3">
        <f t="array" ref="C251">MAX(IF(A251=Timesheet!$A$13:$A$2615,Timesheet!$E$13:$E$2615))</f>
        <v>0</v>
      </c>
      <c r="E251" s="1">
        <v>45175</v>
      </c>
      <c r="F251" s="2">
        <f>SUMIFS(Timesheet!$F$13:$F$11483,Timesheet!$A$13:$A$11483,'Início|Fim 1'!E251,Timesheet!$C$13:$C$11483,'Início|Fim 1'!$F$2)</f>
        <v>0</v>
      </c>
      <c r="G251" s="2">
        <f>SUMIFS(Timesheet!$F$13:$F$11483,Timesheet!$A$13:$A$11483,'Início|Fim 1'!E251,Timesheet!$C$13:$C$11483,'Início|Fim 1'!$G$2)</f>
        <v>0</v>
      </c>
      <c r="H251" s="2">
        <f>SUMIFS(Timesheet!$F$13:$F$11483,Timesheet!$A$13:$A$11483,'Início|Fim 1'!E251,Timesheet!$C$13:$C$11483,'Início|Fim 1'!$H$2)</f>
        <v>0</v>
      </c>
      <c r="I251" s="2">
        <f>SUMIFS(Timesheet!$F$13:$F$11483,Timesheet!$A$13:$A$11483,'Início|Fim 1'!E251,Timesheet!$C$13:$C$11483,'Início|Fim 1'!$I$2)</f>
        <v>0</v>
      </c>
      <c r="J251" s="2">
        <f>SUMIFS(Timesheet!$F$13:$F$11483,Timesheet!$A$13:$A$11483,'Início|Fim 1'!E251,Timesheet!$C$13:$C$11483,'Início|Fim 1'!$J$2)</f>
        <v>0</v>
      </c>
      <c r="K251" s="2">
        <f>SUMIFS(Timesheet!$F$13:$F$11483,Timesheet!$A$13:$A$11483,'Início|Fim 1'!E251,Timesheet!$C$13:$C$11483,'Início|Fim 1'!$K$2)</f>
        <v>0</v>
      </c>
      <c r="L251" s="2">
        <f>SUMIFS(Timesheet!$F$13:$F$11483,Timesheet!$A$13:$A$11483,'Início|Fim 1'!E251,Timesheet!$C$13:$C$11483,'Início|Fim 1'!$L$2)</f>
        <v>0</v>
      </c>
      <c r="M251" s="2">
        <f>SUMIFS(Timesheet!$F$13:$F$11483,Timesheet!$A$13:$A$11483,'Início|Fim 1'!E251,Timesheet!$C$13:$C$11483,'Início|Fim 1'!$M$2)</f>
        <v>0</v>
      </c>
      <c r="N251" s="2">
        <f>SUMIFS(Timesheet!$F$13:$F$11483,Timesheet!$A$13:$A$11483,'Início|Fim 1'!E251,Timesheet!$C$13:$C$11483,'Início|Fim 1'!$N$2)</f>
        <v>0</v>
      </c>
      <c r="O251" s="2">
        <f t="shared" si="3"/>
        <v>0</v>
      </c>
    </row>
    <row r="252" spans="1:15" x14ac:dyDescent="0.25">
      <c r="A252" s="1">
        <v>45176</v>
      </c>
      <c r="B252" s="3">
        <f t="array" ref="B252">MIN(IF(A252=Timesheet!$A$13:$A$2615,Timesheet!$D$13:$D$2615))</f>
        <v>0</v>
      </c>
      <c r="C252" s="3">
        <f t="array" ref="C252">MAX(IF(A252=Timesheet!$A$13:$A$2615,Timesheet!$E$13:$E$2615))</f>
        <v>0</v>
      </c>
      <c r="E252" s="1">
        <v>45176</v>
      </c>
      <c r="F252" s="2">
        <f>SUMIFS(Timesheet!$F$13:$F$11483,Timesheet!$A$13:$A$11483,'Início|Fim 1'!E252,Timesheet!$C$13:$C$11483,'Início|Fim 1'!$F$2)</f>
        <v>0</v>
      </c>
      <c r="G252" s="2">
        <f>SUMIFS(Timesheet!$F$13:$F$11483,Timesheet!$A$13:$A$11483,'Início|Fim 1'!E252,Timesheet!$C$13:$C$11483,'Início|Fim 1'!$G$2)</f>
        <v>0</v>
      </c>
      <c r="H252" s="2">
        <f>SUMIFS(Timesheet!$F$13:$F$11483,Timesheet!$A$13:$A$11483,'Início|Fim 1'!E252,Timesheet!$C$13:$C$11483,'Início|Fim 1'!$H$2)</f>
        <v>0</v>
      </c>
      <c r="I252" s="2">
        <f>SUMIFS(Timesheet!$F$13:$F$11483,Timesheet!$A$13:$A$11483,'Início|Fim 1'!E252,Timesheet!$C$13:$C$11483,'Início|Fim 1'!$I$2)</f>
        <v>0</v>
      </c>
      <c r="J252" s="2">
        <f>SUMIFS(Timesheet!$F$13:$F$11483,Timesheet!$A$13:$A$11483,'Início|Fim 1'!E252,Timesheet!$C$13:$C$11483,'Início|Fim 1'!$J$2)</f>
        <v>0</v>
      </c>
      <c r="K252" s="2">
        <f>SUMIFS(Timesheet!$F$13:$F$11483,Timesheet!$A$13:$A$11483,'Início|Fim 1'!E252,Timesheet!$C$13:$C$11483,'Início|Fim 1'!$K$2)</f>
        <v>0</v>
      </c>
      <c r="L252" s="2">
        <f>SUMIFS(Timesheet!$F$13:$F$11483,Timesheet!$A$13:$A$11483,'Início|Fim 1'!E252,Timesheet!$C$13:$C$11483,'Início|Fim 1'!$L$2)</f>
        <v>0</v>
      </c>
      <c r="M252" s="2">
        <f>SUMIFS(Timesheet!$F$13:$F$11483,Timesheet!$A$13:$A$11483,'Início|Fim 1'!E252,Timesheet!$C$13:$C$11483,'Início|Fim 1'!$M$2)</f>
        <v>0</v>
      </c>
      <c r="N252" s="2">
        <f>SUMIFS(Timesheet!$F$13:$F$11483,Timesheet!$A$13:$A$11483,'Início|Fim 1'!E252,Timesheet!$C$13:$C$11483,'Início|Fim 1'!$N$2)</f>
        <v>0</v>
      </c>
      <c r="O252" s="2">
        <f t="shared" si="3"/>
        <v>0</v>
      </c>
    </row>
    <row r="253" spans="1:15" x14ac:dyDescent="0.25">
      <c r="A253" s="1">
        <v>45177</v>
      </c>
      <c r="B253" s="3">
        <f t="array" ref="B253">MIN(IF(A253=Timesheet!$A$13:$A$2615,Timesheet!$D$13:$D$2615))</f>
        <v>0</v>
      </c>
      <c r="C253" s="3">
        <f t="array" ref="C253">MAX(IF(A253=Timesheet!$A$13:$A$2615,Timesheet!$E$13:$E$2615))</f>
        <v>0</v>
      </c>
      <c r="E253" s="1">
        <v>45177</v>
      </c>
      <c r="F253" s="2">
        <f>SUMIFS(Timesheet!$F$13:$F$11483,Timesheet!$A$13:$A$11483,'Início|Fim 1'!E253,Timesheet!$C$13:$C$11483,'Início|Fim 1'!$F$2)</f>
        <v>0</v>
      </c>
      <c r="G253" s="2">
        <f>SUMIFS(Timesheet!$F$13:$F$11483,Timesheet!$A$13:$A$11483,'Início|Fim 1'!E253,Timesheet!$C$13:$C$11483,'Início|Fim 1'!$G$2)</f>
        <v>0</v>
      </c>
      <c r="H253" s="2">
        <f>SUMIFS(Timesheet!$F$13:$F$11483,Timesheet!$A$13:$A$11483,'Início|Fim 1'!E253,Timesheet!$C$13:$C$11483,'Início|Fim 1'!$H$2)</f>
        <v>0</v>
      </c>
      <c r="I253" s="2">
        <f>SUMIFS(Timesheet!$F$13:$F$11483,Timesheet!$A$13:$A$11483,'Início|Fim 1'!E253,Timesheet!$C$13:$C$11483,'Início|Fim 1'!$I$2)</f>
        <v>0</v>
      </c>
      <c r="J253" s="2">
        <f>SUMIFS(Timesheet!$F$13:$F$11483,Timesheet!$A$13:$A$11483,'Início|Fim 1'!E253,Timesheet!$C$13:$C$11483,'Início|Fim 1'!$J$2)</f>
        <v>0</v>
      </c>
      <c r="K253" s="2">
        <f>SUMIFS(Timesheet!$F$13:$F$11483,Timesheet!$A$13:$A$11483,'Início|Fim 1'!E253,Timesheet!$C$13:$C$11483,'Início|Fim 1'!$K$2)</f>
        <v>0</v>
      </c>
      <c r="L253" s="2">
        <f>SUMIFS(Timesheet!$F$13:$F$11483,Timesheet!$A$13:$A$11483,'Início|Fim 1'!E253,Timesheet!$C$13:$C$11483,'Início|Fim 1'!$L$2)</f>
        <v>0</v>
      </c>
      <c r="M253" s="2">
        <f>SUMIFS(Timesheet!$F$13:$F$11483,Timesheet!$A$13:$A$11483,'Início|Fim 1'!E253,Timesheet!$C$13:$C$11483,'Início|Fim 1'!$M$2)</f>
        <v>0</v>
      </c>
      <c r="N253" s="2">
        <f>SUMIFS(Timesheet!$F$13:$F$11483,Timesheet!$A$13:$A$11483,'Início|Fim 1'!E253,Timesheet!$C$13:$C$11483,'Início|Fim 1'!$N$2)</f>
        <v>0</v>
      </c>
      <c r="O253" s="2">
        <f t="shared" si="3"/>
        <v>0</v>
      </c>
    </row>
    <row r="254" spans="1:15" x14ac:dyDescent="0.25">
      <c r="A254" s="1">
        <v>45178</v>
      </c>
      <c r="B254" s="3">
        <f t="array" ref="B254">MIN(IF(A254=Timesheet!$A$13:$A$2615,Timesheet!$D$13:$D$2615))</f>
        <v>0</v>
      </c>
      <c r="C254" s="3">
        <f t="array" ref="C254">MAX(IF(A254=Timesheet!$A$13:$A$2615,Timesheet!$E$13:$E$2615))</f>
        <v>0</v>
      </c>
      <c r="E254" s="1">
        <v>45178</v>
      </c>
      <c r="F254" s="2">
        <f>SUMIFS(Timesheet!$F$13:$F$11483,Timesheet!$A$13:$A$11483,'Início|Fim 1'!E254,Timesheet!$C$13:$C$11483,'Início|Fim 1'!$F$2)</f>
        <v>0</v>
      </c>
      <c r="G254" s="2">
        <f>SUMIFS(Timesheet!$F$13:$F$11483,Timesheet!$A$13:$A$11483,'Início|Fim 1'!E254,Timesheet!$C$13:$C$11483,'Início|Fim 1'!$G$2)</f>
        <v>0</v>
      </c>
      <c r="H254" s="2">
        <f>SUMIFS(Timesheet!$F$13:$F$11483,Timesheet!$A$13:$A$11483,'Início|Fim 1'!E254,Timesheet!$C$13:$C$11483,'Início|Fim 1'!$H$2)</f>
        <v>0</v>
      </c>
      <c r="I254" s="2">
        <f>SUMIFS(Timesheet!$F$13:$F$11483,Timesheet!$A$13:$A$11483,'Início|Fim 1'!E254,Timesheet!$C$13:$C$11483,'Início|Fim 1'!$I$2)</f>
        <v>0</v>
      </c>
      <c r="J254" s="2">
        <f>SUMIFS(Timesheet!$F$13:$F$11483,Timesheet!$A$13:$A$11483,'Início|Fim 1'!E254,Timesheet!$C$13:$C$11483,'Início|Fim 1'!$J$2)</f>
        <v>0</v>
      </c>
      <c r="K254" s="2">
        <f>SUMIFS(Timesheet!$F$13:$F$11483,Timesheet!$A$13:$A$11483,'Início|Fim 1'!E254,Timesheet!$C$13:$C$11483,'Início|Fim 1'!$K$2)</f>
        <v>0</v>
      </c>
      <c r="L254" s="2">
        <f>SUMIFS(Timesheet!$F$13:$F$11483,Timesheet!$A$13:$A$11483,'Início|Fim 1'!E254,Timesheet!$C$13:$C$11483,'Início|Fim 1'!$L$2)</f>
        <v>0</v>
      </c>
      <c r="M254" s="2">
        <f>SUMIFS(Timesheet!$F$13:$F$11483,Timesheet!$A$13:$A$11483,'Início|Fim 1'!E254,Timesheet!$C$13:$C$11483,'Início|Fim 1'!$M$2)</f>
        <v>0</v>
      </c>
      <c r="N254" s="2">
        <f>SUMIFS(Timesheet!$F$13:$F$11483,Timesheet!$A$13:$A$11483,'Início|Fim 1'!E254,Timesheet!$C$13:$C$11483,'Início|Fim 1'!$N$2)</f>
        <v>0</v>
      </c>
      <c r="O254" s="2">
        <f t="shared" si="3"/>
        <v>0</v>
      </c>
    </row>
    <row r="255" spans="1:15" x14ac:dyDescent="0.25">
      <c r="A255" s="1">
        <v>45179</v>
      </c>
      <c r="B255" s="3">
        <f t="array" ref="B255">MIN(IF(A255=Timesheet!$A$13:$A$2615,Timesheet!$D$13:$D$2615))</f>
        <v>0</v>
      </c>
      <c r="C255" s="3">
        <f t="array" ref="C255">MAX(IF(A255=Timesheet!$A$13:$A$2615,Timesheet!$E$13:$E$2615))</f>
        <v>0</v>
      </c>
      <c r="E255" s="1">
        <v>45179</v>
      </c>
      <c r="F255" s="2">
        <f>SUMIFS(Timesheet!$F$13:$F$11483,Timesheet!$A$13:$A$11483,'Início|Fim 1'!E255,Timesheet!$C$13:$C$11483,'Início|Fim 1'!$F$2)</f>
        <v>0</v>
      </c>
      <c r="G255" s="2">
        <f>SUMIFS(Timesheet!$F$13:$F$11483,Timesheet!$A$13:$A$11483,'Início|Fim 1'!E255,Timesheet!$C$13:$C$11483,'Início|Fim 1'!$G$2)</f>
        <v>0</v>
      </c>
      <c r="H255" s="2">
        <f>SUMIFS(Timesheet!$F$13:$F$11483,Timesheet!$A$13:$A$11483,'Início|Fim 1'!E255,Timesheet!$C$13:$C$11483,'Início|Fim 1'!$H$2)</f>
        <v>0</v>
      </c>
      <c r="I255" s="2">
        <f>SUMIFS(Timesheet!$F$13:$F$11483,Timesheet!$A$13:$A$11483,'Início|Fim 1'!E255,Timesheet!$C$13:$C$11483,'Início|Fim 1'!$I$2)</f>
        <v>0</v>
      </c>
      <c r="J255" s="2">
        <f>SUMIFS(Timesheet!$F$13:$F$11483,Timesheet!$A$13:$A$11483,'Início|Fim 1'!E255,Timesheet!$C$13:$C$11483,'Início|Fim 1'!$J$2)</f>
        <v>0</v>
      </c>
      <c r="K255" s="2">
        <f>SUMIFS(Timesheet!$F$13:$F$11483,Timesheet!$A$13:$A$11483,'Início|Fim 1'!E255,Timesheet!$C$13:$C$11483,'Início|Fim 1'!$K$2)</f>
        <v>0</v>
      </c>
      <c r="L255" s="2">
        <f>SUMIFS(Timesheet!$F$13:$F$11483,Timesheet!$A$13:$A$11483,'Início|Fim 1'!E255,Timesheet!$C$13:$C$11483,'Início|Fim 1'!$L$2)</f>
        <v>0</v>
      </c>
      <c r="M255" s="2">
        <f>SUMIFS(Timesheet!$F$13:$F$11483,Timesheet!$A$13:$A$11483,'Início|Fim 1'!E255,Timesheet!$C$13:$C$11483,'Início|Fim 1'!$M$2)</f>
        <v>0</v>
      </c>
      <c r="N255" s="2">
        <f>SUMIFS(Timesheet!$F$13:$F$11483,Timesheet!$A$13:$A$11483,'Início|Fim 1'!E255,Timesheet!$C$13:$C$11483,'Início|Fim 1'!$N$2)</f>
        <v>0</v>
      </c>
      <c r="O255" s="2">
        <f t="shared" si="3"/>
        <v>0</v>
      </c>
    </row>
    <row r="256" spans="1:15" x14ac:dyDescent="0.25">
      <c r="A256" s="1">
        <v>45180</v>
      </c>
      <c r="B256" s="3">
        <f t="array" ref="B256">MIN(IF(A256=Timesheet!$A$13:$A$2615,Timesheet!$D$13:$D$2615))</f>
        <v>0</v>
      </c>
      <c r="C256" s="3">
        <f t="array" ref="C256">MAX(IF(A256=Timesheet!$A$13:$A$2615,Timesheet!$E$13:$E$2615))</f>
        <v>0</v>
      </c>
      <c r="E256" s="1">
        <v>45180</v>
      </c>
      <c r="F256" s="2">
        <f>SUMIFS(Timesheet!$F$13:$F$11483,Timesheet!$A$13:$A$11483,'Início|Fim 1'!E256,Timesheet!$C$13:$C$11483,'Início|Fim 1'!$F$2)</f>
        <v>0</v>
      </c>
      <c r="G256" s="2">
        <f>SUMIFS(Timesheet!$F$13:$F$11483,Timesheet!$A$13:$A$11483,'Início|Fim 1'!E256,Timesheet!$C$13:$C$11483,'Início|Fim 1'!$G$2)</f>
        <v>0</v>
      </c>
      <c r="H256" s="2">
        <f>SUMIFS(Timesheet!$F$13:$F$11483,Timesheet!$A$13:$A$11483,'Início|Fim 1'!E256,Timesheet!$C$13:$C$11483,'Início|Fim 1'!$H$2)</f>
        <v>0</v>
      </c>
      <c r="I256" s="2">
        <f>SUMIFS(Timesheet!$F$13:$F$11483,Timesheet!$A$13:$A$11483,'Início|Fim 1'!E256,Timesheet!$C$13:$C$11483,'Início|Fim 1'!$I$2)</f>
        <v>0</v>
      </c>
      <c r="J256" s="2">
        <f>SUMIFS(Timesheet!$F$13:$F$11483,Timesheet!$A$13:$A$11483,'Início|Fim 1'!E256,Timesheet!$C$13:$C$11483,'Início|Fim 1'!$J$2)</f>
        <v>0</v>
      </c>
      <c r="K256" s="2">
        <f>SUMIFS(Timesheet!$F$13:$F$11483,Timesheet!$A$13:$A$11483,'Início|Fim 1'!E256,Timesheet!$C$13:$C$11483,'Início|Fim 1'!$K$2)</f>
        <v>0</v>
      </c>
      <c r="L256" s="2">
        <f>SUMIFS(Timesheet!$F$13:$F$11483,Timesheet!$A$13:$A$11483,'Início|Fim 1'!E256,Timesheet!$C$13:$C$11483,'Início|Fim 1'!$L$2)</f>
        <v>0</v>
      </c>
      <c r="M256" s="2">
        <f>SUMIFS(Timesheet!$F$13:$F$11483,Timesheet!$A$13:$A$11483,'Início|Fim 1'!E256,Timesheet!$C$13:$C$11483,'Início|Fim 1'!$M$2)</f>
        <v>0</v>
      </c>
      <c r="N256" s="2">
        <f>SUMIFS(Timesheet!$F$13:$F$11483,Timesheet!$A$13:$A$11483,'Início|Fim 1'!E256,Timesheet!$C$13:$C$11483,'Início|Fim 1'!$N$2)</f>
        <v>0</v>
      </c>
      <c r="O256" s="2">
        <f t="shared" si="3"/>
        <v>0</v>
      </c>
    </row>
    <row r="257" spans="1:15" x14ac:dyDescent="0.25">
      <c r="A257" s="1">
        <v>45181</v>
      </c>
      <c r="B257" s="3">
        <f t="array" ref="B257">MIN(IF(A257=Timesheet!$A$13:$A$2615,Timesheet!$D$13:$D$2615))</f>
        <v>0</v>
      </c>
      <c r="C257" s="3">
        <f t="array" ref="C257">MAX(IF(A257=Timesheet!$A$13:$A$2615,Timesheet!$E$13:$E$2615))</f>
        <v>0</v>
      </c>
      <c r="E257" s="1">
        <v>45181</v>
      </c>
      <c r="F257" s="2">
        <f>SUMIFS(Timesheet!$F$13:$F$11483,Timesheet!$A$13:$A$11483,'Início|Fim 1'!E257,Timesheet!$C$13:$C$11483,'Início|Fim 1'!$F$2)</f>
        <v>0</v>
      </c>
      <c r="G257" s="2">
        <f>SUMIFS(Timesheet!$F$13:$F$11483,Timesheet!$A$13:$A$11483,'Início|Fim 1'!E257,Timesheet!$C$13:$C$11483,'Início|Fim 1'!$G$2)</f>
        <v>0</v>
      </c>
      <c r="H257" s="2">
        <f>SUMIFS(Timesheet!$F$13:$F$11483,Timesheet!$A$13:$A$11483,'Início|Fim 1'!E257,Timesheet!$C$13:$C$11483,'Início|Fim 1'!$H$2)</f>
        <v>0</v>
      </c>
      <c r="I257" s="2">
        <f>SUMIFS(Timesheet!$F$13:$F$11483,Timesheet!$A$13:$A$11483,'Início|Fim 1'!E257,Timesheet!$C$13:$C$11483,'Início|Fim 1'!$I$2)</f>
        <v>0</v>
      </c>
      <c r="J257" s="2">
        <f>SUMIFS(Timesheet!$F$13:$F$11483,Timesheet!$A$13:$A$11483,'Início|Fim 1'!E257,Timesheet!$C$13:$C$11483,'Início|Fim 1'!$J$2)</f>
        <v>0</v>
      </c>
      <c r="K257" s="2">
        <f>SUMIFS(Timesheet!$F$13:$F$11483,Timesheet!$A$13:$A$11483,'Início|Fim 1'!E257,Timesheet!$C$13:$C$11483,'Início|Fim 1'!$K$2)</f>
        <v>0</v>
      </c>
      <c r="L257" s="2">
        <f>SUMIFS(Timesheet!$F$13:$F$11483,Timesheet!$A$13:$A$11483,'Início|Fim 1'!E257,Timesheet!$C$13:$C$11483,'Início|Fim 1'!$L$2)</f>
        <v>0</v>
      </c>
      <c r="M257" s="2">
        <f>SUMIFS(Timesheet!$F$13:$F$11483,Timesheet!$A$13:$A$11483,'Início|Fim 1'!E257,Timesheet!$C$13:$C$11483,'Início|Fim 1'!$M$2)</f>
        <v>0</v>
      </c>
      <c r="N257" s="2">
        <f>SUMIFS(Timesheet!$F$13:$F$11483,Timesheet!$A$13:$A$11483,'Início|Fim 1'!E257,Timesheet!$C$13:$C$11483,'Início|Fim 1'!$N$2)</f>
        <v>0</v>
      </c>
      <c r="O257" s="2">
        <f t="shared" si="3"/>
        <v>0</v>
      </c>
    </row>
    <row r="258" spans="1:15" x14ac:dyDescent="0.25">
      <c r="A258" s="1">
        <v>45182</v>
      </c>
      <c r="B258" s="3">
        <f t="array" ref="B258">MIN(IF(A258=Timesheet!$A$13:$A$2615,Timesheet!$D$13:$D$2615))</f>
        <v>0</v>
      </c>
      <c r="C258" s="3">
        <f t="array" ref="C258">MAX(IF(A258=Timesheet!$A$13:$A$2615,Timesheet!$E$13:$E$2615))</f>
        <v>0</v>
      </c>
      <c r="E258" s="1">
        <v>45182</v>
      </c>
      <c r="F258" s="2">
        <f>SUMIFS(Timesheet!$F$13:$F$11483,Timesheet!$A$13:$A$11483,'Início|Fim 1'!E258,Timesheet!$C$13:$C$11483,'Início|Fim 1'!$F$2)</f>
        <v>0</v>
      </c>
      <c r="G258" s="2">
        <f>SUMIFS(Timesheet!$F$13:$F$11483,Timesheet!$A$13:$A$11483,'Início|Fim 1'!E258,Timesheet!$C$13:$C$11483,'Início|Fim 1'!$G$2)</f>
        <v>0</v>
      </c>
      <c r="H258" s="2">
        <f>SUMIFS(Timesheet!$F$13:$F$11483,Timesheet!$A$13:$A$11483,'Início|Fim 1'!E258,Timesheet!$C$13:$C$11483,'Início|Fim 1'!$H$2)</f>
        <v>0</v>
      </c>
      <c r="I258" s="2">
        <f>SUMIFS(Timesheet!$F$13:$F$11483,Timesheet!$A$13:$A$11483,'Início|Fim 1'!E258,Timesheet!$C$13:$C$11483,'Início|Fim 1'!$I$2)</f>
        <v>0</v>
      </c>
      <c r="J258" s="2">
        <f>SUMIFS(Timesheet!$F$13:$F$11483,Timesheet!$A$13:$A$11483,'Início|Fim 1'!E258,Timesheet!$C$13:$C$11483,'Início|Fim 1'!$J$2)</f>
        <v>0</v>
      </c>
      <c r="K258" s="2">
        <f>SUMIFS(Timesheet!$F$13:$F$11483,Timesheet!$A$13:$A$11483,'Início|Fim 1'!E258,Timesheet!$C$13:$C$11483,'Início|Fim 1'!$K$2)</f>
        <v>0</v>
      </c>
      <c r="L258" s="2">
        <f>SUMIFS(Timesheet!$F$13:$F$11483,Timesheet!$A$13:$A$11483,'Início|Fim 1'!E258,Timesheet!$C$13:$C$11483,'Início|Fim 1'!$L$2)</f>
        <v>0</v>
      </c>
      <c r="M258" s="2">
        <f>SUMIFS(Timesheet!$F$13:$F$11483,Timesheet!$A$13:$A$11483,'Início|Fim 1'!E258,Timesheet!$C$13:$C$11483,'Início|Fim 1'!$M$2)</f>
        <v>0</v>
      </c>
      <c r="N258" s="2">
        <f>SUMIFS(Timesheet!$F$13:$F$11483,Timesheet!$A$13:$A$11483,'Início|Fim 1'!E258,Timesheet!$C$13:$C$11483,'Início|Fim 1'!$N$2)</f>
        <v>0</v>
      </c>
      <c r="O258" s="2">
        <f t="shared" si="3"/>
        <v>0</v>
      </c>
    </row>
    <row r="259" spans="1:15" x14ac:dyDescent="0.25">
      <c r="A259" s="1">
        <v>45183</v>
      </c>
      <c r="B259" s="3">
        <f t="array" ref="B259">MIN(IF(A259=Timesheet!$A$13:$A$2615,Timesheet!$D$13:$D$2615))</f>
        <v>0</v>
      </c>
      <c r="C259" s="3">
        <f t="array" ref="C259">MAX(IF(A259=Timesheet!$A$13:$A$2615,Timesheet!$E$13:$E$2615))</f>
        <v>0</v>
      </c>
      <c r="E259" s="1">
        <v>45183</v>
      </c>
      <c r="F259" s="2">
        <f>SUMIFS(Timesheet!$F$13:$F$11483,Timesheet!$A$13:$A$11483,'Início|Fim 1'!E259,Timesheet!$C$13:$C$11483,'Início|Fim 1'!$F$2)</f>
        <v>0</v>
      </c>
      <c r="G259" s="2">
        <f>SUMIFS(Timesheet!$F$13:$F$11483,Timesheet!$A$13:$A$11483,'Início|Fim 1'!E259,Timesheet!$C$13:$C$11483,'Início|Fim 1'!$G$2)</f>
        <v>0</v>
      </c>
      <c r="H259" s="2">
        <f>SUMIFS(Timesheet!$F$13:$F$11483,Timesheet!$A$13:$A$11483,'Início|Fim 1'!E259,Timesheet!$C$13:$C$11483,'Início|Fim 1'!$H$2)</f>
        <v>0</v>
      </c>
      <c r="I259" s="2">
        <f>SUMIFS(Timesheet!$F$13:$F$11483,Timesheet!$A$13:$A$11483,'Início|Fim 1'!E259,Timesheet!$C$13:$C$11483,'Início|Fim 1'!$I$2)</f>
        <v>0</v>
      </c>
      <c r="J259" s="2">
        <f>SUMIFS(Timesheet!$F$13:$F$11483,Timesheet!$A$13:$A$11483,'Início|Fim 1'!E259,Timesheet!$C$13:$C$11483,'Início|Fim 1'!$J$2)</f>
        <v>0</v>
      </c>
      <c r="K259" s="2">
        <f>SUMIFS(Timesheet!$F$13:$F$11483,Timesheet!$A$13:$A$11483,'Início|Fim 1'!E259,Timesheet!$C$13:$C$11483,'Início|Fim 1'!$K$2)</f>
        <v>0</v>
      </c>
      <c r="L259" s="2">
        <f>SUMIFS(Timesheet!$F$13:$F$11483,Timesheet!$A$13:$A$11483,'Início|Fim 1'!E259,Timesheet!$C$13:$C$11483,'Início|Fim 1'!$L$2)</f>
        <v>0</v>
      </c>
      <c r="M259" s="2">
        <f>SUMIFS(Timesheet!$F$13:$F$11483,Timesheet!$A$13:$A$11483,'Início|Fim 1'!E259,Timesheet!$C$13:$C$11483,'Início|Fim 1'!$M$2)</f>
        <v>0</v>
      </c>
      <c r="N259" s="2">
        <f>SUMIFS(Timesheet!$F$13:$F$11483,Timesheet!$A$13:$A$11483,'Início|Fim 1'!E259,Timesheet!$C$13:$C$11483,'Início|Fim 1'!$N$2)</f>
        <v>0</v>
      </c>
      <c r="O259" s="2">
        <f t="shared" ref="O259:O322" si="4">SUM(F259:K259)</f>
        <v>0</v>
      </c>
    </row>
    <row r="260" spans="1:15" x14ac:dyDescent="0.25">
      <c r="A260" s="1">
        <v>45184</v>
      </c>
      <c r="B260" s="3">
        <f t="array" ref="B260">MIN(IF(A260=Timesheet!$A$13:$A$2615,Timesheet!$D$13:$D$2615))</f>
        <v>0</v>
      </c>
      <c r="C260" s="3">
        <f t="array" ref="C260">MAX(IF(A260=Timesheet!$A$13:$A$2615,Timesheet!$E$13:$E$2615))</f>
        <v>0</v>
      </c>
      <c r="E260" s="1">
        <v>45184</v>
      </c>
      <c r="F260" s="2">
        <f>SUMIFS(Timesheet!$F$13:$F$11483,Timesheet!$A$13:$A$11483,'Início|Fim 1'!E260,Timesheet!$C$13:$C$11483,'Início|Fim 1'!$F$2)</f>
        <v>0</v>
      </c>
      <c r="G260" s="2">
        <f>SUMIFS(Timesheet!$F$13:$F$11483,Timesheet!$A$13:$A$11483,'Início|Fim 1'!E260,Timesheet!$C$13:$C$11483,'Início|Fim 1'!$G$2)</f>
        <v>0</v>
      </c>
      <c r="H260" s="2">
        <f>SUMIFS(Timesheet!$F$13:$F$11483,Timesheet!$A$13:$A$11483,'Início|Fim 1'!E260,Timesheet!$C$13:$C$11483,'Início|Fim 1'!$H$2)</f>
        <v>0</v>
      </c>
      <c r="I260" s="2">
        <f>SUMIFS(Timesheet!$F$13:$F$11483,Timesheet!$A$13:$A$11483,'Início|Fim 1'!E260,Timesheet!$C$13:$C$11483,'Início|Fim 1'!$I$2)</f>
        <v>0</v>
      </c>
      <c r="J260" s="2">
        <f>SUMIFS(Timesheet!$F$13:$F$11483,Timesheet!$A$13:$A$11483,'Início|Fim 1'!E260,Timesheet!$C$13:$C$11483,'Início|Fim 1'!$J$2)</f>
        <v>0</v>
      </c>
      <c r="K260" s="2">
        <f>SUMIFS(Timesheet!$F$13:$F$11483,Timesheet!$A$13:$A$11483,'Início|Fim 1'!E260,Timesheet!$C$13:$C$11483,'Início|Fim 1'!$K$2)</f>
        <v>0</v>
      </c>
      <c r="L260" s="2">
        <f>SUMIFS(Timesheet!$F$13:$F$11483,Timesheet!$A$13:$A$11483,'Início|Fim 1'!E260,Timesheet!$C$13:$C$11483,'Início|Fim 1'!$L$2)</f>
        <v>0</v>
      </c>
      <c r="M260" s="2">
        <f>SUMIFS(Timesheet!$F$13:$F$11483,Timesheet!$A$13:$A$11483,'Início|Fim 1'!E260,Timesheet!$C$13:$C$11483,'Início|Fim 1'!$M$2)</f>
        <v>0</v>
      </c>
      <c r="N260" s="2">
        <f>SUMIFS(Timesheet!$F$13:$F$11483,Timesheet!$A$13:$A$11483,'Início|Fim 1'!E260,Timesheet!$C$13:$C$11483,'Início|Fim 1'!$N$2)</f>
        <v>0</v>
      </c>
      <c r="O260" s="2">
        <f t="shared" si="4"/>
        <v>0</v>
      </c>
    </row>
    <row r="261" spans="1:15" x14ac:dyDescent="0.25">
      <c r="A261" s="1">
        <v>45185</v>
      </c>
      <c r="B261" s="3">
        <f t="array" ref="B261">MIN(IF(A261=Timesheet!$A$13:$A$2615,Timesheet!$D$13:$D$2615))</f>
        <v>0</v>
      </c>
      <c r="C261" s="3">
        <f t="array" ref="C261">MAX(IF(A261=Timesheet!$A$13:$A$2615,Timesheet!$E$13:$E$2615))</f>
        <v>0</v>
      </c>
      <c r="E261" s="1">
        <v>45185</v>
      </c>
      <c r="F261" s="2">
        <f>SUMIFS(Timesheet!$F$13:$F$11483,Timesheet!$A$13:$A$11483,'Início|Fim 1'!E261,Timesheet!$C$13:$C$11483,'Início|Fim 1'!$F$2)</f>
        <v>0</v>
      </c>
      <c r="G261" s="2">
        <f>SUMIFS(Timesheet!$F$13:$F$11483,Timesheet!$A$13:$A$11483,'Início|Fim 1'!E261,Timesheet!$C$13:$C$11483,'Início|Fim 1'!$G$2)</f>
        <v>0</v>
      </c>
      <c r="H261" s="2">
        <f>SUMIFS(Timesheet!$F$13:$F$11483,Timesheet!$A$13:$A$11483,'Início|Fim 1'!E261,Timesheet!$C$13:$C$11483,'Início|Fim 1'!$H$2)</f>
        <v>0</v>
      </c>
      <c r="I261" s="2">
        <f>SUMIFS(Timesheet!$F$13:$F$11483,Timesheet!$A$13:$A$11483,'Início|Fim 1'!E261,Timesheet!$C$13:$C$11483,'Início|Fim 1'!$I$2)</f>
        <v>0</v>
      </c>
      <c r="J261" s="2">
        <f>SUMIFS(Timesheet!$F$13:$F$11483,Timesheet!$A$13:$A$11483,'Início|Fim 1'!E261,Timesheet!$C$13:$C$11483,'Início|Fim 1'!$J$2)</f>
        <v>0</v>
      </c>
      <c r="K261" s="2">
        <f>SUMIFS(Timesheet!$F$13:$F$11483,Timesheet!$A$13:$A$11483,'Início|Fim 1'!E261,Timesheet!$C$13:$C$11483,'Início|Fim 1'!$K$2)</f>
        <v>0</v>
      </c>
      <c r="L261" s="2">
        <f>SUMIFS(Timesheet!$F$13:$F$11483,Timesheet!$A$13:$A$11483,'Início|Fim 1'!E261,Timesheet!$C$13:$C$11483,'Início|Fim 1'!$L$2)</f>
        <v>0</v>
      </c>
      <c r="M261" s="2">
        <f>SUMIFS(Timesheet!$F$13:$F$11483,Timesheet!$A$13:$A$11483,'Início|Fim 1'!E261,Timesheet!$C$13:$C$11483,'Início|Fim 1'!$M$2)</f>
        <v>0</v>
      </c>
      <c r="N261" s="2">
        <f>SUMIFS(Timesheet!$F$13:$F$11483,Timesheet!$A$13:$A$11483,'Início|Fim 1'!E261,Timesheet!$C$13:$C$11483,'Início|Fim 1'!$N$2)</f>
        <v>0</v>
      </c>
      <c r="O261" s="2">
        <f t="shared" si="4"/>
        <v>0</v>
      </c>
    </row>
    <row r="262" spans="1:15" x14ac:dyDescent="0.25">
      <c r="A262" s="1">
        <v>45186</v>
      </c>
      <c r="B262" s="3">
        <f t="array" ref="B262">MIN(IF(A262=Timesheet!$A$13:$A$2615,Timesheet!$D$13:$D$2615))</f>
        <v>0</v>
      </c>
      <c r="C262" s="3">
        <f t="array" ref="C262">MAX(IF(A262=Timesheet!$A$13:$A$2615,Timesheet!$E$13:$E$2615))</f>
        <v>0</v>
      </c>
      <c r="E262" s="1">
        <v>45186</v>
      </c>
      <c r="F262" s="2">
        <f>SUMIFS(Timesheet!$F$13:$F$11483,Timesheet!$A$13:$A$11483,'Início|Fim 1'!E262,Timesheet!$C$13:$C$11483,'Início|Fim 1'!$F$2)</f>
        <v>0</v>
      </c>
      <c r="G262" s="2">
        <f>SUMIFS(Timesheet!$F$13:$F$11483,Timesheet!$A$13:$A$11483,'Início|Fim 1'!E262,Timesheet!$C$13:$C$11483,'Início|Fim 1'!$G$2)</f>
        <v>0</v>
      </c>
      <c r="H262" s="2">
        <f>SUMIFS(Timesheet!$F$13:$F$11483,Timesheet!$A$13:$A$11483,'Início|Fim 1'!E262,Timesheet!$C$13:$C$11483,'Início|Fim 1'!$H$2)</f>
        <v>0</v>
      </c>
      <c r="I262" s="2">
        <f>SUMIFS(Timesheet!$F$13:$F$11483,Timesheet!$A$13:$A$11483,'Início|Fim 1'!E262,Timesheet!$C$13:$C$11483,'Início|Fim 1'!$I$2)</f>
        <v>0</v>
      </c>
      <c r="J262" s="2">
        <f>SUMIFS(Timesheet!$F$13:$F$11483,Timesheet!$A$13:$A$11483,'Início|Fim 1'!E262,Timesheet!$C$13:$C$11483,'Início|Fim 1'!$J$2)</f>
        <v>0</v>
      </c>
      <c r="K262" s="2">
        <f>SUMIFS(Timesheet!$F$13:$F$11483,Timesheet!$A$13:$A$11483,'Início|Fim 1'!E262,Timesheet!$C$13:$C$11483,'Início|Fim 1'!$K$2)</f>
        <v>0</v>
      </c>
      <c r="L262" s="2">
        <f>SUMIFS(Timesheet!$F$13:$F$11483,Timesheet!$A$13:$A$11483,'Início|Fim 1'!E262,Timesheet!$C$13:$C$11483,'Início|Fim 1'!$L$2)</f>
        <v>0</v>
      </c>
      <c r="M262" s="2">
        <f>SUMIFS(Timesheet!$F$13:$F$11483,Timesheet!$A$13:$A$11483,'Início|Fim 1'!E262,Timesheet!$C$13:$C$11483,'Início|Fim 1'!$M$2)</f>
        <v>0</v>
      </c>
      <c r="N262" s="2">
        <f>SUMIFS(Timesheet!$F$13:$F$11483,Timesheet!$A$13:$A$11483,'Início|Fim 1'!E262,Timesheet!$C$13:$C$11483,'Início|Fim 1'!$N$2)</f>
        <v>0</v>
      </c>
      <c r="O262" s="2">
        <f t="shared" si="4"/>
        <v>0</v>
      </c>
    </row>
    <row r="263" spans="1:15" x14ac:dyDescent="0.25">
      <c r="A263" s="1">
        <v>45187</v>
      </c>
      <c r="B263" s="3">
        <f t="array" ref="B263">MIN(IF(A263=Timesheet!$A$13:$A$2615,Timesheet!$D$13:$D$2615))</f>
        <v>0</v>
      </c>
      <c r="C263" s="3">
        <f t="array" ref="C263">MAX(IF(A263=Timesheet!$A$13:$A$2615,Timesheet!$E$13:$E$2615))</f>
        <v>0</v>
      </c>
      <c r="E263" s="1">
        <v>45187</v>
      </c>
      <c r="F263" s="2">
        <f>SUMIFS(Timesheet!$F$13:$F$11483,Timesheet!$A$13:$A$11483,'Início|Fim 1'!E263,Timesheet!$C$13:$C$11483,'Início|Fim 1'!$F$2)</f>
        <v>0</v>
      </c>
      <c r="G263" s="2">
        <f>SUMIFS(Timesheet!$F$13:$F$11483,Timesheet!$A$13:$A$11483,'Início|Fim 1'!E263,Timesheet!$C$13:$C$11483,'Início|Fim 1'!$G$2)</f>
        <v>0</v>
      </c>
      <c r="H263" s="2">
        <f>SUMIFS(Timesheet!$F$13:$F$11483,Timesheet!$A$13:$A$11483,'Início|Fim 1'!E263,Timesheet!$C$13:$C$11483,'Início|Fim 1'!$H$2)</f>
        <v>0</v>
      </c>
      <c r="I263" s="2">
        <f>SUMIFS(Timesheet!$F$13:$F$11483,Timesheet!$A$13:$A$11483,'Início|Fim 1'!E263,Timesheet!$C$13:$C$11483,'Início|Fim 1'!$I$2)</f>
        <v>0</v>
      </c>
      <c r="J263" s="2">
        <f>SUMIFS(Timesheet!$F$13:$F$11483,Timesheet!$A$13:$A$11483,'Início|Fim 1'!E263,Timesheet!$C$13:$C$11483,'Início|Fim 1'!$J$2)</f>
        <v>0</v>
      </c>
      <c r="K263" s="2">
        <f>SUMIFS(Timesheet!$F$13:$F$11483,Timesheet!$A$13:$A$11483,'Início|Fim 1'!E263,Timesheet!$C$13:$C$11483,'Início|Fim 1'!$K$2)</f>
        <v>0</v>
      </c>
      <c r="L263" s="2">
        <f>SUMIFS(Timesheet!$F$13:$F$11483,Timesheet!$A$13:$A$11483,'Início|Fim 1'!E263,Timesheet!$C$13:$C$11483,'Início|Fim 1'!$L$2)</f>
        <v>0</v>
      </c>
      <c r="M263" s="2">
        <f>SUMIFS(Timesheet!$F$13:$F$11483,Timesheet!$A$13:$A$11483,'Início|Fim 1'!E263,Timesheet!$C$13:$C$11483,'Início|Fim 1'!$M$2)</f>
        <v>0</v>
      </c>
      <c r="N263" s="2">
        <f>SUMIFS(Timesheet!$F$13:$F$11483,Timesheet!$A$13:$A$11483,'Início|Fim 1'!E263,Timesheet!$C$13:$C$11483,'Início|Fim 1'!$N$2)</f>
        <v>0</v>
      </c>
      <c r="O263" s="2">
        <f t="shared" si="4"/>
        <v>0</v>
      </c>
    </row>
    <row r="264" spans="1:15" x14ac:dyDescent="0.25">
      <c r="A264" s="1">
        <v>45188</v>
      </c>
      <c r="B264" s="3">
        <f t="array" ref="B264">MIN(IF(A264=Timesheet!$A$13:$A$2615,Timesheet!$D$13:$D$2615))</f>
        <v>0</v>
      </c>
      <c r="C264" s="3">
        <f t="array" ref="C264">MAX(IF(A264=Timesheet!$A$13:$A$2615,Timesheet!$E$13:$E$2615))</f>
        <v>0</v>
      </c>
      <c r="E264" s="1">
        <v>45188</v>
      </c>
      <c r="F264" s="2">
        <f>SUMIFS(Timesheet!$F$13:$F$11483,Timesheet!$A$13:$A$11483,'Início|Fim 1'!E264,Timesheet!$C$13:$C$11483,'Início|Fim 1'!$F$2)</f>
        <v>0</v>
      </c>
      <c r="G264" s="2">
        <f>SUMIFS(Timesheet!$F$13:$F$11483,Timesheet!$A$13:$A$11483,'Início|Fim 1'!E264,Timesheet!$C$13:$C$11483,'Início|Fim 1'!$G$2)</f>
        <v>0</v>
      </c>
      <c r="H264" s="2">
        <f>SUMIFS(Timesheet!$F$13:$F$11483,Timesheet!$A$13:$A$11483,'Início|Fim 1'!E264,Timesheet!$C$13:$C$11483,'Início|Fim 1'!$H$2)</f>
        <v>0</v>
      </c>
      <c r="I264" s="2">
        <f>SUMIFS(Timesheet!$F$13:$F$11483,Timesheet!$A$13:$A$11483,'Início|Fim 1'!E264,Timesheet!$C$13:$C$11483,'Início|Fim 1'!$I$2)</f>
        <v>0</v>
      </c>
      <c r="J264" s="2">
        <f>SUMIFS(Timesheet!$F$13:$F$11483,Timesheet!$A$13:$A$11483,'Início|Fim 1'!E264,Timesheet!$C$13:$C$11483,'Início|Fim 1'!$J$2)</f>
        <v>0</v>
      </c>
      <c r="K264" s="2">
        <f>SUMIFS(Timesheet!$F$13:$F$11483,Timesheet!$A$13:$A$11483,'Início|Fim 1'!E264,Timesheet!$C$13:$C$11483,'Início|Fim 1'!$K$2)</f>
        <v>0</v>
      </c>
      <c r="L264" s="2">
        <f>SUMIFS(Timesheet!$F$13:$F$11483,Timesheet!$A$13:$A$11483,'Início|Fim 1'!E264,Timesheet!$C$13:$C$11483,'Início|Fim 1'!$L$2)</f>
        <v>0</v>
      </c>
      <c r="M264" s="2">
        <f>SUMIFS(Timesheet!$F$13:$F$11483,Timesheet!$A$13:$A$11483,'Início|Fim 1'!E264,Timesheet!$C$13:$C$11483,'Início|Fim 1'!$M$2)</f>
        <v>0</v>
      </c>
      <c r="N264" s="2">
        <f>SUMIFS(Timesheet!$F$13:$F$11483,Timesheet!$A$13:$A$11483,'Início|Fim 1'!E264,Timesheet!$C$13:$C$11483,'Início|Fim 1'!$N$2)</f>
        <v>0</v>
      </c>
      <c r="O264" s="2">
        <f t="shared" si="4"/>
        <v>0</v>
      </c>
    </row>
    <row r="265" spans="1:15" x14ac:dyDescent="0.25">
      <c r="A265" s="1">
        <v>45189</v>
      </c>
      <c r="B265" s="3">
        <f t="array" ref="B265">MIN(IF(A265=Timesheet!$A$13:$A$2615,Timesheet!$D$13:$D$2615))</f>
        <v>0</v>
      </c>
      <c r="C265" s="3">
        <f t="array" ref="C265">MAX(IF(A265=Timesheet!$A$13:$A$2615,Timesheet!$E$13:$E$2615))</f>
        <v>0</v>
      </c>
      <c r="E265" s="1">
        <v>45189</v>
      </c>
      <c r="F265" s="2">
        <f>SUMIFS(Timesheet!$F$13:$F$11483,Timesheet!$A$13:$A$11483,'Início|Fim 1'!E265,Timesheet!$C$13:$C$11483,'Início|Fim 1'!$F$2)</f>
        <v>0</v>
      </c>
      <c r="G265" s="2">
        <f>SUMIFS(Timesheet!$F$13:$F$11483,Timesheet!$A$13:$A$11483,'Início|Fim 1'!E265,Timesheet!$C$13:$C$11483,'Início|Fim 1'!$G$2)</f>
        <v>0</v>
      </c>
      <c r="H265" s="2">
        <f>SUMIFS(Timesheet!$F$13:$F$11483,Timesheet!$A$13:$A$11483,'Início|Fim 1'!E265,Timesheet!$C$13:$C$11483,'Início|Fim 1'!$H$2)</f>
        <v>0</v>
      </c>
      <c r="I265" s="2">
        <f>SUMIFS(Timesheet!$F$13:$F$11483,Timesheet!$A$13:$A$11483,'Início|Fim 1'!E265,Timesheet!$C$13:$C$11483,'Início|Fim 1'!$I$2)</f>
        <v>0</v>
      </c>
      <c r="J265" s="2">
        <f>SUMIFS(Timesheet!$F$13:$F$11483,Timesheet!$A$13:$A$11483,'Início|Fim 1'!E265,Timesheet!$C$13:$C$11483,'Início|Fim 1'!$J$2)</f>
        <v>0</v>
      </c>
      <c r="K265" s="2">
        <f>SUMIFS(Timesheet!$F$13:$F$11483,Timesheet!$A$13:$A$11483,'Início|Fim 1'!E265,Timesheet!$C$13:$C$11483,'Início|Fim 1'!$K$2)</f>
        <v>0</v>
      </c>
      <c r="L265" s="2">
        <f>SUMIFS(Timesheet!$F$13:$F$11483,Timesheet!$A$13:$A$11483,'Início|Fim 1'!E265,Timesheet!$C$13:$C$11483,'Início|Fim 1'!$L$2)</f>
        <v>0</v>
      </c>
      <c r="M265" s="2">
        <f>SUMIFS(Timesheet!$F$13:$F$11483,Timesheet!$A$13:$A$11483,'Início|Fim 1'!E265,Timesheet!$C$13:$C$11483,'Início|Fim 1'!$M$2)</f>
        <v>0</v>
      </c>
      <c r="N265" s="2">
        <f>SUMIFS(Timesheet!$F$13:$F$11483,Timesheet!$A$13:$A$11483,'Início|Fim 1'!E265,Timesheet!$C$13:$C$11483,'Início|Fim 1'!$N$2)</f>
        <v>0</v>
      </c>
      <c r="O265" s="2">
        <f t="shared" si="4"/>
        <v>0</v>
      </c>
    </row>
    <row r="266" spans="1:15" x14ac:dyDescent="0.25">
      <c r="A266" s="1">
        <v>45190</v>
      </c>
      <c r="B266" s="3">
        <f t="array" ref="B266">MIN(IF(A266=Timesheet!$A$13:$A$2615,Timesheet!$D$13:$D$2615))</f>
        <v>0</v>
      </c>
      <c r="C266" s="3">
        <f t="array" ref="C266">MAX(IF(A266=Timesheet!$A$13:$A$2615,Timesheet!$E$13:$E$2615))</f>
        <v>0</v>
      </c>
      <c r="E266" s="1">
        <v>45190</v>
      </c>
      <c r="F266" s="2">
        <f>SUMIFS(Timesheet!$F$13:$F$11483,Timesheet!$A$13:$A$11483,'Início|Fim 1'!E266,Timesheet!$C$13:$C$11483,'Início|Fim 1'!$F$2)</f>
        <v>0</v>
      </c>
      <c r="G266" s="2">
        <f>SUMIFS(Timesheet!$F$13:$F$11483,Timesheet!$A$13:$A$11483,'Início|Fim 1'!E266,Timesheet!$C$13:$C$11483,'Início|Fim 1'!$G$2)</f>
        <v>0</v>
      </c>
      <c r="H266" s="2">
        <f>SUMIFS(Timesheet!$F$13:$F$11483,Timesheet!$A$13:$A$11483,'Início|Fim 1'!E266,Timesheet!$C$13:$C$11483,'Início|Fim 1'!$H$2)</f>
        <v>0</v>
      </c>
      <c r="I266" s="2">
        <f>SUMIFS(Timesheet!$F$13:$F$11483,Timesheet!$A$13:$A$11483,'Início|Fim 1'!E266,Timesheet!$C$13:$C$11483,'Início|Fim 1'!$I$2)</f>
        <v>0</v>
      </c>
      <c r="J266" s="2">
        <f>SUMIFS(Timesheet!$F$13:$F$11483,Timesheet!$A$13:$A$11483,'Início|Fim 1'!E266,Timesheet!$C$13:$C$11483,'Início|Fim 1'!$J$2)</f>
        <v>0</v>
      </c>
      <c r="K266" s="2">
        <f>SUMIFS(Timesheet!$F$13:$F$11483,Timesheet!$A$13:$A$11483,'Início|Fim 1'!E266,Timesheet!$C$13:$C$11483,'Início|Fim 1'!$K$2)</f>
        <v>0</v>
      </c>
      <c r="L266" s="2">
        <f>SUMIFS(Timesheet!$F$13:$F$11483,Timesheet!$A$13:$A$11483,'Início|Fim 1'!E266,Timesheet!$C$13:$C$11483,'Início|Fim 1'!$L$2)</f>
        <v>0</v>
      </c>
      <c r="M266" s="2">
        <f>SUMIFS(Timesheet!$F$13:$F$11483,Timesheet!$A$13:$A$11483,'Início|Fim 1'!E266,Timesheet!$C$13:$C$11483,'Início|Fim 1'!$M$2)</f>
        <v>0</v>
      </c>
      <c r="N266" s="2">
        <f>SUMIFS(Timesheet!$F$13:$F$11483,Timesheet!$A$13:$A$11483,'Início|Fim 1'!E266,Timesheet!$C$13:$C$11483,'Início|Fim 1'!$N$2)</f>
        <v>0</v>
      </c>
      <c r="O266" s="2">
        <f t="shared" si="4"/>
        <v>0</v>
      </c>
    </row>
    <row r="267" spans="1:15" x14ac:dyDescent="0.25">
      <c r="A267" s="1">
        <v>45191</v>
      </c>
      <c r="B267" s="3">
        <f t="array" ref="B267">MIN(IF(A267=Timesheet!$A$13:$A$2615,Timesheet!$D$13:$D$2615))</f>
        <v>0</v>
      </c>
      <c r="C267" s="3">
        <f t="array" ref="C267">MAX(IF(A267=Timesheet!$A$13:$A$2615,Timesheet!$E$13:$E$2615))</f>
        <v>0</v>
      </c>
      <c r="E267" s="1">
        <v>45191</v>
      </c>
      <c r="F267" s="2">
        <f>SUMIFS(Timesheet!$F$13:$F$11483,Timesheet!$A$13:$A$11483,'Início|Fim 1'!E267,Timesheet!$C$13:$C$11483,'Início|Fim 1'!$F$2)</f>
        <v>0</v>
      </c>
      <c r="G267" s="2">
        <f>SUMIFS(Timesheet!$F$13:$F$11483,Timesheet!$A$13:$A$11483,'Início|Fim 1'!E267,Timesheet!$C$13:$C$11483,'Início|Fim 1'!$G$2)</f>
        <v>0</v>
      </c>
      <c r="H267" s="2">
        <f>SUMIFS(Timesheet!$F$13:$F$11483,Timesheet!$A$13:$A$11483,'Início|Fim 1'!E267,Timesheet!$C$13:$C$11483,'Início|Fim 1'!$H$2)</f>
        <v>0</v>
      </c>
      <c r="I267" s="2">
        <f>SUMIFS(Timesheet!$F$13:$F$11483,Timesheet!$A$13:$A$11483,'Início|Fim 1'!E267,Timesheet!$C$13:$C$11483,'Início|Fim 1'!$I$2)</f>
        <v>0</v>
      </c>
      <c r="J267" s="2">
        <f>SUMIFS(Timesheet!$F$13:$F$11483,Timesheet!$A$13:$A$11483,'Início|Fim 1'!E267,Timesheet!$C$13:$C$11483,'Início|Fim 1'!$J$2)</f>
        <v>0</v>
      </c>
      <c r="K267" s="2">
        <f>SUMIFS(Timesheet!$F$13:$F$11483,Timesheet!$A$13:$A$11483,'Início|Fim 1'!E267,Timesheet!$C$13:$C$11483,'Início|Fim 1'!$K$2)</f>
        <v>0</v>
      </c>
      <c r="L267" s="2">
        <f>SUMIFS(Timesheet!$F$13:$F$11483,Timesheet!$A$13:$A$11483,'Início|Fim 1'!E267,Timesheet!$C$13:$C$11483,'Início|Fim 1'!$L$2)</f>
        <v>0</v>
      </c>
      <c r="M267" s="2">
        <f>SUMIFS(Timesheet!$F$13:$F$11483,Timesheet!$A$13:$A$11483,'Início|Fim 1'!E267,Timesheet!$C$13:$C$11483,'Início|Fim 1'!$M$2)</f>
        <v>0</v>
      </c>
      <c r="N267" s="2">
        <f>SUMIFS(Timesheet!$F$13:$F$11483,Timesheet!$A$13:$A$11483,'Início|Fim 1'!E267,Timesheet!$C$13:$C$11483,'Início|Fim 1'!$N$2)</f>
        <v>0</v>
      </c>
      <c r="O267" s="2">
        <f t="shared" si="4"/>
        <v>0</v>
      </c>
    </row>
    <row r="268" spans="1:15" x14ac:dyDescent="0.25">
      <c r="A268" s="1">
        <v>45192</v>
      </c>
      <c r="B268" s="3">
        <f t="array" ref="B268">MIN(IF(A268=Timesheet!$A$13:$A$2615,Timesheet!$D$13:$D$2615))</f>
        <v>0</v>
      </c>
      <c r="C268" s="3">
        <f t="array" ref="C268">MAX(IF(A268=Timesheet!$A$13:$A$2615,Timesheet!$E$13:$E$2615))</f>
        <v>0</v>
      </c>
      <c r="E268" s="1">
        <v>45192</v>
      </c>
      <c r="F268" s="2">
        <f>SUMIFS(Timesheet!$F$13:$F$11483,Timesheet!$A$13:$A$11483,'Início|Fim 1'!E268,Timesheet!$C$13:$C$11483,'Início|Fim 1'!$F$2)</f>
        <v>0</v>
      </c>
      <c r="G268" s="2">
        <f>SUMIFS(Timesheet!$F$13:$F$11483,Timesheet!$A$13:$A$11483,'Início|Fim 1'!E268,Timesheet!$C$13:$C$11483,'Início|Fim 1'!$G$2)</f>
        <v>0</v>
      </c>
      <c r="H268" s="2">
        <f>SUMIFS(Timesheet!$F$13:$F$11483,Timesheet!$A$13:$A$11483,'Início|Fim 1'!E268,Timesheet!$C$13:$C$11483,'Início|Fim 1'!$H$2)</f>
        <v>0</v>
      </c>
      <c r="I268" s="2">
        <f>SUMIFS(Timesheet!$F$13:$F$11483,Timesheet!$A$13:$A$11483,'Início|Fim 1'!E268,Timesheet!$C$13:$C$11483,'Início|Fim 1'!$I$2)</f>
        <v>0</v>
      </c>
      <c r="J268" s="2">
        <f>SUMIFS(Timesheet!$F$13:$F$11483,Timesheet!$A$13:$A$11483,'Início|Fim 1'!E268,Timesheet!$C$13:$C$11483,'Início|Fim 1'!$J$2)</f>
        <v>0</v>
      </c>
      <c r="K268" s="2">
        <f>SUMIFS(Timesheet!$F$13:$F$11483,Timesheet!$A$13:$A$11483,'Início|Fim 1'!E268,Timesheet!$C$13:$C$11483,'Início|Fim 1'!$K$2)</f>
        <v>0</v>
      </c>
      <c r="L268" s="2">
        <f>SUMIFS(Timesheet!$F$13:$F$11483,Timesheet!$A$13:$A$11483,'Início|Fim 1'!E268,Timesheet!$C$13:$C$11483,'Início|Fim 1'!$L$2)</f>
        <v>0</v>
      </c>
      <c r="M268" s="2">
        <f>SUMIFS(Timesheet!$F$13:$F$11483,Timesheet!$A$13:$A$11483,'Início|Fim 1'!E268,Timesheet!$C$13:$C$11483,'Início|Fim 1'!$M$2)</f>
        <v>0</v>
      </c>
      <c r="N268" s="2">
        <f>SUMIFS(Timesheet!$F$13:$F$11483,Timesheet!$A$13:$A$11483,'Início|Fim 1'!E268,Timesheet!$C$13:$C$11483,'Início|Fim 1'!$N$2)</f>
        <v>0</v>
      </c>
      <c r="O268" s="2">
        <f t="shared" si="4"/>
        <v>0</v>
      </c>
    </row>
    <row r="269" spans="1:15" x14ac:dyDescent="0.25">
      <c r="A269" s="1">
        <v>45193</v>
      </c>
      <c r="B269" s="3">
        <f t="array" ref="B269">MIN(IF(A269=Timesheet!$A$13:$A$2615,Timesheet!$D$13:$D$2615))</f>
        <v>0</v>
      </c>
      <c r="C269" s="3">
        <f t="array" ref="C269">MAX(IF(A269=Timesheet!$A$13:$A$2615,Timesheet!$E$13:$E$2615))</f>
        <v>0</v>
      </c>
      <c r="E269" s="1">
        <v>45193</v>
      </c>
      <c r="F269" s="2">
        <f>SUMIFS(Timesheet!$F$13:$F$11483,Timesheet!$A$13:$A$11483,'Início|Fim 1'!E269,Timesheet!$C$13:$C$11483,'Início|Fim 1'!$F$2)</f>
        <v>0</v>
      </c>
      <c r="G269" s="2">
        <f>SUMIFS(Timesheet!$F$13:$F$11483,Timesheet!$A$13:$A$11483,'Início|Fim 1'!E269,Timesheet!$C$13:$C$11483,'Início|Fim 1'!$G$2)</f>
        <v>0</v>
      </c>
      <c r="H269" s="2">
        <f>SUMIFS(Timesheet!$F$13:$F$11483,Timesheet!$A$13:$A$11483,'Início|Fim 1'!E269,Timesheet!$C$13:$C$11483,'Início|Fim 1'!$H$2)</f>
        <v>0</v>
      </c>
      <c r="I269" s="2">
        <f>SUMIFS(Timesheet!$F$13:$F$11483,Timesheet!$A$13:$A$11483,'Início|Fim 1'!E269,Timesheet!$C$13:$C$11483,'Início|Fim 1'!$I$2)</f>
        <v>0</v>
      </c>
      <c r="J269" s="2">
        <f>SUMIFS(Timesheet!$F$13:$F$11483,Timesheet!$A$13:$A$11483,'Início|Fim 1'!E269,Timesheet!$C$13:$C$11483,'Início|Fim 1'!$J$2)</f>
        <v>0</v>
      </c>
      <c r="K269" s="2">
        <f>SUMIFS(Timesheet!$F$13:$F$11483,Timesheet!$A$13:$A$11483,'Início|Fim 1'!E269,Timesheet!$C$13:$C$11483,'Início|Fim 1'!$K$2)</f>
        <v>0</v>
      </c>
      <c r="L269" s="2">
        <f>SUMIFS(Timesheet!$F$13:$F$11483,Timesheet!$A$13:$A$11483,'Início|Fim 1'!E269,Timesheet!$C$13:$C$11483,'Início|Fim 1'!$L$2)</f>
        <v>0</v>
      </c>
      <c r="M269" s="2">
        <f>SUMIFS(Timesheet!$F$13:$F$11483,Timesheet!$A$13:$A$11483,'Início|Fim 1'!E269,Timesheet!$C$13:$C$11483,'Início|Fim 1'!$M$2)</f>
        <v>0</v>
      </c>
      <c r="N269" s="2">
        <f>SUMIFS(Timesheet!$F$13:$F$11483,Timesheet!$A$13:$A$11483,'Início|Fim 1'!E269,Timesheet!$C$13:$C$11483,'Início|Fim 1'!$N$2)</f>
        <v>0</v>
      </c>
      <c r="O269" s="2">
        <f t="shared" si="4"/>
        <v>0</v>
      </c>
    </row>
    <row r="270" spans="1:15" x14ac:dyDescent="0.25">
      <c r="A270" s="1">
        <v>45194</v>
      </c>
      <c r="B270" s="3">
        <f t="array" ref="B270">MIN(IF(A270=Timesheet!$A$13:$A$2615,Timesheet!$D$13:$D$2615))</f>
        <v>0</v>
      </c>
      <c r="C270" s="3">
        <f t="array" ref="C270">MAX(IF(A270=Timesheet!$A$13:$A$2615,Timesheet!$E$13:$E$2615))</f>
        <v>0</v>
      </c>
      <c r="E270" s="1">
        <v>45194</v>
      </c>
      <c r="F270" s="2">
        <f>SUMIFS(Timesheet!$F$13:$F$11483,Timesheet!$A$13:$A$11483,'Início|Fim 1'!E270,Timesheet!$C$13:$C$11483,'Início|Fim 1'!$F$2)</f>
        <v>0</v>
      </c>
      <c r="G270" s="2">
        <f>SUMIFS(Timesheet!$F$13:$F$11483,Timesheet!$A$13:$A$11483,'Início|Fim 1'!E270,Timesheet!$C$13:$C$11483,'Início|Fim 1'!$G$2)</f>
        <v>0</v>
      </c>
      <c r="H270" s="2">
        <f>SUMIFS(Timesheet!$F$13:$F$11483,Timesheet!$A$13:$A$11483,'Início|Fim 1'!E270,Timesheet!$C$13:$C$11483,'Início|Fim 1'!$H$2)</f>
        <v>0</v>
      </c>
      <c r="I270" s="2">
        <f>SUMIFS(Timesheet!$F$13:$F$11483,Timesheet!$A$13:$A$11483,'Início|Fim 1'!E270,Timesheet!$C$13:$C$11483,'Início|Fim 1'!$I$2)</f>
        <v>0</v>
      </c>
      <c r="J270" s="2">
        <f>SUMIFS(Timesheet!$F$13:$F$11483,Timesheet!$A$13:$A$11483,'Início|Fim 1'!E270,Timesheet!$C$13:$C$11483,'Início|Fim 1'!$J$2)</f>
        <v>0</v>
      </c>
      <c r="K270" s="2">
        <f>SUMIFS(Timesheet!$F$13:$F$11483,Timesheet!$A$13:$A$11483,'Início|Fim 1'!E270,Timesheet!$C$13:$C$11483,'Início|Fim 1'!$K$2)</f>
        <v>0</v>
      </c>
      <c r="L270" s="2">
        <f>SUMIFS(Timesheet!$F$13:$F$11483,Timesheet!$A$13:$A$11483,'Início|Fim 1'!E270,Timesheet!$C$13:$C$11483,'Início|Fim 1'!$L$2)</f>
        <v>0</v>
      </c>
      <c r="M270" s="2">
        <f>SUMIFS(Timesheet!$F$13:$F$11483,Timesheet!$A$13:$A$11483,'Início|Fim 1'!E270,Timesheet!$C$13:$C$11483,'Início|Fim 1'!$M$2)</f>
        <v>0</v>
      </c>
      <c r="N270" s="2">
        <f>SUMIFS(Timesheet!$F$13:$F$11483,Timesheet!$A$13:$A$11483,'Início|Fim 1'!E270,Timesheet!$C$13:$C$11483,'Início|Fim 1'!$N$2)</f>
        <v>0</v>
      </c>
      <c r="O270" s="2">
        <f t="shared" si="4"/>
        <v>0</v>
      </c>
    </row>
    <row r="271" spans="1:15" x14ac:dyDescent="0.25">
      <c r="A271" s="1">
        <v>45195</v>
      </c>
      <c r="B271" s="3">
        <f t="array" ref="B271">MIN(IF(A271=Timesheet!$A$13:$A$2615,Timesheet!$D$13:$D$2615))</f>
        <v>0</v>
      </c>
      <c r="C271" s="3">
        <f t="array" ref="C271">MAX(IF(A271=Timesheet!$A$13:$A$2615,Timesheet!$E$13:$E$2615))</f>
        <v>0</v>
      </c>
      <c r="E271" s="1">
        <v>45195</v>
      </c>
      <c r="F271" s="2">
        <f>SUMIFS(Timesheet!$F$13:$F$11483,Timesheet!$A$13:$A$11483,'Início|Fim 1'!E271,Timesheet!$C$13:$C$11483,'Início|Fim 1'!$F$2)</f>
        <v>0</v>
      </c>
      <c r="G271" s="2">
        <f>SUMIFS(Timesheet!$F$13:$F$11483,Timesheet!$A$13:$A$11483,'Início|Fim 1'!E271,Timesheet!$C$13:$C$11483,'Início|Fim 1'!$G$2)</f>
        <v>0</v>
      </c>
      <c r="H271" s="2">
        <f>SUMIFS(Timesheet!$F$13:$F$11483,Timesheet!$A$13:$A$11483,'Início|Fim 1'!E271,Timesheet!$C$13:$C$11483,'Início|Fim 1'!$H$2)</f>
        <v>0</v>
      </c>
      <c r="I271" s="2">
        <f>SUMIFS(Timesheet!$F$13:$F$11483,Timesheet!$A$13:$A$11483,'Início|Fim 1'!E271,Timesheet!$C$13:$C$11483,'Início|Fim 1'!$I$2)</f>
        <v>0</v>
      </c>
      <c r="J271" s="2">
        <f>SUMIFS(Timesheet!$F$13:$F$11483,Timesheet!$A$13:$A$11483,'Início|Fim 1'!E271,Timesheet!$C$13:$C$11483,'Início|Fim 1'!$J$2)</f>
        <v>0</v>
      </c>
      <c r="K271" s="2">
        <f>SUMIFS(Timesheet!$F$13:$F$11483,Timesheet!$A$13:$A$11483,'Início|Fim 1'!E271,Timesheet!$C$13:$C$11483,'Início|Fim 1'!$K$2)</f>
        <v>0</v>
      </c>
      <c r="L271" s="2">
        <f>SUMIFS(Timesheet!$F$13:$F$11483,Timesheet!$A$13:$A$11483,'Início|Fim 1'!E271,Timesheet!$C$13:$C$11483,'Início|Fim 1'!$L$2)</f>
        <v>0</v>
      </c>
      <c r="M271" s="2">
        <f>SUMIFS(Timesheet!$F$13:$F$11483,Timesheet!$A$13:$A$11483,'Início|Fim 1'!E271,Timesheet!$C$13:$C$11483,'Início|Fim 1'!$M$2)</f>
        <v>0</v>
      </c>
      <c r="N271" s="2">
        <f>SUMIFS(Timesheet!$F$13:$F$11483,Timesheet!$A$13:$A$11483,'Início|Fim 1'!E271,Timesheet!$C$13:$C$11483,'Início|Fim 1'!$N$2)</f>
        <v>0</v>
      </c>
      <c r="O271" s="2">
        <f t="shared" si="4"/>
        <v>0</v>
      </c>
    </row>
    <row r="272" spans="1:15" x14ac:dyDescent="0.25">
      <c r="A272" s="1">
        <v>45196</v>
      </c>
      <c r="B272" s="3">
        <f t="array" ref="B272">MIN(IF(A272=Timesheet!$A$13:$A$2615,Timesheet!$D$13:$D$2615))</f>
        <v>0</v>
      </c>
      <c r="C272" s="3">
        <f t="array" ref="C272">MAX(IF(A272=Timesheet!$A$13:$A$2615,Timesheet!$E$13:$E$2615))</f>
        <v>0</v>
      </c>
      <c r="E272" s="1">
        <v>45196</v>
      </c>
      <c r="F272" s="2">
        <f>SUMIFS(Timesheet!$F$13:$F$11483,Timesheet!$A$13:$A$11483,'Início|Fim 1'!E272,Timesheet!$C$13:$C$11483,'Início|Fim 1'!$F$2)</f>
        <v>0</v>
      </c>
      <c r="G272" s="2">
        <f>SUMIFS(Timesheet!$F$13:$F$11483,Timesheet!$A$13:$A$11483,'Início|Fim 1'!E272,Timesheet!$C$13:$C$11483,'Início|Fim 1'!$G$2)</f>
        <v>0</v>
      </c>
      <c r="H272" s="2">
        <f>SUMIFS(Timesheet!$F$13:$F$11483,Timesheet!$A$13:$A$11483,'Início|Fim 1'!E272,Timesheet!$C$13:$C$11483,'Início|Fim 1'!$H$2)</f>
        <v>0</v>
      </c>
      <c r="I272" s="2">
        <f>SUMIFS(Timesheet!$F$13:$F$11483,Timesheet!$A$13:$A$11483,'Início|Fim 1'!E272,Timesheet!$C$13:$C$11483,'Início|Fim 1'!$I$2)</f>
        <v>0</v>
      </c>
      <c r="J272" s="2">
        <f>SUMIFS(Timesheet!$F$13:$F$11483,Timesheet!$A$13:$A$11483,'Início|Fim 1'!E272,Timesheet!$C$13:$C$11483,'Início|Fim 1'!$J$2)</f>
        <v>0</v>
      </c>
      <c r="K272" s="2">
        <f>SUMIFS(Timesheet!$F$13:$F$11483,Timesheet!$A$13:$A$11483,'Início|Fim 1'!E272,Timesheet!$C$13:$C$11483,'Início|Fim 1'!$K$2)</f>
        <v>0</v>
      </c>
      <c r="L272" s="2">
        <f>SUMIFS(Timesheet!$F$13:$F$11483,Timesheet!$A$13:$A$11483,'Início|Fim 1'!E272,Timesheet!$C$13:$C$11483,'Início|Fim 1'!$L$2)</f>
        <v>0</v>
      </c>
      <c r="M272" s="2">
        <f>SUMIFS(Timesheet!$F$13:$F$11483,Timesheet!$A$13:$A$11483,'Início|Fim 1'!E272,Timesheet!$C$13:$C$11483,'Início|Fim 1'!$M$2)</f>
        <v>0</v>
      </c>
      <c r="N272" s="2">
        <f>SUMIFS(Timesheet!$F$13:$F$11483,Timesheet!$A$13:$A$11483,'Início|Fim 1'!E272,Timesheet!$C$13:$C$11483,'Início|Fim 1'!$N$2)</f>
        <v>0</v>
      </c>
      <c r="O272" s="2">
        <f t="shared" si="4"/>
        <v>0</v>
      </c>
    </row>
    <row r="273" spans="1:15" x14ac:dyDescent="0.25">
      <c r="A273" s="1">
        <v>45197</v>
      </c>
      <c r="B273" s="3">
        <f t="array" ref="B273">MIN(IF(A273=Timesheet!$A$13:$A$2615,Timesheet!$D$13:$D$2615))</f>
        <v>0</v>
      </c>
      <c r="C273" s="3">
        <f t="array" ref="C273">MAX(IF(A273=Timesheet!$A$13:$A$2615,Timesheet!$E$13:$E$2615))</f>
        <v>0</v>
      </c>
      <c r="E273" s="1">
        <v>45197</v>
      </c>
      <c r="F273" s="2">
        <f>SUMIFS(Timesheet!$F$13:$F$11483,Timesheet!$A$13:$A$11483,'Início|Fim 1'!E273,Timesheet!$C$13:$C$11483,'Início|Fim 1'!$F$2)</f>
        <v>0</v>
      </c>
      <c r="G273" s="2">
        <f>SUMIFS(Timesheet!$F$13:$F$11483,Timesheet!$A$13:$A$11483,'Início|Fim 1'!E273,Timesheet!$C$13:$C$11483,'Início|Fim 1'!$G$2)</f>
        <v>0</v>
      </c>
      <c r="H273" s="2">
        <f>SUMIFS(Timesheet!$F$13:$F$11483,Timesheet!$A$13:$A$11483,'Início|Fim 1'!E273,Timesheet!$C$13:$C$11483,'Início|Fim 1'!$H$2)</f>
        <v>0</v>
      </c>
      <c r="I273" s="2">
        <f>SUMIFS(Timesheet!$F$13:$F$11483,Timesheet!$A$13:$A$11483,'Início|Fim 1'!E273,Timesheet!$C$13:$C$11483,'Início|Fim 1'!$I$2)</f>
        <v>0</v>
      </c>
      <c r="J273" s="2">
        <f>SUMIFS(Timesheet!$F$13:$F$11483,Timesheet!$A$13:$A$11483,'Início|Fim 1'!E273,Timesheet!$C$13:$C$11483,'Início|Fim 1'!$J$2)</f>
        <v>0</v>
      </c>
      <c r="K273" s="2">
        <f>SUMIFS(Timesheet!$F$13:$F$11483,Timesheet!$A$13:$A$11483,'Início|Fim 1'!E273,Timesheet!$C$13:$C$11483,'Início|Fim 1'!$K$2)</f>
        <v>0</v>
      </c>
      <c r="L273" s="2">
        <f>SUMIFS(Timesheet!$F$13:$F$11483,Timesheet!$A$13:$A$11483,'Início|Fim 1'!E273,Timesheet!$C$13:$C$11483,'Início|Fim 1'!$L$2)</f>
        <v>0</v>
      </c>
      <c r="M273" s="2">
        <f>SUMIFS(Timesheet!$F$13:$F$11483,Timesheet!$A$13:$A$11483,'Início|Fim 1'!E273,Timesheet!$C$13:$C$11483,'Início|Fim 1'!$M$2)</f>
        <v>0</v>
      </c>
      <c r="N273" s="2">
        <f>SUMIFS(Timesheet!$F$13:$F$11483,Timesheet!$A$13:$A$11483,'Início|Fim 1'!E273,Timesheet!$C$13:$C$11483,'Início|Fim 1'!$N$2)</f>
        <v>0</v>
      </c>
      <c r="O273" s="2">
        <f t="shared" si="4"/>
        <v>0</v>
      </c>
    </row>
    <row r="274" spans="1:15" x14ac:dyDescent="0.25">
      <c r="A274" s="1">
        <v>45198</v>
      </c>
      <c r="B274" s="3">
        <f t="array" ref="B274">MIN(IF(A274=Timesheet!$A$13:$A$2615,Timesheet!$D$13:$D$2615))</f>
        <v>0</v>
      </c>
      <c r="C274" s="3">
        <f t="array" ref="C274">MAX(IF(A274=Timesheet!$A$13:$A$2615,Timesheet!$E$13:$E$2615))</f>
        <v>0</v>
      </c>
      <c r="E274" s="1">
        <v>45198</v>
      </c>
      <c r="F274" s="2">
        <f>SUMIFS(Timesheet!$F$13:$F$11483,Timesheet!$A$13:$A$11483,'Início|Fim 1'!E274,Timesheet!$C$13:$C$11483,'Início|Fim 1'!$F$2)</f>
        <v>0</v>
      </c>
      <c r="G274" s="2">
        <f>SUMIFS(Timesheet!$F$13:$F$11483,Timesheet!$A$13:$A$11483,'Início|Fim 1'!E274,Timesheet!$C$13:$C$11483,'Início|Fim 1'!$G$2)</f>
        <v>0</v>
      </c>
      <c r="H274" s="2">
        <f>SUMIFS(Timesheet!$F$13:$F$11483,Timesheet!$A$13:$A$11483,'Início|Fim 1'!E274,Timesheet!$C$13:$C$11483,'Início|Fim 1'!$H$2)</f>
        <v>0</v>
      </c>
      <c r="I274" s="2">
        <f>SUMIFS(Timesheet!$F$13:$F$11483,Timesheet!$A$13:$A$11483,'Início|Fim 1'!E274,Timesheet!$C$13:$C$11483,'Início|Fim 1'!$I$2)</f>
        <v>0</v>
      </c>
      <c r="J274" s="2">
        <f>SUMIFS(Timesheet!$F$13:$F$11483,Timesheet!$A$13:$A$11483,'Início|Fim 1'!E274,Timesheet!$C$13:$C$11483,'Início|Fim 1'!$J$2)</f>
        <v>0</v>
      </c>
      <c r="K274" s="2">
        <f>SUMIFS(Timesheet!$F$13:$F$11483,Timesheet!$A$13:$A$11483,'Início|Fim 1'!E274,Timesheet!$C$13:$C$11483,'Início|Fim 1'!$K$2)</f>
        <v>0</v>
      </c>
      <c r="L274" s="2">
        <f>SUMIFS(Timesheet!$F$13:$F$11483,Timesheet!$A$13:$A$11483,'Início|Fim 1'!E274,Timesheet!$C$13:$C$11483,'Início|Fim 1'!$L$2)</f>
        <v>0</v>
      </c>
      <c r="M274" s="2">
        <f>SUMIFS(Timesheet!$F$13:$F$11483,Timesheet!$A$13:$A$11483,'Início|Fim 1'!E274,Timesheet!$C$13:$C$11483,'Início|Fim 1'!$M$2)</f>
        <v>0</v>
      </c>
      <c r="N274" s="2">
        <f>SUMIFS(Timesheet!$F$13:$F$11483,Timesheet!$A$13:$A$11483,'Início|Fim 1'!E274,Timesheet!$C$13:$C$11483,'Início|Fim 1'!$N$2)</f>
        <v>0</v>
      </c>
      <c r="O274" s="2">
        <f t="shared" si="4"/>
        <v>0</v>
      </c>
    </row>
    <row r="275" spans="1:15" x14ac:dyDescent="0.25">
      <c r="A275" s="1">
        <v>45199</v>
      </c>
      <c r="B275" s="3">
        <f t="array" ref="B275">MIN(IF(A275=Timesheet!$A$13:$A$2615,Timesheet!$D$13:$D$2615))</f>
        <v>0</v>
      </c>
      <c r="C275" s="3">
        <f t="array" ref="C275">MAX(IF(A275=Timesheet!$A$13:$A$2615,Timesheet!$E$13:$E$2615))</f>
        <v>0</v>
      </c>
      <c r="E275" s="1">
        <v>45199</v>
      </c>
      <c r="F275" s="2">
        <f>SUMIFS(Timesheet!$F$13:$F$11483,Timesheet!$A$13:$A$11483,'Início|Fim 1'!E275,Timesheet!$C$13:$C$11483,'Início|Fim 1'!$F$2)</f>
        <v>0</v>
      </c>
      <c r="G275" s="2">
        <f>SUMIFS(Timesheet!$F$13:$F$11483,Timesheet!$A$13:$A$11483,'Início|Fim 1'!E275,Timesheet!$C$13:$C$11483,'Início|Fim 1'!$G$2)</f>
        <v>0</v>
      </c>
      <c r="H275" s="2">
        <f>SUMIFS(Timesheet!$F$13:$F$11483,Timesheet!$A$13:$A$11483,'Início|Fim 1'!E275,Timesheet!$C$13:$C$11483,'Início|Fim 1'!$H$2)</f>
        <v>0</v>
      </c>
      <c r="I275" s="2">
        <f>SUMIFS(Timesheet!$F$13:$F$11483,Timesheet!$A$13:$A$11483,'Início|Fim 1'!E275,Timesheet!$C$13:$C$11483,'Início|Fim 1'!$I$2)</f>
        <v>0</v>
      </c>
      <c r="J275" s="2">
        <f>SUMIFS(Timesheet!$F$13:$F$11483,Timesheet!$A$13:$A$11483,'Início|Fim 1'!E275,Timesheet!$C$13:$C$11483,'Início|Fim 1'!$J$2)</f>
        <v>0</v>
      </c>
      <c r="K275" s="2">
        <f>SUMIFS(Timesheet!$F$13:$F$11483,Timesheet!$A$13:$A$11483,'Início|Fim 1'!E275,Timesheet!$C$13:$C$11483,'Início|Fim 1'!$K$2)</f>
        <v>0</v>
      </c>
      <c r="L275" s="2">
        <f>SUMIFS(Timesheet!$F$13:$F$11483,Timesheet!$A$13:$A$11483,'Início|Fim 1'!E275,Timesheet!$C$13:$C$11483,'Início|Fim 1'!$L$2)</f>
        <v>0</v>
      </c>
      <c r="M275" s="2">
        <f>SUMIFS(Timesheet!$F$13:$F$11483,Timesheet!$A$13:$A$11483,'Início|Fim 1'!E275,Timesheet!$C$13:$C$11483,'Início|Fim 1'!$M$2)</f>
        <v>0</v>
      </c>
      <c r="N275" s="2">
        <f>SUMIFS(Timesheet!$F$13:$F$11483,Timesheet!$A$13:$A$11483,'Início|Fim 1'!E275,Timesheet!$C$13:$C$11483,'Início|Fim 1'!$N$2)</f>
        <v>0</v>
      </c>
      <c r="O275" s="2">
        <f t="shared" si="4"/>
        <v>0</v>
      </c>
    </row>
    <row r="276" spans="1:15" x14ac:dyDescent="0.25">
      <c r="A276" s="1">
        <v>45200</v>
      </c>
      <c r="B276" s="3">
        <f t="array" ref="B276">MIN(IF(A276=Timesheet!$A$13:$A$2615,Timesheet!$D$13:$D$2615))</f>
        <v>0</v>
      </c>
      <c r="C276" s="3">
        <f t="array" ref="C276">MAX(IF(A276=Timesheet!$A$13:$A$2615,Timesheet!$E$13:$E$2615))</f>
        <v>0</v>
      </c>
      <c r="E276" s="1">
        <v>45200</v>
      </c>
      <c r="F276" s="2">
        <f>SUMIFS(Timesheet!$F$13:$F$11483,Timesheet!$A$13:$A$11483,'Início|Fim 1'!E276,Timesheet!$C$13:$C$11483,'Início|Fim 1'!$F$2)</f>
        <v>0</v>
      </c>
      <c r="G276" s="2">
        <f>SUMIFS(Timesheet!$F$13:$F$11483,Timesheet!$A$13:$A$11483,'Início|Fim 1'!E276,Timesheet!$C$13:$C$11483,'Início|Fim 1'!$G$2)</f>
        <v>0</v>
      </c>
      <c r="H276" s="2">
        <f>SUMIFS(Timesheet!$F$13:$F$11483,Timesheet!$A$13:$A$11483,'Início|Fim 1'!E276,Timesheet!$C$13:$C$11483,'Início|Fim 1'!$H$2)</f>
        <v>0</v>
      </c>
      <c r="I276" s="2">
        <f>SUMIFS(Timesheet!$F$13:$F$11483,Timesheet!$A$13:$A$11483,'Início|Fim 1'!E276,Timesheet!$C$13:$C$11483,'Início|Fim 1'!$I$2)</f>
        <v>0</v>
      </c>
      <c r="J276" s="2">
        <f>SUMIFS(Timesheet!$F$13:$F$11483,Timesheet!$A$13:$A$11483,'Início|Fim 1'!E276,Timesheet!$C$13:$C$11483,'Início|Fim 1'!$J$2)</f>
        <v>0</v>
      </c>
      <c r="K276" s="2">
        <f>SUMIFS(Timesheet!$F$13:$F$11483,Timesheet!$A$13:$A$11483,'Início|Fim 1'!E276,Timesheet!$C$13:$C$11483,'Início|Fim 1'!$K$2)</f>
        <v>0</v>
      </c>
      <c r="L276" s="2">
        <f>SUMIFS(Timesheet!$F$13:$F$11483,Timesheet!$A$13:$A$11483,'Início|Fim 1'!E276,Timesheet!$C$13:$C$11483,'Início|Fim 1'!$L$2)</f>
        <v>0</v>
      </c>
      <c r="M276" s="2">
        <f>SUMIFS(Timesheet!$F$13:$F$11483,Timesheet!$A$13:$A$11483,'Início|Fim 1'!E276,Timesheet!$C$13:$C$11483,'Início|Fim 1'!$M$2)</f>
        <v>0</v>
      </c>
      <c r="N276" s="2">
        <f>SUMIFS(Timesheet!$F$13:$F$11483,Timesheet!$A$13:$A$11483,'Início|Fim 1'!E276,Timesheet!$C$13:$C$11483,'Início|Fim 1'!$N$2)</f>
        <v>0</v>
      </c>
      <c r="O276" s="2">
        <f t="shared" si="4"/>
        <v>0</v>
      </c>
    </row>
    <row r="277" spans="1:15" x14ac:dyDescent="0.25">
      <c r="A277" s="1">
        <v>45201</v>
      </c>
      <c r="B277" s="3">
        <f t="array" ref="B277">MIN(IF(A277=Timesheet!$A$13:$A$2615,Timesheet!$D$13:$D$2615))</f>
        <v>0</v>
      </c>
      <c r="C277" s="3">
        <f t="array" ref="C277">MAX(IF(A277=Timesheet!$A$13:$A$2615,Timesheet!$E$13:$E$2615))</f>
        <v>0</v>
      </c>
      <c r="E277" s="1">
        <v>45201</v>
      </c>
      <c r="F277" s="2">
        <f>SUMIFS(Timesheet!$F$13:$F$11483,Timesheet!$A$13:$A$11483,'Início|Fim 1'!E277,Timesheet!$C$13:$C$11483,'Início|Fim 1'!$F$2)</f>
        <v>0</v>
      </c>
      <c r="G277" s="2">
        <f>SUMIFS(Timesheet!$F$13:$F$11483,Timesheet!$A$13:$A$11483,'Início|Fim 1'!E277,Timesheet!$C$13:$C$11483,'Início|Fim 1'!$G$2)</f>
        <v>0</v>
      </c>
      <c r="H277" s="2">
        <f>SUMIFS(Timesheet!$F$13:$F$11483,Timesheet!$A$13:$A$11483,'Início|Fim 1'!E277,Timesheet!$C$13:$C$11483,'Início|Fim 1'!$H$2)</f>
        <v>0</v>
      </c>
      <c r="I277" s="2">
        <f>SUMIFS(Timesheet!$F$13:$F$11483,Timesheet!$A$13:$A$11483,'Início|Fim 1'!E277,Timesheet!$C$13:$C$11483,'Início|Fim 1'!$I$2)</f>
        <v>0</v>
      </c>
      <c r="J277" s="2">
        <f>SUMIFS(Timesheet!$F$13:$F$11483,Timesheet!$A$13:$A$11483,'Início|Fim 1'!E277,Timesheet!$C$13:$C$11483,'Início|Fim 1'!$J$2)</f>
        <v>0</v>
      </c>
      <c r="K277" s="2">
        <f>SUMIFS(Timesheet!$F$13:$F$11483,Timesheet!$A$13:$A$11483,'Início|Fim 1'!E277,Timesheet!$C$13:$C$11483,'Início|Fim 1'!$K$2)</f>
        <v>0</v>
      </c>
      <c r="L277" s="2">
        <f>SUMIFS(Timesheet!$F$13:$F$11483,Timesheet!$A$13:$A$11483,'Início|Fim 1'!E277,Timesheet!$C$13:$C$11483,'Início|Fim 1'!$L$2)</f>
        <v>0</v>
      </c>
      <c r="M277" s="2">
        <f>SUMIFS(Timesheet!$F$13:$F$11483,Timesheet!$A$13:$A$11483,'Início|Fim 1'!E277,Timesheet!$C$13:$C$11483,'Início|Fim 1'!$M$2)</f>
        <v>0</v>
      </c>
      <c r="N277" s="2">
        <f>SUMIFS(Timesheet!$F$13:$F$11483,Timesheet!$A$13:$A$11483,'Início|Fim 1'!E277,Timesheet!$C$13:$C$11483,'Início|Fim 1'!$N$2)</f>
        <v>0</v>
      </c>
      <c r="O277" s="2">
        <f t="shared" si="4"/>
        <v>0</v>
      </c>
    </row>
    <row r="278" spans="1:15" x14ac:dyDescent="0.25">
      <c r="A278" s="1">
        <v>45202</v>
      </c>
      <c r="B278" s="3">
        <f t="array" ref="B278">MIN(IF(A278=Timesheet!$A$13:$A$2615,Timesheet!$D$13:$D$2615))</f>
        <v>0</v>
      </c>
      <c r="C278" s="3">
        <f t="array" ref="C278">MAX(IF(A278=Timesheet!$A$13:$A$2615,Timesheet!$E$13:$E$2615))</f>
        <v>0</v>
      </c>
      <c r="E278" s="1">
        <v>45202</v>
      </c>
      <c r="F278" s="2">
        <f>SUMIFS(Timesheet!$F$13:$F$11483,Timesheet!$A$13:$A$11483,'Início|Fim 1'!E278,Timesheet!$C$13:$C$11483,'Início|Fim 1'!$F$2)</f>
        <v>0</v>
      </c>
      <c r="G278" s="2">
        <f>SUMIFS(Timesheet!$F$13:$F$11483,Timesheet!$A$13:$A$11483,'Início|Fim 1'!E278,Timesheet!$C$13:$C$11483,'Início|Fim 1'!$G$2)</f>
        <v>0</v>
      </c>
      <c r="H278" s="2">
        <f>SUMIFS(Timesheet!$F$13:$F$11483,Timesheet!$A$13:$A$11483,'Início|Fim 1'!E278,Timesheet!$C$13:$C$11483,'Início|Fim 1'!$H$2)</f>
        <v>0</v>
      </c>
      <c r="I278" s="2">
        <f>SUMIFS(Timesheet!$F$13:$F$11483,Timesheet!$A$13:$A$11483,'Início|Fim 1'!E278,Timesheet!$C$13:$C$11483,'Início|Fim 1'!$I$2)</f>
        <v>0</v>
      </c>
      <c r="J278" s="2">
        <f>SUMIFS(Timesheet!$F$13:$F$11483,Timesheet!$A$13:$A$11483,'Início|Fim 1'!E278,Timesheet!$C$13:$C$11483,'Início|Fim 1'!$J$2)</f>
        <v>0</v>
      </c>
      <c r="K278" s="2">
        <f>SUMIFS(Timesheet!$F$13:$F$11483,Timesheet!$A$13:$A$11483,'Início|Fim 1'!E278,Timesheet!$C$13:$C$11483,'Início|Fim 1'!$K$2)</f>
        <v>0</v>
      </c>
      <c r="L278" s="2">
        <f>SUMIFS(Timesheet!$F$13:$F$11483,Timesheet!$A$13:$A$11483,'Início|Fim 1'!E278,Timesheet!$C$13:$C$11483,'Início|Fim 1'!$L$2)</f>
        <v>0</v>
      </c>
      <c r="M278" s="2">
        <f>SUMIFS(Timesheet!$F$13:$F$11483,Timesheet!$A$13:$A$11483,'Início|Fim 1'!E278,Timesheet!$C$13:$C$11483,'Início|Fim 1'!$M$2)</f>
        <v>0</v>
      </c>
      <c r="N278" s="2">
        <f>SUMIFS(Timesheet!$F$13:$F$11483,Timesheet!$A$13:$A$11483,'Início|Fim 1'!E278,Timesheet!$C$13:$C$11483,'Início|Fim 1'!$N$2)</f>
        <v>0</v>
      </c>
      <c r="O278" s="2">
        <f t="shared" si="4"/>
        <v>0</v>
      </c>
    </row>
    <row r="279" spans="1:15" x14ac:dyDescent="0.25">
      <c r="A279" s="1">
        <v>45203</v>
      </c>
      <c r="B279" s="3">
        <f t="array" ref="B279">MIN(IF(A279=Timesheet!$A$13:$A$2615,Timesheet!$D$13:$D$2615))</f>
        <v>0</v>
      </c>
      <c r="C279" s="3">
        <f t="array" ref="C279">MAX(IF(A279=Timesheet!$A$13:$A$2615,Timesheet!$E$13:$E$2615))</f>
        <v>0</v>
      </c>
      <c r="E279" s="1">
        <v>45203</v>
      </c>
      <c r="F279" s="2">
        <f>SUMIFS(Timesheet!$F$13:$F$11483,Timesheet!$A$13:$A$11483,'Início|Fim 1'!E279,Timesheet!$C$13:$C$11483,'Início|Fim 1'!$F$2)</f>
        <v>0</v>
      </c>
      <c r="G279" s="2">
        <f>SUMIFS(Timesheet!$F$13:$F$11483,Timesheet!$A$13:$A$11483,'Início|Fim 1'!E279,Timesheet!$C$13:$C$11483,'Início|Fim 1'!$G$2)</f>
        <v>0</v>
      </c>
      <c r="H279" s="2">
        <f>SUMIFS(Timesheet!$F$13:$F$11483,Timesheet!$A$13:$A$11483,'Início|Fim 1'!E279,Timesheet!$C$13:$C$11483,'Início|Fim 1'!$H$2)</f>
        <v>0</v>
      </c>
      <c r="I279" s="2">
        <f>SUMIFS(Timesheet!$F$13:$F$11483,Timesheet!$A$13:$A$11483,'Início|Fim 1'!E279,Timesheet!$C$13:$C$11483,'Início|Fim 1'!$I$2)</f>
        <v>0</v>
      </c>
      <c r="J279" s="2">
        <f>SUMIFS(Timesheet!$F$13:$F$11483,Timesheet!$A$13:$A$11483,'Início|Fim 1'!E279,Timesheet!$C$13:$C$11483,'Início|Fim 1'!$J$2)</f>
        <v>0</v>
      </c>
      <c r="K279" s="2">
        <f>SUMIFS(Timesheet!$F$13:$F$11483,Timesheet!$A$13:$A$11483,'Início|Fim 1'!E279,Timesheet!$C$13:$C$11483,'Início|Fim 1'!$K$2)</f>
        <v>0</v>
      </c>
      <c r="L279" s="2">
        <f>SUMIFS(Timesheet!$F$13:$F$11483,Timesheet!$A$13:$A$11483,'Início|Fim 1'!E279,Timesheet!$C$13:$C$11483,'Início|Fim 1'!$L$2)</f>
        <v>0</v>
      </c>
      <c r="M279" s="2">
        <f>SUMIFS(Timesheet!$F$13:$F$11483,Timesheet!$A$13:$A$11483,'Início|Fim 1'!E279,Timesheet!$C$13:$C$11483,'Início|Fim 1'!$M$2)</f>
        <v>0</v>
      </c>
      <c r="N279" s="2">
        <f>SUMIFS(Timesheet!$F$13:$F$11483,Timesheet!$A$13:$A$11483,'Início|Fim 1'!E279,Timesheet!$C$13:$C$11483,'Início|Fim 1'!$N$2)</f>
        <v>0</v>
      </c>
      <c r="O279" s="2">
        <f t="shared" si="4"/>
        <v>0</v>
      </c>
    </row>
    <row r="280" spans="1:15" x14ac:dyDescent="0.25">
      <c r="A280" s="1">
        <v>45204</v>
      </c>
      <c r="B280" s="3">
        <f t="array" ref="B280">MIN(IF(A280=Timesheet!$A$13:$A$2615,Timesheet!$D$13:$D$2615))</f>
        <v>0</v>
      </c>
      <c r="C280" s="3">
        <f t="array" ref="C280">MAX(IF(A280=Timesheet!$A$13:$A$2615,Timesheet!$E$13:$E$2615))</f>
        <v>0</v>
      </c>
      <c r="E280" s="1">
        <v>45204</v>
      </c>
      <c r="F280" s="2">
        <f>SUMIFS(Timesheet!$F$13:$F$11483,Timesheet!$A$13:$A$11483,'Início|Fim 1'!E280,Timesheet!$C$13:$C$11483,'Início|Fim 1'!$F$2)</f>
        <v>0</v>
      </c>
      <c r="G280" s="2">
        <f>SUMIFS(Timesheet!$F$13:$F$11483,Timesheet!$A$13:$A$11483,'Início|Fim 1'!E280,Timesheet!$C$13:$C$11483,'Início|Fim 1'!$G$2)</f>
        <v>0</v>
      </c>
      <c r="H280" s="2">
        <f>SUMIFS(Timesheet!$F$13:$F$11483,Timesheet!$A$13:$A$11483,'Início|Fim 1'!E280,Timesheet!$C$13:$C$11483,'Início|Fim 1'!$H$2)</f>
        <v>0</v>
      </c>
      <c r="I280" s="2">
        <f>SUMIFS(Timesheet!$F$13:$F$11483,Timesheet!$A$13:$A$11483,'Início|Fim 1'!E280,Timesheet!$C$13:$C$11483,'Início|Fim 1'!$I$2)</f>
        <v>0</v>
      </c>
      <c r="J280" s="2">
        <f>SUMIFS(Timesheet!$F$13:$F$11483,Timesheet!$A$13:$A$11483,'Início|Fim 1'!E280,Timesheet!$C$13:$C$11483,'Início|Fim 1'!$J$2)</f>
        <v>0</v>
      </c>
      <c r="K280" s="2">
        <f>SUMIFS(Timesheet!$F$13:$F$11483,Timesheet!$A$13:$A$11483,'Início|Fim 1'!E280,Timesheet!$C$13:$C$11483,'Início|Fim 1'!$K$2)</f>
        <v>0</v>
      </c>
      <c r="L280" s="2">
        <f>SUMIFS(Timesheet!$F$13:$F$11483,Timesheet!$A$13:$A$11483,'Início|Fim 1'!E280,Timesheet!$C$13:$C$11483,'Início|Fim 1'!$L$2)</f>
        <v>0</v>
      </c>
      <c r="M280" s="2">
        <f>SUMIFS(Timesheet!$F$13:$F$11483,Timesheet!$A$13:$A$11483,'Início|Fim 1'!E280,Timesheet!$C$13:$C$11483,'Início|Fim 1'!$M$2)</f>
        <v>0</v>
      </c>
      <c r="N280" s="2">
        <f>SUMIFS(Timesheet!$F$13:$F$11483,Timesheet!$A$13:$A$11483,'Início|Fim 1'!E280,Timesheet!$C$13:$C$11483,'Início|Fim 1'!$N$2)</f>
        <v>0</v>
      </c>
      <c r="O280" s="2">
        <f t="shared" si="4"/>
        <v>0</v>
      </c>
    </row>
    <row r="281" spans="1:15" x14ac:dyDescent="0.25">
      <c r="A281" s="1">
        <v>45205</v>
      </c>
      <c r="B281" s="3">
        <f t="array" ref="B281">MIN(IF(A281=Timesheet!$A$13:$A$2615,Timesheet!$D$13:$D$2615))</f>
        <v>0</v>
      </c>
      <c r="C281" s="3">
        <f t="array" ref="C281">MAX(IF(A281=Timesheet!$A$13:$A$2615,Timesheet!$E$13:$E$2615))</f>
        <v>0</v>
      </c>
      <c r="E281" s="1">
        <v>45205</v>
      </c>
      <c r="F281" s="2">
        <f>SUMIFS(Timesheet!$F$13:$F$11483,Timesheet!$A$13:$A$11483,'Início|Fim 1'!E281,Timesheet!$C$13:$C$11483,'Início|Fim 1'!$F$2)</f>
        <v>0</v>
      </c>
      <c r="G281" s="2">
        <f>SUMIFS(Timesheet!$F$13:$F$11483,Timesheet!$A$13:$A$11483,'Início|Fim 1'!E281,Timesheet!$C$13:$C$11483,'Início|Fim 1'!$G$2)</f>
        <v>0</v>
      </c>
      <c r="H281" s="2">
        <f>SUMIFS(Timesheet!$F$13:$F$11483,Timesheet!$A$13:$A$11483,'Início|Fim 1'!E281,Timesheet!$C$13:$C$11483,'Início|Fim 1'!$H$2)</f>
        <v>0</v>
      </c>
      <c r="I281" s="2">
        <f>SUMIFS(Timesheet!$F$13:$F$11483,Timesheet!$A$13:$A$11483,'Início|Fim 1'!E281,Timesheet!$C$13:$C$11483,'Início|Fim 1'!$I$2)</f>
        <v>0</v>
      </c>
      <c r="J281" s="2">
        <f>SUMIFS(Timesheet!$F$13:$F$11483,Timesheet!$A$13:$A$11483,'Início|Fim 1'!E281,Timesheet!$C$13:$C$11483,'Início|Fim 1'!$J$2)</f>
        <v>0</v>
      </c>
      <c r="K281" s="2">
        <f>SUMIFS(Timesheet!$F$13:$F$11483,Timesheet!$A$13:$A$11483,'Início|Fim 1'!E281,Timesheet!$C$13:$C$11483,'Início|Fim 1'!$K$2)</f>
        <v>0</v>
      </c>
      <c r="L281" s="2">
        <f>SUMIFS(Timesheet!$F$13:$F$11483,Timesheet!$A$13:$A$11483,'Início|Fim 1'!E281,Timesheet!$C$13:$C$11483,'Início|Fim 1'!$L$2)</f>
        <v>0</v>
      </c>
      <c r="M281" s="2">
        <f>SUMIFS(Timesheet!$F$13:$F$11483,Timesheet!$A$13:$A$11483,'Início|Fim 1'!E281,Timesheet!$C$13:$C$11483,'Início|Fim 1'!$M$2)</f>
        <v>0</v>
      </c>
      <c r="N281" s="2">
        <f>SUMIFS(Timesheet!$F$13:$F$11483,Timesheet!$A$13:$A$11483,'Início|Fim 1'!E281,Timesheet!$C$13:$C$11483,'Início|Fim 1'!$N$2)</f>
        <v>0</v>
      </c>
      <c r="O281" s="2">
        <f t="shared" si="4"/>
        <v>0</v>
      </c>
    </row>
    <row r="282" spans="1:15" x14ac:dyDescent="0.25">
      <c r="A282" s="1">
        <v>45206</v>
      </c>
      <c r="B282" s="3">
        <f t="array" ref="B282">MIN(IF(A282=Timesheet!$A$13:$A$2615,Timesheet!$D$13:$D$2615))</f>
        <v>0</v>
      </c>
      <c r="C282" s="3">
        <f t="array" ref="C282">MAX(IF(A282=Timesheet!$A$13:$A$2615,Timesheet!$E$13:$E$2615))</f>
        <v>0</v>
      </c>
      <c r="E282" s="1">
        <v>45206</v>
      </c>
      <c r="F282" s="2">
        <f>SUMIFS(Timesheet!$F$13:$F$11483,Timesheet!$A$13:$A$11483,'Início|Fim 1'!E282,Timesheet!$C$13:$C$11483,'Início|Fim 1'!$F$2)</f>
        <v>0</v>
      </c>
      <c r="G282" s="2">
        <f>SUMIFS(Timesheet!$F$13:$F$11483,Timesheet!$A$13:$A$11483,'Início|Fim 1'!E282,Timesheet!$C$13:$C$11483,'Início|Fim 1'!$G$2)</f>
        <v>0</v>
      </c>
      <c r="H282" s="2">
        <f>SUMIFS(Timesheet!$F$13:$F$11483,Timesheet!$A$13:$A$11483,'Início|Fim 1'!E282,Timesheet!$C$13:$C$11483,'Início|Fim 1'!$H$2)</f>
        <v>0</v>
      </c>
      <c r="I282" s="2">
        <f>SUMIFS(Timesheet!$F$13:$F$11483,Timesheet!$A$13:$A$11483,'Início|Fim 1'!E282,Timesheet!$C$13:$C$11483,'Início|Fim 1'!$I$2)</f>
        <v>0</v>
      </c>
      <c r="J282" s="2">
        <f>SUMIFS(Timesheet!$F$13:$F$11483,Timesheet!$A$13:$A$11483,'Início|Fim 1'!E282,Timesheet!$C$13:$C$11483,'Início|Fim 1'!$J$2)</f>
        <v>0</v>
      </c>
      <c r="K282" s="2">
        <f>SUMIFS(Timesheet!$F$13:$F$11483,Timesheet!$A$13:$A$11483,'Início|Fim 1'!E282,Timesheet!$C$13:$C$11483,'Início|Fim 1'!$K$2)</f>
        <v>0</v>
      </c>
      <c r="L282" s="2">
        <f>SUMIFS(Timesheet!$F$13:$F$11483,Timesheet!$A$13:$A$11483,'Início|Fim 1'!E282,Timesheet!$C$13:$C$11483,'Início|Fim 1'!$L$2)</f>
        <v>0</v>
      </c>
      <c r="M282" s="2">
        <f>SUMIFS(Timesheet!$F$13:$F$11483,Timesheet!$A$13:$A$11483,'Início|Fim 1'!E282,Timesheet!$C$13:$C$11483,'Início|Fim 1'!$M$2)</f>
        <v>0</v>
      </c>
      <c r="N282" s="2">
        <f>SUMIFS(Timesheet!$F$13:$F$11483,Timesheet!$A$13:$A$11483,'Início|Fim 1'!E282,Timesheet!$C$13:$C$11483,'Início|Fim 1'!$N$2)</f>
        <v>0</v>
      </c>
      <c r="O282" s="2">
        <f t="shared" si="4"/>
        <v>0</v>
      </c>
    </row>
    <row r="283" spans="1:15" x14ac:dyDescent="0.25">
      <c r="A283" s="1">
        <v>45207</v>
      </c>
      <c r="B283" s="3">
        <f t="array" ref="B283">MIN(IF(A283=Timesheet!$A$13:$A$2615,Timesheet!$D$13:$D$2615))</f>
        <v>0</v>
      </c>
      <c r="C283" s="3">
        <f t="array" ref="C283">MAX(IF(A283=Timesheet!$A$13:$A$2615,Timesheet!$E$13:$E$2615))</f>
        <v>0</v>
      </c>
      <c r="E283" s="1">
        <v>45207</v>
      </c>
      <c r="F283" s="2">
        <f>SUMIFS(Timesheet!$F$13:$F$11483,Timesheet!$A$13:$A$11483,'Início|Fim 1'!E283,Timesheet!$C$13:$C$11483,'Início|Fim 1'!$F$2)</f>
        <v>0</v>
      </c>
      <c r="G283" s="2">
        <f>SUMIFS(Timesheet!$F$13:$F$11483,Timesheet!$A$13:$A$11483,'Início|Fim 1'!E283,Timesheet!$C$13:$C$11483,'Início|Fim 1'!$G$2)</f>
        <v>0</v>
      </c>
      <c r="H283" s="2">
        <f>SUMIFS(Timesheet!$F$13:$F$11483,Timesheet!$A$13:$A$11483,'Início|Fim 1'!E283,Timesheet!$C$13:$C$11483,'Início|Fim 1'!$H$2)</f>
        <v>0</v>
      </c>
      <c r="I283" s="2">
        <f>SUMIFS(Timesheet!$F$13:$F$11483,Timesheet!$A$13:$A$11483,'Início|Fim 1'!E283,Timesheet!$C$13:$C$11483,'Início|Fim 1'!$I$2)</f>
        <v>0</v>
      </c>
      <c r="J283" s="2">
        <f>SUMIFS(Timesheet!$F$13:$F$11483,Timesheet!$A$13:$A$11483,'Início|Fim 1'!E283,Timesheet!$C$13:$C$11483,'Início|Fim 1'!$J$2)</f>
        <v>0</v>
      </c>
      <c r="K283" s="2">
        <f>SUMIFS(Timesheet!$F$13:$F$11483,Timesheet!$A$13:$A$11483,'Início|Fim 1'!E283,Timesheet!$C$13:$C$11483,'Início|Fim 1'!$K$2)</f>
        <v>0</v>
      </c>
      <c r="L283" s="2">
        <f>SUMIFS(Timesheet!$F$13:$F$11483,Timesheet!$A$13:$A$11483,'Início|Fim 1'!E283,Timesheet!$C$13:$C$11483,'Início|Fim 1'!$L$2)</f>
        <v>0</v>
      </c>
      <c r="M283" s="2">
        <f>SUMIFS(Timesheet!$F$13:$F$11483,Timesheet!$A$13:$A$11483,'Início|Fim 1'!E283,Timesheet!$C$13:$C$11483,'Início|Fim 1'!$M$2)</f>
        <v>0</v>
      </c>
      <c r="N283" s="2">
        <f>SUMIFS(Timesheet!$F$13:$F$11483,Timesheet!$A$13:$A$11483,'Início|Fim 1'!E283,Timesheet!$C$13:$C$11483,'Início|Fim 1'!$N$2)</f>
        <v>0</v>
      </c>
      <c r="O283" s="2">
        <f t="shared" si="4"/>
        <v>0</v>
      </c>
    </row>
    <row r="284" spans="1:15" x14ac:dyDescent="0.25">
      <c r="A284" s="1">
        <v>45208</v>
      </c>
      <c r="B284" s="3">
        <f t="array" ref="B284">MIN(IF(A284=Timesheet!$A$13:$A$2615,Timesheet!$D$13:$D$2615))</f>
        <v>0</v>
      </c>
      <c r="C284" s="3">
        <f t="array" ref="C284">MAX(IF(A284=Timesheet!$A$13:$A$2615,Timesheet!$E$13:$E$2615))</f>
        <v>0</v>
      </c>
      <c r="E284" s="1">
        <v>45208</v>
      </c>
      <c r="F284" s="2">
        <f>SUMIFS(Timesheet!$F$13:$F$11483,Timesheet!$A$13:$A$11483,'Início|Fim 1'!E284,Timesheet!$C$13:$C$11483,'Início|Fim 1'!$F$2)</f>
        <v>0</v>
      </c>
      <c r="G284" s="2">
        <f>SUMIFS(Timesheet!$F$13:$F$11483,Timesheet!$A$13:$A$11483,'Início|Fim 1'!E284,Timesheet!$C$13:$C$11483,'Início|Fim 1'!$G$2)</f>
        <v>0</v>
      </c>
      <c r="H284" s="2">
        <f>SUMIFS(Timesheet!$F$13:$F$11483,Timesheet!$A$13:$A$11483,'Início|Fim 1'!E284,Timesheet!$C$13:$C$11483,'Início|Fim 1'!$H$2)</f>
        <v>0</v>
      </c>
      <c r="I284" s="2">
        <f>SUMIFS(Timesheet!$F$13:$F$11483,Timesheet!$A$13:$A$11483,'Início|Fim 1'!E284,Timesheet!$C$13:$C$11483,'Início|Fim 1'!$I$2)</f>
        <v>0</v>
      </c>
      <c r="J284" s="2">
        <f>SUMIFS(Timesheet!$F$13:$F$11483,Timesheet!$A$13:$A$11483,'Início|Fim 1'!E284,Timesheet!$C$13:$C$11483,'Início|Fim 1'!$J$2)</f>
        <v>0</v>
      </c>
      <c r="K284" s="2">
        <f>SUMIFS(Timesheet!$F$13:$F$11483,Timesheet!$A$13:$A$11483,'Início|Fim 1'!E284,Timesheet!$C$13:$C$11483,'Início|Fim 1'!$K$2)</f>
        <v>0</v>
      </c>
      <c r="L284" s="2">
        <f>SUMIFS(Timesheet!$F$13:$F$11483,Timesheet!$A$13:$A$11483,'Início|Fim 1'!E284,Timesheet!$C$13:$C$11483,'Início|Fim 1'!$L$2)</f>
        <v>0</v>
      </c>
      <c r="M284" s="2">
        <f>SUMIFS(Timesheet!$F$13:$F$11483,Timesheet!$A$13:$A$11483,'Início|Fim 1'!E284,Timesheet!$C$13:$C$11483,'Início|Fim 1'!$M$2)</f>
        <v>0</v>
      </c>
      <c r="N284" s="2">
        <f>SUMIFS(Timesheet!$F$13:$F$11483,Timesheet!$A$13:$A$11483,'Início|Fim 1'!E284,Timesheet!$C$13:$C$11483,'Início|Fim 1'!$N$2)</f>
        <v>0</v>
      </c>
      <c r="O284" s="2">
        <f t="shared" si="4"/>
        <v>0</v>
      </c>
    </row>
    <row r="285" spans="1:15" x14ac:dyDescent="0.25">
      <c r="A285" s="1">
        <v>45209</v>
      </c>
      <c r="B285" s="3">
        <f t="array" ref="B285">MIN(IF(A285=Timesheet!$A$13:$A$2615,Timesheet!$D$13:$D$2615))</f>
        <v>0</v>
      </c>
      <c r="C285" s="3">
        <f t="array" ref="C285">MAX(IF(A285=Timesheet!$A$13:$A$2615,Timesheet!$E$13:$E$2615))</f>
        <v>0</v>
      </c>
      <c r="E285" s="1">
        <v>45209</v>
      </c>
      <c r="F285" s="2">
        <f>SUMIFS(Timesheet!$F$13:$F$11483,Timesheet!$A$13:$A$11483,'Início|Fim 1'!E285,Timesheet!$C$13:$C$11483,'Início|Fim 1'!$F$2)</f>
        <v>0</v>
      </c>
      <c r="G285" s="2">
        <f>SUMIFS(Timesheet!$F$13:$F$11483,Timesheet!$A$13:$A$11483,'Início|Fim 1'!E285,Timesheet!$C$13:$C$11483,'Início|Fim 1'!$G$2)</f>
        <v>0</v>
      </c>
      <c r="H285" s="2">
        <f>SUMIFS(Timesheet!$F$13:$F$11483,Timesheet!$A$13:$A$11483,'Início|Fim 1'!E285,Timesheet!$C$13:$C$11483,'Início|Fim 1'!$H$2)</f>
        <v>0</v>
      </c>
      <c r="I285" s="2">
        <f>SUMIFS(Timesheet!$F$13:$F$11483,Timesheet!$A$13:$A$11483,'Início|Fim 1'!E285,Timesheet!$C$13:$C$11483,'Início|Fim 1'!$I$2)</f>
        <v>0</v>
      </c>
      <c r="J285" s="2">
        <f>SUMIFS(Timesheet!$F$13:$F$11483,Timesheet!$A$13:$A$11483,'Início|Fim 1'!E285,Timesheet!$C$13:$C$11483,'Início|Fim 1'!$J$2)</f>
        <v>0</v>
      </c>
      <c r="K285" s="2">
        <f>SUMIFS(Timesheet!$F$13:$F$11483,Timesheet!$A$13:$A$11483,'Início|Fim 1'!E285,Timesheet!$C$13:$C$11483,'Início|Fim 1'!$K$2)</f>
        <v>0</v>
      </c>
      <c r="L285" s="2">
        <f>SUMIFS(Timesheet!$F$13:$F$11483,Timesheet!$A$13:$A$11483,'Início|Fim 1'!E285,Timesheet!$C$13:$C$11483,'Início|Fim 1'!$L$2)</f>
        <v>0</v>
      </c>
      <c r="M285" s="2">
        <f>SUMIFS(Timesheet!$F$13:$F$11483,Timesheet!$A$13:$A$11483,'Início|Fim 1'!E285,Timesheet!$C$13:$C$11483,'Início|Fim 1'!$M$2)</f>
        <v>0</v>
      </c>
      <c r="N285" s="2">
        <f>SUMIFS(Timesheet!$F$13:$F$11483,Timesheet!$A$13:$A$11483,'Início|Fim 1'!E285,Timesheet!$C$13:$C$11483,'Início|Fim 1'!$N$2)</f>
        <v>0</v>
      </c>
      <c r="O285" s="2">
        <f t="shared" si="4"/>
        <v>0</v>
      </c>
    </row>
    <row r="286" spans="1:15" x14ac:dyDescent="0.25">
      <c r="A286" s="1">
        <v>45210</v>
      </c>
      <c r="B286" s="3">
        <f t="array" ref="B286">MIN(IF(A286=Timesheet!$A$13:$A$2615,Timesheet!$D$13:$D$2615))</f>
        <v>0</v>
      </c>
      <c r="C286" s="3">
        <f t="array" ref="C286">MAX(IF(A286=Timesheet!$A$13:$A$2615,Timesheet!$E$13:$E$2615))</f>
        <v>0</v>
      </c>
      <c r="E286" s="1">
        <v>45210</v>
      </c>
      <c r="F286" s="2">
        <f>SUMIFS(Timesheet!$F$13:$F$11483,Timesheet!$A$13:$A$11483,'Início|Fim 1'!E286,Timesheet!$C$13:$C$11483,'Início|Fim 1'!$F$2)</f>
        <v>0</v>
      </c>
      <c r="G286" s="2">
        <f>SUMIFS(Timesheet!$F$13:$F$11483,Timesheet!$A$13:$A$11483,'Início|Fim 1'!E286,Timesheet!$C$13:$C$11483,'Início|Fim 1'!$G$2)</f>
        <v>0</v>
      </c>
      <c r="H286" s="2">
        <f>SUMIFS(Timesheet!$F$13:$F$11483,Timesheet!$A$13:$A$11483,'Início|Fim 1'!E286,Timesheet!$C$13:$C$11483,'Início|Fim 1'!$H$2)</f>
        <v>0</v>
      </c>
      <c r="I286" s="2">
        <f>SUMIFS(Timesheet!$F$13:$F$11483,Timesheet!$A$13:$A$11483,'Início|Fim 1'!E286,Timesheet!$C$13:$C$11483,'Início|Fim 1'!$I$2)</f>
        <v>0</v>
      </c>
      <c r="J286" s="2">
        <f>SUMIFS(Timesheet!$F$13:$F$11483,Timesheet!$A$13:$A$11483,'Início|Fim 1'!E286,Timesheet!$C$13:$C$11483,'Início|Fim 1'!$J$2)</f>
        <v>0</v>
      </c>
      <c r="K286" s="2">
        <f>SUMIFS(Timesheet!$F$13:$F$11483,Timesheet!$A$13:$A$11483,'Início|Fim 1'!E286,Timesheet!$C$13:$C$11483,'Início|Fim 1'!$K$2)</f>
        <v>0</v>
      </c>
      <c r="L286" s="2">
        <f>SUMIFS(Timesheet!$F$13:$F$11483,Timesheet!$A$13:$A$11483,'Início|Fim 1'!E286,Timesheet!$C$13:$C$11483,'Início|Fim 1'!$L$2)</f>
        <v>0</v>
      </c>
      <c r="M286" s="2">
        <f>SUMIFS(Timesheet!$F$13:$F$11483,Timesheet!$A$13:$A$11483,'Início|Fim 1'!E286,Timesheet!$C$13:$C$11483,'Início|Fim 1'!$M$2)</f>
        <v>0</v>
      </c>
      <c r="N286" s="2">
        <f>SUMIFS(Timesheet!$F$13:$F$11483,Timesheet!$A$13:$A$11483,'Início|Fim 1'!E286,Timesheet!$C$13:$C$11483,'Início|Fim 1'!$N$2)</f>
        <v>0</v>
      </c>
      <c r="O286" s="2">
        <f t="shared" si="4"/>
        <v>0</v>
      </c>
    </row>
    <row r="287" spans="1:15" x14ac:dyDescent="0.25">
      <c r="A287" s="1">
        <v>45211</v>
      </c>
      <c r="B287" s="3">
        <f t="array" ref="B287">MIN(IF(A287=Timesheet!$A$13:$A$2615,Timesheet!$D$13:$D$2615))</f>
        <v>0</v>
      </c>
      <c r="C287" s="3">
        <f t="array" ref="C287">MAX(IF(A287=Timesheet!$A$13:$A$2615,Timesheet!$E$13:$E$2615))</f>
        <v>0</v>
      </c>
      <c r="E287" s="1">
        <v>45211</v>
      </c>
      <c r="F287" s="2">
        <f>SUMIFS(Timesheet!$F$13:$F$11483,Timesheet!$A$13:$A$11483,'Início|Fim 1'!E287,Timesheet!$C$13:$C$11483,'Início|Fim 1'!$F$2)</f>
        <v>0</v>
      </c>
      <c r="G287" s="2">
        <f>SUMIFS(Timesheet!$F$13:$F$11483,Timesheet!$A$13:$A$11483,'Início|Fim 1'!E287,Timesheet!$C$13:$C$11483,'Início|Fim 1'!$G$2)</f>
        <v>0</v>
      </c>
      <c r="H287" s="2">
        <f>SUMIFS(Timesheet!$F$13:$F$11483,Timesheet!$A$13:$A$11483,'Início|Fim 1'!E287,Timesheet!$C$13:$C$11483,'Início|Fim 1'!$H$2)</f>
        <v>0</v>
      </c>
      <c r="I287" s="2">
        <f>SUMIFS(Timesheet!$F$13:$F$11483,Timesheet!$A$13:$A$11483,'Início|Fim 1'!E287,Timesheet!$C$13:$C$11483,'Início|Fim 1'!$I$2)</f>
        <v>0</v>
      </c>
      <c r="J287" s="2">
        <f>SUMIFS(Timesheet!$F$13:$F$11483,Timesheet!$A$13:$A$11483,'Início|Fim 1'!E287,Timesheet!$C$13:$C$11483,'Início|Fim 1'!$J$2)</f>
        <v>0</v>
      </c>
      <c r="K287" s="2">
        <f>SUMIFS(Timesheet!$F$13:$F$11483,Timesheet!$A$13:$A$11483,'Início|Fim 1'!E287,Timesheet!$C$13:$C$11483,'Início|Fim 1'!$K$2)</f>
        <v>0</v>
      </c>
      <c r="L287" s="2">
        <f>SUMIFS(Timesheet!$F$13:$F$11483,Timesheet!$A$13:$A$11483,'Início|Fim 1'!E287,Timesheet!$C$13:$C$11483,'Início|Fim 1'!$L$2)</f>
        <v>0</v>
      </c>
      <c r="M287" s="2">
        <f>SUMIFS(Timesheet!$F$13:$F$11483,Timesheet!$A$13:$A$11483,'Início|Fim 1'!E287,Timesheet!$C$13:$C$11483,'Início|Fim 1'!$M$2)</f>
        <v>0</v>
      </c>
      <c r="N287" s="2">
        <f>SUMIFS(Timesheet!$F$13:$F$11483,Timesheet!$A$13:$A$11483,'Início|Fim 1'!E287,Timesheet!$C$13:$C$11483,'Início|Fim 1'!$N$2)</f>
        <v>0</v>
      </c>
      <c r="O287" s="2">
        <f t="shared" si="4"/>
        <v>0</v>
      </c>
    </row>
    <row r="288" spans="1:15" x14ac:dyDescent="0.25">
      <c r="A288" s="1">
        <v>45212</v>
      </c>
      <c r="B288" s="3">
        <f t="array" ref="B288">MIN(IF(A288=Timesheet!$A$13:$A$2615,Timesheet!$D$13:$D$2615))</f>
        <v>0</v>
      </c>
      <c r="C288" s="3">
        <f t="array" ref="C288">MAX(IF(A288=Timesheet!$A$13:$A$2615,Timesheet!$E$13:$E$2615))</f>
        <v>0</v>
      </c>
      <c r="E288" s="1">
        <v>45212</v>
      </c>
      <c r="F288" s="2">
        <f>SUMIFS(Timesheet!$F$13:$F$11483,Timesheet!$A$13:$A$11483,'Início|Fim 1'!E288,Timesheet!$C$13:$C$11483,'Início|Fim 1'!$F$2)</f>
        <v>0</v>
      </c>
      <c r="G288" s="2">
        <f>SUMIFS(Timesheet!$F$13:$F$11483,Timesheet!$A$13:$A$11483,'Início|Fim 1'!E288,Timesheet!$C$13:$C$11483,'Início|Fim 1'!$G$2)</f>
        <v>0</v>
      </c>
      <c r="H288" s="2">
        <f>SUMIFS(Timesheet!$F$13:$F$11483,Timesheet!$A$13:$A$11483,'Início|Fim 1'!E288,Timesheet!$C$13:$C$11483,'Início|Fim 1'!$H$2)</f>
        <v>0</v>
      </c>
      <c r="I288" s="2">
        <f>SUMIFS(Timesheet!$F$13:$F$11483,Timesheet!$A$13:$A$11483,'Início|Fim 1'!E288,Timesheet!$C$13:$C$11483,'Início|Fim 1'!$I$2)</f>
        <v>0</v>
      </c>
      <c r="J288" s="2">
        <f>SUMIFS(Timesheet!$F$13:$F$11483,Timesheet!$A$13:$A$11483,'Início|Fim 1'!E288,Timesheet!$C$13:$C$11483,'Início|Fim 1'!$J$2)</f>
        <v>0</v>
      </c>
      <c r="K288" s="2">
        <f>SUMIFS(Timesheet!$F$13:$F$11483,Timesheet!$A$13:$A$11483,'Início|Fim 1'!E288,Timesheet!$C$13:$C$11483,'Início|Fim 1'!$K$2)</f>
        <v>0</v>
      </c>
      <c r="L288" s="2">
        <f>SUMIFS(Timesheet!$F$13:$F$11483,Timesheet!$A$13:$A$11483,'Início|Fim 1'!E288,Timesheet!$C$13:$C$11483,'Início|Fim 1'!$L$2)</f>
        <v>0</v>
      </c>
      <c r="M288" s="2">
        <f>SUMIFS(Timesheet!$F$13:$F$11483,Timesheet!$A$13:$A$11483,'Início|Fim 1'!E288,Timesheet!$C$13:$C$11483,'Início|Fim 1'!$M$2)</f>
        <v>0</v>
      </c>
      <c r="N288" s="2">
        <f>SUMIFS(Timesheet!$F$13:$F$11483,Timesheet!$A$13:$A$11483,'Início|Fim 1'!E288,Timesheet!$C$13:$C$11483,'Início|Fim 1'!$N$2)</f>
        <v>0</v>
      </c>
      <c r="O288" s="2">
        <f t="shared" si="4"/>
        <v>0</v>
      </c>
    </row>
    <row r="289" spans="1:15" x14ac:dyDescent="0.25">
      <c r="A289" s="1">
        <v>45213</v>
      </c>
      <c r="B289" s="3">
        <f t="array" ref="B289">MIN(IF(A289=Timesheet!$A$13:$A$2615,Timesheet!$D$13:$D$2615))</f>
        <v>0</v>
      </c>
      <c r="C289" s="3">
        <f t="array" ref="C289">MAX(IF(A289=Timesheet!$A$13:$A$2615,Timesheet!$E$13:$E$2615))</f>
        <v>0</v>
      </c>
      <c r="E289" s="1">
        <v>45213</v>
      </c>
      <c r="F289" s="2">
        <f>SUMIFS(Timesheet!$F$13:$F$11483,Timesheet!$A$13:$A$11483,'Início|Fim 1'!E289,Timesheet!$C$13:$C$11483,'Início|Fim 1'!$F$2)</f>
        <v>0</v>
      </c>
      <c r="G289" s="2">
        <f>SUMIFS(Timesheet!$F$13:$F$11483,Timesheet!$A$13:$A$11483,'Início|Fim 1'!E289,Timesheet!$C$13:$C$11483,'Início|Fim 1'!$G$2)</f>
        <v>0</v>
      </c>
      <c r="H289" s="2">
        <f>SUMIFS(Timesheet!$F$13:$F$11483,Timesheet!$A$13:$A$11483,'Início|Fim 1'!E289,Timesheet!$C$13:$C$11483,'Início|Fim 1'!$H$2)</f>
        <v>0</v>
      </c>
      <c r="I289" s="2">
        <f>SUMIFS(Timesheet!$F$13:$F$11483,Timesheet!$A$13:$A$11483,'Início|Fim 1'!E289,Timesheet!$C$13:$C$11483,'Início|Fim 1'!$I$2)</f>
        <v>0</v>
      </c>
      <c r="J289" s="2">
        <f>SUMIFS(Timesheet!$F$13:$F$11483,Timesheet!$A$13:$A$11483,'Início|Fim 1'!E289,Timesheet!$C$13:$C$11483,'Início|Fim 1'!$J$2)</f>
        <v>0</v>
      </c>
      <c r="K289" s="2">
        <f>SUMIFS(Timesheet!$F$13:$F$11483,Timesheet!$A$13:$A$11483,'Início|Fim 1'!E289,Timesheet!$C$13:$C$11483,'Início|Fim 1'!$K$2)</f>
        <v>0</v>
      </c>
      <c r="L289" s="2">
        <f>SUMIFS(Timesheet!$F$13:$F$11483,Timesheet!$A$13:$A$11483,'Início|Fim 1'!E289,Timesheet!$C$13:$C$11483,'Início|Fim 1'!$L$2)</f>
        <v>0</v>
      </c>
      <c r="M289" s="2">
        <f>SUMIFS(Timesheet!$F$13:$F$11483,Timesheet!$A$13:$A$11483,'Início|Fim 1'!E289,Timesheet!$C$13:$C$11483,'Início|Fim 1'!$M$2)</f>
        <v>0</v>
      </c>
      <c r="N289" s="2">
        <f>SUMIFS(Timesheet!$F$13:$F$11483,Timesheet!$A$13:$A$11483,'Início|Fim 1'!E289,Timesheet!$C$13:$C$11483,'Início|Fim 1'!$N$2)</f>
        <v>0</v>
      </c>
      <c r="O289" s="2">
        <f t="shared" si="4"/>
        <v>0</v>
      </c>
    </row>
    <row r="290" spans="1:15" x14ac:dyDescent="0.25">
      <c r="A290" s="1">
        <v>45214</v>
      </c>
      <c r="B290" s="3">
        <f t="array" ref="B290">MIN(IF(A290=Timesheet!$A$13:$A$2615,Timesheet!$D$13:$D$2615))</f>
        <v>0</v>
      </c>
      <c r="C290" s="3">
        <f t="array" ref="C290">MAX(IF(A290=Timesheet!$A$13:$A$2615,Timesheet!$E$13:$E$2615))</f>
        <v>0</v>
      </c>
      <c r="E290" s="1">
        <v>45214</v>
      </c>
      <c r="F290" s="2">
        <f>SUMIFS(Timesheet!$F$13:$F$11483,Timesheet!$A$13:$A$11483,'Início|Fim 1'!E290,Timesheet!$C$13:$C$11483,'Início|Fim 1'!$F$2)</f>
        <v>0</v>
      </c>
      <c r="G290" s="2">
        <f>SUMIFS(Timesheet!$F$13:$F$11483,Timesheet!$A$13:$A$11483,'Início|Fim 1'!E290,Timesheet!$C$13:$C$11483,'Início|Fim 1'!$G$2)</f>
        <v>0</v>
      </c>
      <c r="H290" s="2">
        <f>SUMIFS(Timesheet!$F$13:$F$11483,Timesheet!$A$13:$A$11483,'Início|Fim 1'!E290,Timesheet!$C$13:$C$11483,'Início|Fim 1'!$H$2)</f>
        <v>0</v>
      </c>
      <c r="I290" s="2">
        <f>SUMIFS(Timesheet!$F$13:$F$11483,Timesheet!$A$13:$A$11483,'Início|Fim 1'!E290,Timesheet!$C$13:$C$11483,'Início|Fim 1'!$I$2)</f>
        <v>0</v>
      </c>
      <c r="J290" s="2">
        <f>SUMIFS(Timesheet!$F$13:$F$11483,Timesheet!$A$13:$A$11483,'Início|Fim 1'!E290,Timesheet!$C$13:$C$11483,'Início|Fim 1'!$J$2)</f>
        <v>0</v>
      </c>
      <c r="K290" s="2">
        <f>SUMIFS(Timesheet!$F$13:$F$11483,Timesheet!$A$13:$A$11483,'Início|Fim 1'!E290,Timesheet!$C$13:$C$11483,'Início|Fim 1'!$K$2)</f>
        <v>0</v>
      </c>
      <c r="L290" s="2">
        <f>SUMIFS(Timesheet!$F$13:$F$11483,Timesheet!$A$13:$A$11483,'Início|Fim 1'!E290,Timesheet!$C$13:$C$11483,'Início|Fim 1'!$L$2)</f>
        <v>0</v>
      </c>
      <c r="M290" s="2">
        <f>SUMIFS(Timesheet!$F$13:$F$11483,Timesheet!$A$13:$A$11483,'Início|Fim 1'!E290,Timesheet!$C$13:$C$11483,'Início|Fim 1'!$M$2)</f>
        <v>0</v>
      </c>
      <c r="N290" s="2">
        <f>SUMIFS(Timesheet!$F$13:$F$11483,Timesheet!$A$13:$A$11483,'Início|Fim 1'!E290,Timesheet!$C$13:$C$11483,'Início|Fim 1'!$N$2)</f>
        <v>0</v>
      </c>
      <c r="O290" s="2">
        <f t="shared" si="4"/>
        <v>0</v>
      </c>
    </row>
    <row r="291" spans="1:15" x14ac:dyDescent="0.25">
      <c r="A291" s="1">
        <v>45215</v>
      </c>
      <c r="B291" s="3">
        <f t="array" ref="B291">MIN(IF(A291=Timesheet!$A$13:$A$2615,Timesheet!$D$13:$D$2615))</f>
        <v>0</v>
      </c>
      <c r="C291" s="3">
        <f t="array" ref="C291">MAX(IF(A291=Timesheet!$A$13:$A$2615,Timesheet!$E$13:$E$2615))</f>
        <v>0</v>
      </c>
      <c r="E291" s="1">
        <v>45215</v>
      </c>
      <c r="F291" s="2">
        <f>SUMIFS(Timesheet!$F$13:$F$11483,Timesheet!$A$13:$A$11483,'Início|Fim 1'!E291,Timesheet!$C$13:$C$11483,'Início|Fim 1'!$F$2)</f>
        <v>0</v>
      </c>
      <c r="G291" s="2">
        <f>SUMIFS(Timesheet!$F$13:$F$11483,Timesheet!$A$13:$A$11483,'Início|Fim 1'!E291,Timesheet!$C$13:$C$11483,'Início|Fim 1'!$G$2)</f>
        <v>0</v>
      </c>
      <c r="H291" s="2">
        <f>SUMIFS(Timesheet!$F$13:$F$11483,Timesheet!$A$13:$A$11483,'Início|Fim 1'!E291,Timesheet!$C$13:$C$11483,'Início|Fim 1'!$H$2)</f>
        <v>0</v>
      </c>
      <c r="I291" s="2">
        <f>SUMIFS(Timesheet!$F$13:$F$11483,Timesheet!$A$13:$A$11483,'Início|Fim 1'!E291,Timesheet!$C$13:$C$11483,'Início|Fim 1'!$I$2)</f>
        <v>0</v>
      </c>
      <c r="J291" s="2">
        <f>SUMIFS(Timesheet!$F$13:$F$11483,Timesheet!$A$13:$A$11483,'Início|Fim 1'!E291,Timesheet!$C$13:$C$11483,'Início|Fim 1'!$J$2)</f>
        <v>0</v>
      </c>
      <c r="K291" s="2">
        <f>SUMIFS(Timesheet!$F$13:$F$11483,Timesheet!$A$13:$A$11483,'Início|Fim 1'!E291,Timesheet!$C$13:$C$11483,'Início|Fim 1'!$K$2)</f>
        <v>0</v>
      </c>
      <c r="L291" s="2">
        <f>SUMIFS(Timesheet!$F$13:$F$11483,Timesheet!$A$13:$A$11483,'Início|Fim 1'!E291,Timesheet!$C$13:$C$11483,'Início|Fim 1'!$L$2)</f>
        <v>0</v>
      </c>
      <c r="M291" s="2">
        <f>SUMIFS(Timesheet!$F$13:$F$11483,Timesheet!$A$13:$A$11483,'Início|Fim 1'!E291,Timesheet!$C$13:$C$11483,'Início|Fim 1'!$M$2)</f>
        <v>0</v>
      </c>
      <c r="N291" s="2">
        <f>SUMIFS(Timesheet!$F$13:$F$11483,Timesheet!$A$13:$A$11483,'Início|Fim 1'!E291,Timesheet!$C$13:$C$11483,'Início|Fim 1'!$N$2)</f>
        <v>0</v>
      </c>
      <c r="O291" s="2">
        <f t="shared" si="4"/>
        <v>0</v>
      </c>
    </row>
    <row r="292" spans="1:15" x14ac:dyDescent="0.25">
      <c r="A292" s="1">
        <v>45216</v>
      </c>
      <c r="B292" s="3">
        <f t="array" ref="B292">MIN(IF(A292=Timesheet!$A$13:$A$2615,Timesheet!$D$13:$D$2615))</f>
        <v>0</v>
      </c>
      <c r="C292" s="3">
        <f t="array" ref="C292">MAX(IF(A292=Timesheet!$A$13:$A$2615,Timesheet!$E$13:$E$2615))</f>
        <v>0</v>
      </c>
      <c r="E292" s="1">
        <v>45216</v>
      </c>
      <c r="F292" s="2">
        <f>SUMIFS(Timesheet!$F$13:$F$11483,Timesheet!$A$13:$A$11483,'Início|Fim 1'!E292,Timesheet!$C$13:$C$11483,'Início|Fim 1'!$F$2)</f>
        <v>0</v>
      </c>
      <c r="G292" s="2">
        <f>SUMIFS(Timesheet!$F$13:$F$11483,Timesheet!$A$13:$A$11483,'Início|Fim 1'!E292,Timesheet!$C$13:$C$11483,'Início|Fim 1'!$G$2)</f>
        <v>0</v>
      </c>
      <c r="H292" s="2">
        <f>SUMIFS(Timesheet!$F$13:$F$11483,Timesheet!$A$13:$A$11483,'Início|Fim 1'!E292,Timesheet!$C$13:$C$11483,'Início|Fim 1'!$H$2)</f>
        <v>0</v>
      </c>
      <c r="I292" s="2">
        <f>SUMIFS(Timesheet!$F$13:$F$11483,Timesheet!$A$13:$A$11483,'Início|Fim 1'!E292,Timesheet!$C$13:$C$11483,'Início|Fim 1'!$I$2)</f>
        <v>0</v>
      </c>
      <c r="J292" s="2">
        <f>SUMIFS(Timesheet!$F$13:$F$11483,Timesheet!$A$13:$A$11483,'Início|Fim 1'!E292,Timesheet!$C$13:$C$11483,'Início|Fim 1'!$J$2)</f>
        <v>0</v>
      </c>
      <c r="K292" s="2">
        <f>SUMIFS(Timesheet!$F$13:$F$11483,Timesheet!$A$13:$A$11483,'Início|Fim 1'!E292,Timesheet!$C$13:$C$11483,'Início|Fim 1'!$K$2)</f>
        <v>0</v>
      </c>
      <c r="L292" s="2">
        <f>SUMIFS(Timesheet!$F$13:$F$11483,Timesheet!$A$13:$A$11483,'Início|Fim 1'!E292,Timesheet!$C$13:$C$11483,'Início|Fim 1'!$L$2)</f>
        <v>0</v>
      </c>
      <c r="M292" s="2">
        <f>SUMIFS(Timesheet!$F$13:$F$11483,Timesheet!$A$13:$A$11483,'Início|Fim 1'!E292,Timesheet!$C$13:$C$11483,'Início|Fim 1'!$M$2)</f>
        <v>0</v>
      </c>
      <c r="N292" s="2">
        <f>SUMIFS(Timesheet!$F$13:$F$11483,Timesheet!$A$13:$A$11483,'Início|Fim 1'!E292,Timesheet!$C$13:$C$11483,'Início|Fim 1'!$N$2)</f>
        <v>0</v>
      </c>
      <c r="O292" s="2">
        <f t="shared" si="4"/>
        <v>0</v>
      </c>
    </row>
    <row r="293" spans="1:15" x14ac:dyDescent="0.25">
      <c r="A293" s="1">
        <v>45217</v>
      </c>
      <c r="B293" s="3">
        <f t="array" ref="B293">MIN(IF(A293=Timesheet!$A$13:$A$2615,Timesheet!$D$13:$D$2615))</f>
        <v>0</v>
      </c>
      <c r="C293" s="3">
        <f t="array" ref="C293">MAX(IF(A293=Timesheet!$A$13:$A$2615,Timesheet!$E$13:$E$2615))</f>
        <v>0</v>
      </c>
      <c r="E293" s="1">
        <v>45217</v>
      </c>
      <c r="F293" s="2">
        <f>SUMIFS(Timesheet!$F$13:$F$11483,Timesheet!$A$13:$A$11483,'Início|Fim 1'!E293,Timesheet!$C$13:$C$11483,'Início|Fim 1'!$F$2)</f>
        <v>0</v>
      </c>
      <c r="G293" s="2">
        <f>SUMIFS(Timesheet!$F$13:$F$11483,Timesheet!$A$13:$A$11483,'Início|Fim 1'!E293,Timesheet!$C$13:$C$11483,'Início|Fim 1'!$G$2)</f>
        <v>0</v>
      </c>
      <c r="H293" s="2">
        <f>SUMIFS(Timesheet!$F$13:$F$11483,Timesheet!$A$13:$A$11483,'Início|Fim 1'!E293,Timesheet!$C$13:$C$11483,'Início|Fim 1'!$H$2)</f>
        <v>0</v>
      </c>
      <c r="I293" s="2">
        <f>SUMIFS(Timesheet!$F$13:$F$11483,Timesheet!$A$13:$A$11483,'Início|Fim 1'!E293,Timesheet!$C$13:$C$11483,'Início|Fim 1'!$I$2)</f>
        <v>0</v>
      </c>
      <c r="J293" s="2">
        <f>SUMIFS(Timesheet!$F$13:$F$11483,Timesheet!$A$13:$A$11483,'Início|Fim 1'!E293,Timesheet!$C$13:$C$11483,'Início|Fim 1'!$J$2)</f>
        <v>0</v>
      </c>
      <c r="K293" s="2">
        <f>SUMIFS(Timesheet!$F$13:$F$11483,Timesheet!$A$13:$A$11483,'Início|Fim 1'!E293,Timesheet!$C$13:$C$11483,'Início|Fim 1'!$K$2)</f>
        <v>0</v>
      </c>
      <c r="L293" s="2">
        <f>SUMIFS(Timesheet!$F$13:$F$11483,Timesheet!$A$13:$A$11483,'Início|Fim 1'!E293,Timesheet!$C$13:$C$11483,'Início|Fim 1'!$L$2)</f>
        <v>0</v>
      </c>
      <c r="M293" s="2">
        <f>SUMIFS(Timesheet!$F$13:$F$11483,Timesheet!$A$13:$A$11483,'Início|Fim 1'!E293,Timesheet!$C$13:$C$11483,'Início|Fim 1'!$M$2)</f>
        <v>0</v>
      </c>
      <c r="N293" s="2">
        <f>SUMIFS(Timesheet!$F$13:$F$11483,Timesheet!$A$13:$A$11483,'Início|Fim 1'!E293,Timesheet!$C$13:$C$11483,'Início|Fim 1'!$N$2)</f>
        <v>0</v>
      </c>
      <c r="O293" s="2">
        <f t="shared" si="4"/>
        <v>0</v>
      </c>
    </row>
    <row r="294" spans="1:15" x14ac:dyDescent="0.25">
      <c r="A294" s="1">
        <v>45218</v>
      </c>
      <c r="B294" s="3">
        <f t="array" ref="B294">MIN(IF(A294=Timesheet!$A$13:$A$2615,Timesheet!$D$13:$D$2615))</f>
        <v>0</v>
      </c>
      <c r="C294" s="3">
        <f t="array" ref="C294">MAX(IF(A294=Timesheet!$A$13:$A$2615,Timesheet!$E$13:$E$2615))</f>
        <v>0</v>
      </c>
      <c r="E294" s="1">
        <v>45218</v>
      </c>
      <c r="F294" s="2">
        <f>SUMIFS(Timesheet!$F$13:$F$11483,Timesheet!$A$13:$A$11483,'Início|Fim 1'!E294,Timesheet!$C$13:$C$11483,'Início|Fim 1'!$F$2)</f>
        <v>0</v>
      </c>
      <c r="G294" s="2">
        <f>SUMIFS(Timesheet!$F$13:$F$11483,Timesheet!$A$13:$A$11483,'Início|Fim 1'!E294,Timesheet!$C$13:$C$11483,'Início|Fim 1'!$G$2)</f>
        <v>0</v>
      </c>
      <c r="H294" s="2">
        <f>SUMIFS(Timesheet!$F$13:$F$11483,Timesheet!$A$13:$A$11483,'Início|Fim 1'!E294,Timesheet!$C$13:$C$11483,'Início|Fim 1'!$H$2)</f>
        <v>0</v>
      </c>
      <c r="I294" s="2">
        <f>SUMIFS(Timesheet!$F$13:$F$11483,Timesheet!$A$13:$A$11483,'Início|Fim 1'!E294,Timesheet!$C$13:$C$11483,'Início|Fim 1'!$I$2)</f>
        <v>0</v>
      </c>
      <c r="J294" s="2">
        <f>SUMIFS(Timesheet!$F$13:$F$11483,Timesheet!$A$13:$A$11483,'Início|Fim 1'!E294,Timesheet!$C$13:$C$11483,'Início|Fim 1'!$J$2)</f>
        <v>0</v>
      </c>
      <c r="K294" s="2">
        <f>SUMIFS(Timesheet!$F$13:$F$11483,Timesheet!$A$13:$A$11483,'Início|Fim 1'!E294,Timesheet!$C$13:$C$11483,'Início|Fim 1'!$K$2)</f>
        <v>0</v>
      </c>
      <c r="L294" s="2">
        <f>SUMIFS(Timesheet!$F$13:$F$11483,Timesheet!$A$13:$A$11483,'Início|Fim 1'!E294,Timesheet!$C$13:$C$11483,'Início|Fim 1'!$L$2)</f>
        <v>0</v>
      </c>
      <c r="M294" s="2">
        <f>SUMIFS(Timesheet!$F$13:$F$11483,Timesheet!$A$13:$A$11483,'Início|Fim 1'!E294,Timesheet!$C$13:$C$11483,'Início|Fim 1'!$M$2)</f>
        <v>0</v>
      </c>
      <c r="N294" s="2">
        <f>SUMIFS(Timesheet!$F$13:$F$11483,Timesheet!$A$13:$A$11483,'Início|Fim 1'!E294,Timesheet!$C$13:$C$11483,'Início|Fim 1'!$N$2)</f>
        <v>0</v>
      </c>
      <c r="O294" s="2">
        <f t="shared" si="4"/>
        <v>0</v>
      </c>
    </row>
    <row r="295" spans="1:15" x14ac:dyDescent="0.25">
      <c r="A295" s="1">
        <v>45219</v>
      </c>
      <c r="B295" s="3">
        <f t="array" ref="B295">MIN(IF(A295=Timesheet!$A$13:$A$2615,Timesheet!$D$13:$D$2615))</f>
        <v>0</v>
      </c>
      <c r="C295" s="3">
        <f t="array" ref="C295">MAX(IF(A295=Timesheet!$A$13:$A$2615,Timesheet!$E$13:$E$2615))</f>
        <v>0</v>
      </c>
      <c r="E295" s="1">
        <v>45219</v>
      </c>
      <c r="F295" s="2">
        <f>SUMIFS(Timesheet!$F$13:$F$11483,Timesheet!$A$13:$A$11483,'Início|Fim 1'!E295,Timesheet!$C$13:$C$11483,'Início|Fim 1'!$F$2)</f>
        <v>0</v>
      </c>
      <c r="G295" s="2">
        <f>SUMIFS(Timesheet!$F$13:$F$11483,Timesheet!$A$13:$A$11483,'Início|Fim 1'!E295,Timesheet!$C$13:$C$11483,'Início|Fim 1'!$G$2)</f>
        <v>0</v>
      </c>
      <c r="H295" s="2">
        <f>SUMIFS(Timesheet!$F$13:$F$11483,Timesheet!$A$13:$A$11483,'Início|Fim 1'!E295,Timesheet!$C$13:$C$11483,'Início|Fim 1'!$H$2)</f>
        <v>0</v>
      </c>
      <c r="I295" s="2">
        <f>SUMIFS(Timesheet!$F$13:$F$11483,Timesheet!$A$13:$A$11483,'Início|Fim 1'!E295,Timesheet!$C$13:$C$11483,'Início|Fim 1'!$I$2)</f>
        <v>0</v>
      </c>
      <c r="J295" s="2">
        <f>SUMIFS(Timesheet!$F$13:$F$11483,Timesheet!$A$13:$A$11483,'Início|Fim 1'!E295,Timesheet!$C$13:$C$11483,'Início|Fim 1'!$J$2)</f>
        <v>0</v>
      </c>
      <c r="K295" s="2">
        <f>SUMIFS(Timesheet!$F$13:$F$11483,Timesheet!$A$13:$A$11483,'Início|Fim 1'!E295,Timesheet!$C$13:$C$11483,'Início|Fim 1'!$K$2)</f>
        <v>0</v>
      </c>
      <c r="L295" s="2">
        <f>SUMIFS(Timesheet!$F$13:$F$11483,Timesheet!$A$13:$A$11483,'Início|Fim 1'!E295,Timesheet!$C$13:$C$11483,'Início|Fim 1'!$L$2)</f>
        <v>0</v>
      </c>
      <c r="M295" s="2">
        <f>SUMIFS(Timesheet!$F$13:$F$11483,Timesheet!$A$13:$A$11483,'Início|Fim 1'!E295,Timesheet!$C$13:$C$11483,'Início|Fim 1'!$M$2)</f>
        <v>0</v>
      </c>
      <c r="N295" s="2">
        <f>SUMIFS(Timesheet!$F$13:$F$11483,Timesheet!$A$13:$A$11483,'Início|Fim 1'!E295,Timesheet!$C$13:$C$11483,'Início|Fim 1'!$N$2)</f>
        <v>0</v>
      </c>
      <c r="O295" s="2">
        <f t="shared" si="4"/>
        <v>0</v>
      </c>
    </row>
    <row r="296" spans="1:15" x14ac:dyDescent="0.25">
      <c r="A296" s="1">
        <v>45220</v>
      </c>
      <c r="B296" s="3">
        <f t="array" ref="B296">MIN(IF(A296=Timesheet!$A$13:$A$2615,Timesheet!$D$13:$D$2615))</f>
        <v>0</v>
      </c>
      <c r="C296" s="3">
        <f t="array" ref="C296">MAX(IF(A296=Timesheet!$A$13:$A$2615,Timesheet!$E$13:$E$2615))</f>
        <v>0</v>
      </c>
      <c r="E296" s="1">
        <v>45220</v>
      </c>
      <c r="F296" s="2">
        <f>SUMIFS(Timesheet!$F$13:$F$11483,Timesheet!$A$13:$A$11483,'Início|Fim 1'!E296,Timesheet!$C$13:$C$11483,'Início|Fim 1'!$F$2)</f>
        <v>0</v>
      </c>
      <c r="G296" s="2">
        <f>SUMIFS(Timesheet!$F$13:$F$11483,Timesheet!$A$13:$A$11483,'Início|Fim 1'!E296,Timesheet!$C$13:$C$11483,'Início|Fim 1'!$G$2)</f>
        <v>0</v>
      </c>
      <c r="H296" s="2">
        <f>SUMIFS(Timesheet!$F$13:$F$11483,Timesheet!$A$13:$A$11483,'Início|Fim 1'!E296,Timesheet!$C$13:$C$11483,'Início|Fim 1'!$H$2)</f>
        <v>0</v>
      </c>
      <c r="I296" s="2">
        <f>SUMIFS(Timesheet!$F$13:$F$11483,Timesheet!$A$13:$A$11483,'Início|Fim 1'!E296,Timesheet!$C$13:$C$11483,'Início|Fim 1'!$I$2)</f>
        <v>0</v>
      </c>
      <c r="J296" s="2">
        <f>SUMIFS(Timesheet!$F$13:$F$11483,Timesheet!$A$13:$A$11483,'Início|Fim 1'!E296,Timesheet!$C$13:$C$11483,'Início|Fim 1'!$J$2)</f>
        <v>0</v>
      </c>
      <c r="K296" s="2">
        <f>SUMIFS(Timesheet!$F$13:$F$11483,Timesheet!$A$13:$A$11483,'Início|Fim 1'!E296,Timesheet!$C$13:$C$11483,'Início|Fim 1'!$K$2)</f>
        <v>0</v>
      </c>
      <c r="L296" s="2">
        <f>SUMIFS(Timesheet!$F$13:$F$11483,Timesheet!$A$13:$A$11483,'Início|Fim 1'!E296,Timesheet!$C$13:$C$11483,'Início|Fim 1'!$L$2)</f>
        <v>0</v>
      </c>
      <c r="M296" s="2">
        <f>SUMIFS(Timesheet!$F$13:$F$11483,Timesheet!$A$13:$A$11483,'Início|Fim 1'!E296,Timesheet!$C$13:$C$11483,'Início|Fim 1'!$M$2)</f>
        <v>0</v>
      </c>
      <c r="N296" s="2">
        <f>SUMIFS(Timesheet!$F$13:$F$11483,Timesheet!$A$13:$A$11483,'Início|Fim 1'!E296,Timesheet!$C$13:$C$11483,'Início|Fim 1'!$N$2)</f>
        <v>0</v>
      </c>
      <c r="O296" s="2">
        <f t="shared" si="4"/>
        <v>0</v>
      </c>
    </row>
    <row r="297" spans="1:15" x14ac:dyDescent="0.25">
      <c r="A297" s="1">
        <v>45221</v>
      </c>
      <c r="B297" s="3">
        <f t="array" ref="B297">MIN(IF(A297=Timesheet!$A$13:$A$2615,Timesheet!$D$13:$D$2615))</f>
        <v>0</v>
      </c>
      <c r="C297" s="3">
        <f t="array" ref="C297">MAX(IF(A297=Timesheet!$A$13:$A$2615,Timesheet!$E$13:$E$2615))</f>
        <v>0</v>
      </c>
      <c r="E297" s="1">
        <v>45221</v>
      </c>
      <c r="F297" s="2">
        <f>SUMIFS(Timesheet!$F$13:$F$11483,Timesheet!$A$13:$A$11483,'Início|Fim 1'!E297,Timesheet!$C$13:$C$11483,'Início|Fim 1'!$F$2)</f>
        <v>0</v>
      </c>
      <c r="G297" s="2">
        <f>SUMIFS(Timesheet!$F$13:$F$11483,Timesheet!$A$13:$A$11483,'Início|Fim 1'!E297,Timesheet!$C$13:$C$11483,'Início|Fim 1'!$G$2)</f>
        <v>0</v>
      </c>
      <c r="H297" s="2">
        <f>SUMIFS(Timesheet!$F$13:$F$11483,Timesheet!$A$13:$A$11483,'Início|Fim 1'!E297,Timesheet!$C$13:$C$11483,'Início|Fim 1'!$H$2)</f>
        <v>0</v>
      </c>
      <c r="I297" s="2">
        <f>SUMIFS(Timesheet!$F$13:$F$11483,Timesheet!$A$13:$A$11483,'Início|Fim 1'!E297,Timesheet!$C$13:$C$11483,'Início|Fim 1'!$I$2)</f>
        <v>0</v>
      </c>
      <c r="J297" s="2">
        <f>SUMIFS(Timesheet!$F$13:$F$11483,Timesheet!$A$13:$A$11483,'Início|Fim 1'!E297,Timesheet!$C$13:$C$11483,'Início|Fim 1'!$J$2)</f>
        <v>0</v>
      </c>
      <c r="K297" s="2">
        <f>SUMIFS(Timesheet!$F$13:$F$11483,Timesheet!$A$13:$A$11483,'Início|Fim 1'!E297,Timesheet!$C$13:$C$11483,'Início|Fim 1'!$K$2)</f>
        <v>0</v>
      </c>
      <c r="L297" s="2">
        <f>SUMIFS(Timesheet!$F$13:$F$11483,Timesheet!$A$13:$A$11483,'Início|Fim 1'!E297,Timesheet!$C$13:$C$11483,'Início|Fim 1'!$L$2)</f>
        <v>0</v>
      </c>
      <c r="M297" s="2">
        <f>SUMIFS(Timesheet!$F$13:$F$11483,Timesheet!$A$13:$A$11483,'Início|Fim 1'!E297,Timesheet!$C$13:$C$11483,'Início|Fim 1'!$M$2)</f>
        <v>0</v>
      </c>
      <c r="N297" s="2">
        <f>SUMIFS(Timesheet!$F$13:$F$11483,Timesheet!$A$13:$A$11483,'Início|Fim 1'!E297,Timesheet!$C$13:$C$11483,'Início|Fim 1'!$N$2)</f>
        <v>0</v>
      </c>
      <c r="O297" s="2">
        <f t="shared" si="4"/>
        <v>0</v>
      </c>
    </row>
    <row r="298" spans="1:15" x14ac:dyDescent="0.25">
      <c r="A298" s="1">
        <v>45222</v>
      </c>
      <c r="B298" s="3">
        <f t="array" ref="B298">MIN(IF(A298=Timesheet!$A$13:$A$2615,Timesheet!$D$13:$D$2615))</f>
        <v>0</v>
      </c>
      <c r="C298" s="3">
        <f t="array" ref="C298">MAX(IF(A298=Timesheet!$A$13:$A$2615,Timesheet!$E$13:$E$2615))</f>
        <v>0</v>
      </c>
      <c r="E298" s="1">
        <v>45222</v>
      </c>
      <c r="F298" s="2">
        <f>SUMIFS(Timesheet!$F$13:$F$11483,Timesheet!$A$13:$A$11483,'Início|Fim 1'!E298,Timesheet!$C$13:$C$11483,'Início|Fim 1'!$F$2)</f>
        <v>0</v>
      </c>
      <c r="G298" s="2">
        <f>SUMIFS(Timesheet!$F$13:$F$11483,Timesheet!$A$13:$A$11483,'Início|Fim 1'!E298,Timesheet!$C$13:$C$11483,'Início|Fim 1'!$G$2)</f>
        <v>0</v>
      </c>
      <c r="H298" s="2">
        <f>SUMIFS(Timesheet!$F$13:$F$11483,Timesheet!$A$13:$A$11483,'Início|Fim 1'!E298,Timesheet!$C$13:$C$11483,'Início|Fim 1'!$H$2)</f>
        <v>0</v>
      </c>
      <c r="I298" s="2">
        <f>SUMIFS(Timesheet!$F$13:$F$11483,Timesheet!$A$13:$A$11483,'Início|Fim 1'!E298,Timesheet!$C$13:$C$11483,'Início|Fim 1'!$I$2)</f>
        <v>0</v>
      </c>
      <c r="J298" s="2">
        <f>SUMIFS(Timesheet!$F$13:$F$11483,Timesheet!$A$13:$A$11483,'Início|Fim 1'!E298,Timesheet!$C$13:$C$11483,'Início|Fim 1'!$J$2)</f>
        <v>0</v>
      </c>
      <c r="K298" s="2">
        <f>SUMIFS(Timesheet!$F$13:$F$11483,Timesheet!$A$13:$A$11483,'Início|Fim 1'!E298,Timesheet!$C$13:$C$11483,'Início|Fim 1'!$K$2)</f>
        <v>0</v>
      </c>
      <c r="L298" s="2">
        <f>SUMIFS(Timesheet!$F$13:$F$11483,Timesheet!$A$13:$A$11483,'Início|Fim 1'!E298,Timesheet!$C$13:$C$11483,'Início|Fim 1'!$L$2)</f>
        <v>0</v>
      </c>
      <c r="M298" s="2">
        <f>SUMIFS(Timesheet!$F$13:$F$11483,Timesheet!$A$13:$A$11483,'Início|Fim 1'!E298,Timesheet!$C$13:$C$11483,'Início|Fim 1'!$M$2)</f>
        <v>0</v>
      </c>
      <c r="N298" s="2">
        <f>SUMIFS(Timesheet!$F$13:$F$11483,Timesheet!$A$13:$A$11483,'Início|Fim 1'!E298,Timesheet!$C$13:$C$11483,'Início|Fim 1'!$N$2)</f>
        <v>0</v>
      </c>
      <c r="O298" s="2">
        <f t="shared" si="4"/>
        <v>0</v>
      </c>
    </row>
    <row r="299" spans="1:15" x14ac:dyDescent="0.25">
      <c r="A299" s="1">
        <v>45223</v>
      </c>
      <c r="B299" s="3">
        <f t="array" ref="B299">MIN(IF(A299=Timesheet!$A$13:$A$2615,Timesheet!$D$13:$D$2615))</f>
        <v>0</v>
      </c>
      <c r="C299" s="3">
        <f t="array" ref="C299">MAX(IF(A299=Timesheet!$A$13:$A$2615,Timesheet!$E$13:$E$2615))</f>
        <v>0</v>
      </c>
      <c r="E299" s="1">
        <v>45223</v>
      </c>
      <c r="F299" s="2">
        <f>SUMIFS(Timesheet!$F$13:$F$11483,Timesheet!$A$13:$A$11483,'Início|Fim 1'!E299,Timesheet!$C$13:$C$11483,'Início|Fim 1'!$F$2)</f>
        <v>0</v>
      </c>
      <c r="G299" s="2">
        <f>SUMIFS(Timesheet!$F$13:$F$11483,Timesheet!$A$13:$A$11483,'Início|Fim 1'!E299,Timesheet!$C$13:$C$11483,'Início|Fim 1'!$G$2)</f>
        <v>0</v>
      </c>
      <c r="H299" s="2">
        <f>SUMIFS(Timesheet!$F$13:$F$11483,Timesheet!$A$13:$A$11483,'Início|Fim 1'!E299,Timesheet!$C$13:$C$11483,'Início|Fim 1'!$H$2)</f>
        <v>0</v>
      </c>
      <c r="I299" s="2">
        <f>SUMIFS(Timesheet!$F$13:$F$11483,Timesheet!$A$13:$A$11483,'Início|Fim 1'!E299,Timesheet!$C$13:$C$11483,'Início|Fim 1'!$I$2)</f>
        <v>0</v>
      </c>
      <c r="J299" s="2">
        <f>SUMIFS(Timesheet!$F$13:$F$11483,Timesheet!$A$13:$A$11483,'Início|Fim 1'!E299,Timesheet!$C$13:$C$11483,'Início|Fim 1'!$J$2)</f>
        <v>0</v>
      </c>
      <c r="K299" s="2">
        <f>SUMIFS(Timesheet!$F$13:$F$11483,Timesheet!$A$13:$A$11483,'Início|Fim 1'!E299,Timesheet!$C$13:$C$11483,'Início|Fim 1'!$K$2)</f>
        <v>0</v>
      </c>
      <c r="L299" s="2">
        <f>SUMIFS(Timesheet!$F$13:$F$11483,Timesheet!$A$13:$A$11483,'Início|Fim 1'!E299,Timesheet!$C$13:$C$11483,'Início|Fim 1'!$L$2)</f>
        <v>0</v>
      </c>
      <c r="M299" s="2">
        <f>SUMIFS(Timesheet!$F$13:$F$11483,Timesheet!$A$13:$A$11483,'Início|Fim 1'!E299,Timesheet!$C$13:$C$11483,'Início|Fim 1'!$M$2)</f>
        <v>0</v>
      </c>
      <c r="N299" s="2">
        <f>SUMIFS(Timesheet!$F$13:$F$11483,Timesheet!$A$13:$A$11483,'Início|Fim 1'!E299,Timesheet!$C$13:$C$11483,'Início|Fim 1'!$N$2)</f>
        <v>0</v>
      </c>
      <c r="O299" s="2">
        <f t="shared" si="4"/>
        <v>0</v>
      </c>
    </row>
    <row r="300" spans="1:15" x14ac:dyDescent="0.25">
      <c r="A300" s="1">
        <v>45224</v>
      </c>
      <c r="B300" s="3">
        <f t="array" ref="B300">MIN(IF(A300=Timesheet!$A$13:$A$2615,Timesheet!$D$13:$D$2615))</f>
        <v>0</v>
      </c>
      <c r="C300" s="3">
        <f t="array" ref="C300">MAX(IF(A300=Timesheet!$A$13:$A$2615,Timesheet!$E$13:$E$2615))</f>
        <v>0</v>
      </c>
      <c r="E300" s="1">
        <v>45224</v>
      </c>
      <c r="F300" s="2">
        <f>SUMIFS(Timesheet!$F$13:$F$11483,Timesheet!$A$13:$A$11483,'Início|Fim 1'!E300,Timesheet!$C$13:$C$11483,'Início|Fim 1'!$F$2)</f>
        <v>0</v>
      </c>
      <c r="G300" s="2">
        <f>SUMIFS(Timesheet!$F$13:$F$11483,Timesheet!$A$13:$A$11483,'Início|Fim 1'!E300,Timesheet!$C$13:$C$11483,'Início|Fim 1'!$G$2)</f>
        <v>0</v>
      </c>
      <c r="H300" s="2">
        <f>SUMIFS(Timesheet!$F$13:$F$11483,Timesheet!$A$13:$A$11483,'Início|Fim 1'!E300,Timesheet!$C$13:$C$11483,'Início|Fim 1'!$H$2)</f>
        <v>0</v>
      </c>
      <c r="I300" s="2">
        <f>SUMIFS(Timesheet!$F$13:$F$11483,Timesheet!$A$13:$A$11483,'Início|Fim 1'!E300,Timesheet!$C$13:$C$11483,'Início|Fim 1'!$I$2)</f>
        <v>0</v>
      </c>
      <c r="J300" s="2">
        <f>SUMIFS(Timesheet!$F$13:$F$11483,Timesheet!$A$13:$A$11483,'Início|Fim 1'!E300,Timesheet!$C$13:$C$11483,'Início|Fim 1'!$J$2)</f>
        <v>0</v>
      </c>
      <c r="K300" s="2">
        <f>SUMIFS(Timesheet!$F$13:$F$11483,Timesheet!$A$13:$A$11483,'Início|Fim 1'!E300,Timesheet!$C$13:$C$11483,'Início|Fim 1'!$K$2)</f>
        <v>0</v>
      </c>
      <c r="L300" s="2">
        <f>SUMIFS(Timesheet!$F$13:$F$11483,Timesheet!$A$13:$A$11483,'Início|Fim 1'!E300,Timesheet!$C$13:$C$11483,'Início|Fim 1'!$L$2)</f>
        <v>0</v>
      </c>
      <c r="M300" s="2">
        <f>SUMIFS(Timesheet!$F$13:$F$11483,Timesheet!$A$13:$A$11483,'Início|Fim 1'!E300,Timesheet!$C$13:$C$11483,'Início|Fim 1'!$M$2)</f>
        <v>0</v>
      </c>
      <c r="N300" s="2">
        <f>SUMIFS(Timesheet!$F$13:$F$11483,Timesheet!$A$13:$A$11483,'Início|Fim 1'!E300,Timesheet!$C$13:$C$11483,'Início|Fim 1'!$N$2)</f>
        <v>0</v>
      </c>
      <c r="O300" s="2">
        <f t="shared" si="4"/>
        <v>0</v>
      </c>
    </row>
    <row r="301" spans="1:15" x14ac:dyDescent="0.25">
      <c r="A301" s="1">
        <v>45225</v>
      </c>
      <c r="B301" s="3">
        <f t="array" ref="B301">MIN(IF(A301=Timesheet!$A$13:$A$2615,Timesheet!$D$13:$D$2615))</f>
        <v>0</v>
      </c>
      <c r="C301" s="3">
        <f t="array" ref="C301">MAX(IF(A301=Timesheet!$A$13:$A$2615,Timesheet!$E$13:$E$2615))</f>
        <v>0</v>
      </c>
      <c r="E301" s="1">
        <v>45225</v>
      </c>
      <c r="F301" s="2">
        <f>SUMIFS(Timesheet!$F$13:$F$11483,Timesheet!$A$13:$A$11483,'Início|Fim 1'!E301,Timesheet!$C$13:$C$11483,'Início|Fim 1'!$F$2)</f>
        <v>0</v>
      </c>
      <c r="G301" s="2">
        <f>SUMIFS(Timesheet!$F$13:$F$11483,Timesheet!$A$13:$A$11483,'Início|Fim 1'!E301,Timesheet!$C$13:$C$11483,'Início|Fim 1'!$G$2)</f>
        <v>0</v>
      </c>
      <c r="H301" s="2">
        <f>SUMIFS(Timesheet!$F$13:$F$11483,Timesheet!$A$13:$A$11483,'Início|Fim 1'!E301,Timesheet!$C$13:$C$11483,'Início|Fim 1'!$H$2)</f>
        <v>0</v>
      </c>
      <c r="I301" s="2">
        <f>SUMIFS(Timesheet!$F$13:$F$11483,Timesheet!$A$13:$A$11483,'Início|Fim 1'!E301,Timesheet!$C$13:$C$11483,'Início|Fim 1'!$I$2)</f>
        <v>0</v>
      </c>
      <c r="J301" s="2">
        <f>SUMIFS(Timesheet!$F$13:$F$11483,Timesheet!$A$13:$A$11483,'Início|Fim 1'!E301,Timesheet!$C$13:$C$11483,'Início|Fim 1'!$J$2)</f>
        <v>0</v>
      </c>
      <c r="K301" s="2">
        <f>SUMIFS(Timesheet!$F$13:$F$11483,Timesheet!$A$13:$A$11483,'Início|Fim 1'!E301,Timesheet!$C$13:$C$11483,'Início|Fim 1'!$K$2)</f>
        <v>0</v>
      </c>
      <c r="L301" s="2">
        <f>SUMIFS(Timesheet!$F$13:$F$11483,Timesheet!$A$13:$A$11483,'Início|Fim 1'!E301,Timesheet!$C$13:$C$11483,'Início|Fim 1'!$L$2)</f>
        <v>0</v>
      </c>
      <c r="M301" s="2">
        <f>SUMIFS(Timesheet!$F$13:$F$11483,Timesheet!$A$13:$A$11483,'Início|Fim 1'!E301,Timesheet!$C$13:$C$11483,'Início|Fim 1'!$M$2)</f>
        <v>0</v>
      </c>
      <c r="N301" s="2">
        <f>SUMIFS(Timesheet!$F$13:$F$11483,Timesheet!$A$13:$A$11483,'Início|Fim 1'!E301,Timesheet!$C$13:$C$11483,'Início|Fim 1'!$N$2)</f>
        <v>0</v>
      </c>
      <c r="O301" s="2">
        <f t="shared" si="4"/>
        <v>0</v>
      </c>
    </row>
    <row r="302" spans="1:15" x14ac:dyDescent="0.25">
      <c r="A302" s="1">
        <v>45226</v>
      </c>
      <c r="B302" s="3">
        <f t="array" ref="B302">MIN(IF(A302=Timesheet!$A$13:$A$2615,Timesheet!$D$13:$D$2615))</f>
        <v>0</v>
      </c>
      <c r="C302" s="3">
        <f t="array" ref="C302">MAX(IF(A302=Timesheet!$A$13:$A$2615,Timesheet!$E$13:$E$2615))</f>
        <v>0</v>
      </c>
      <c r="E302" s="1">
        <v>45226</v>
      </c>
      <c r="F302" s="2">
        <f>SUMIFS(Timesheet!$F$13:$F$11483,Timesheet!$A$13:$A$11483,'Início|Fim 1'!E302,Timesheet!$C$13:$C$11483,'Início|Fim 1'!$F$2)</f>
        <v>0</v>
      </c>
      <c r="G302" s="2">
        <f>SUMIFS(Timesheet!$F$13:$F$11483,Timesheet!$A$13:$A$11483,'Início|Fim 1'!E302,Timesheet!$C$13:$C$11483,'Início|Fim 1'!$G$2)</f>
        <v>0</v>
      </c>
      <c r="H302" s="2">
        <f>SUMIFS(Timesheet!$F$13:$F$11483,Timesheet!$A$13:$A$11483,'Início|Fim 1'!E302,Timesheet!$C$13:$C$11483,'Início|Fim 1'!$H$2)</f>
        <v>0</v>
      </c>
      <c r="I302" s="2">
        <f>SUMIFS(Timesheet!$F$13:$F$11483,Timesheet!$A$13:$A$11483,'Início|Fim 1'!E302,Timesheet!$C$13:$C$11483,'Início|Fim 1'!$I$2)</f>
        <v>0</v>
      </c>
      <c r="J302" s="2">
        <f>SUMIFS(Timesheet!$F$13:$F$11483,Timesheet!$A$13:$A$11483,'Início|Fim 1'!E302,Timesheet!$C$13:$C$11483,'Início|Fim 1'!$J$2)</f>
        <v>0</v>
      </c>
      <c r="K302" s="2">
        <f>SUMIFS(Timesheet!$F$13:$F$11483,Timesheet!$A$13:$A$11483,'Início|Fim 1'!E302,Timesheet!$C$13:$C$11483,'Início|Fim 1'!$K$2)</f>
        <v>0</v>
      </c>
      <c r="L302" s="2">
        <f>SUMIFS(Timesheet!$F$13:$F$11483,Timesheet!$A$13:$A$11483,'Início|Fim 1'!E302,Timesheet!$C$13:$C$11483,'Início|Fim 1'!$L$2)</f>
        <v>0</v>
      </c>
      <c r="M302" s="2">
        <f>SUMIFS(Timesheet!$F$13:$F$11483,Timesheet!$A$13:$A$11483,'Início|Fim 1'!E302,Timesheet!$C$13:$C$11483,'Início|Fim 1'!$M$2)</f>
        <v>0</v>
      </c>
      <c r="N302" s="2">
        <f>SUMIFS(Timesheet!$F$13:$F$11483,Timesheet!$A$13:$A$11483,'Início|Fim 1'!E302,Timesheet!$C$13:$C$11483,'Início|Fim 1'!$N$2)</f>
        <v>0</v>
      </c>
      <c r="O302" s="2">
        <f t="shared" si="4"/>
        <v>0</v>
      </c>
    </row>
    <row r="303" spans="1:15" x14ac:dyDescent="0.25">
      <c r="A303" s="1">
        <v>45227</v>
      </c>
      <c r="B303" s="3">
        <f t="array" ref="B303">MIN(IF(A303=Timesheet!$A$13:$A$2615,Timesheet!$D$13:$D$2615))</f>
        <v>0</v>
      </c>
      <c r="C303" s="3">
        <f t="array" ref="C303">MAX(IF(A303=Timesheet!$A$13:$A$2615,Timesheet!$E$13:$E$2615))</f>
        <v>0</v>
      </c>
      <c r="E303" s="1">
        <v>45227</v>
      </c>
      <c r="F303" s="2">
        <f>SUMIFS(Timesheet!$F$13:$F$11483,Timesheet!$A$13:$A$11483,'Início|Fim 1'!E303,Timesheet!$C$13:$C$11483,'Início|Fim 1'!$F$2)</f>
        <v>0</v>
      </c>
      <c r="G303" s="2">
        <f>SUMIFS(Timesheet!$F$13:$F$11483,Timesheet!$A$13:$A$11483,'Início|Fim 1'!E303,Timesheet!$C$13:$C$11483,'Início|Fim 1'!$G$2)</f>
        <v>0</v>
      </c>
      <c r="H303" s="2">
        <f>SUMIFS(Timesheet!$F$13:$F$11483,Timesheet!$A$13:$A$11483,'Início|Fim 1'!E303,Timesheet!$C$13:$C$11483,'Início|Fim 1'!$H$2)</f>
        <v>0</v>
      </c>
      <c r="I303" s="2">
        <f>SUMIFS(Timesheet!$F$13:$F$11483,Timesheet!$A$13:$A$11483,'Início|Fim 1'!E303,Timesheet!$C$13:$C$11483,'Início|Fim 1'!$I$2)</f>
        <v>0</v>
      </c>
      <c r="J303" s="2">
        <f>SUMIFS(Timesheet!$F$13:$F$11483,Timesheet!$A$13:$A$11483,'Início|Fim 1'!E303,Timesheet!$C$13:$C$11483,'Início|Fim 1'!$J$2)</f>
        <v>0</v>
      </c>
      <c r="K303" s="2">
        <f>SUMIFS(Timesheet!$F$13:$F$11483,Timesheet!$A$13:$A$11483,'Início|Fim 1'!E303,Timesheet!$C$13:$C$11483,'Início|Fim 1'!$K$2)</f>
        <v>0</v>
      </c>
      <c r="L303" s="2">
        <f>SUMIFS(Timesheet!$F$13:$F$11483,Timesheet!$A$13:$A$11483,'Início|Fim 1'!E303,Timesheet!$C$13:$C$11483,'Início|Fim 1'!$L$2)</f>
        <v>0</v>
      </c>
      <c r="M303" s="2">
        <f>SUMIFS(Timesheet!$F$13:$F$11483,Timesheet!$A$13:$A$11483,'Início|Fim 1'!E303,Timesheet!$C$13:$C$11483,'Início|Fim 1'!$M$2)</f>
        <v>0</v>
      </c>
      <c r="N303" s="2">
        <f>SUMIFS(Timesheet!$F$13:$F$11483,Timesheet!$A$13:$A$11483,'Início|Fim 1'!E303,Timesheet!$C$13:$C$11483,'Início|Fim 1'!$N$2)</f>
        <v>0</v>
      </c>
      <c r="O303" s="2">
        <f t="shared" si="4"/>
        <v>0</v>
      </c>
    </row>
    <row r="304" spans="1:15" x14ac:dyDescent="0.25">
      <c r="A304" s="1">
        <v>45228</v>
      </c>
      <c r="B304" s="3">
        <f t="array" ref="B304">MIN(IF(A304=Timesheet!$A$13:$A$2615,Timesheet!$D$13:$D$2615))</f>
        <v>0</v>
      </c>
      <c r="C304" s="3">
        <f t="array" ref="C304">MAX(IF(A304=Timesheet!$A$13:$A$2615,Timesheet!$E$13:$E$2615))</f>
        <v>0</v>
      </c>
      <c r="E304" s="1">
        <v>45228</v>
      </c>
      <c r="F304" s="2">
        <f>SUMIFS(Timesheet!$F$13:$F$11483,Timesheet!$A$13:$A$11483,'Início|Fim 1'!E304,Timesheet!$C$13:$C$11483,'Início|Fim 1'!$F$2)</f>
        <v>0</v>
      </c>
      <c r="G304" s="2">
        <f>SUMIFS(Timesheet!$F$13:$F$11483,Timesheet!$A$13:$A$11483,'Início|Fim 1'!E304,Timesheet!$C$13:$C$11483,'Início|Fim 1'!$G$2)</f>
        <v>0</v>
      </c>
      <c r="H304" s="2">
        <f>SUMIFS(Timesheet!$F$13:$F$11483,Timesheet!$A$13:$A$11483,'Início|Fim 1'!E304,Timesheet!$C$13:$C$11483,'Início|Fim 1'!$H$2)</f>
        <v>0</v>
      </c>
      <c r="I304" s="2">
        <f>SUMIFS(Timesheet!$F$13:$F$11483,Timesheet!$A$13:$A$11483,'Início|Fim 1'!E304,Timesheet!$C$13:$C$11483,'Início|Fim 1'!$I$2)</f>
        <v>0</v>
      </c>
      <c r="J304" s="2">
        <f>SUMIFS(Timesheet!$F$13:$F$11483,Timesheet!$A$13:$A$11483,'Início|Fim 1'!E304,Timesheet!$C$13:$C$11483,'Início|Fim 1'!$J$2)</f>
        <v>0</v>
      </c>
      <c r="K304" s="2">
        <f>SUMIFS(Timesheet!$F$13:$F$11483,Timesheet!$A$13:$A$11483,'Início|Fim 1'!E304,Timesheet!$C$13:$C$11483,'Início|Fim 1'!$K$2)</f>
        <v>0</v>
      </c>
      <c r="L304" s="2">
        <f>SUMIFS(Timesheet!$F$13:$F$11483,Timesheet!$A$13:$A$11483,'Início|Fim 1'!E304,Timesheet!$C$13:$C$11483,'Início|Fim 1'!$L$2)</f>
        <v>0</v>
      </c>
      <c r="M304" s="2">
        <f>SUMIFS(Timesheet!$F$13:$F$11483,Timesheet!$A$13:$A$11483,'Início|Fim 1'!E304,Timesheet!$C$13:$C$11483,'Início|Fim 1'!$M$2)</f>
        <v>0</v>
      </c>
      <c r="N304" s="2">
        <f>SUMIFS(Timesheet!$F$13:$F$11483,Timesheet!$A$13:$A$11483,'Início|Fim 1'!E304,Timesheet!$C$13:$C$11483,'Início|Fim 1'!$N$2)</f>
        <v>0</v>
      </c>
      <c r="O304" s="2">
        <f t="shared" si="4"/>
        <v>0</v>
      </c>
    </row>
    <row r="305" spans="1:15" x14ac:dyDescent="0.25">
      <c r="A305" s="1">
        <v>45229</v>
      </c>
      <c r="B305" s="3">
        <f t="array" ref="B305">MIN(IF(A305=Timesheet!$A$13:$A$2615,Timesheet!$D$13:$D$2615))</f>
        <v>0</v>
      </c>
      <c r="C305" s="3">
        <f t="array" ref="C305">MAX(IF(A305=Timesheet!$A$13:$A$2615,Timesheet!$E$13:$E$2615))</f>
        <v>0</v>
      </c>
      <c r="E305" s="1">
        <v>45229</v>
      </c>
      <c r="F305" s="2">
        <f>SUMIFS(Timesheet!$F$13:$F$11483,Timesheet!$A$13:$A$11483,'Início|Fim 1'!E305,Timesheet!$C$13:$C$11483,'Início|Fim 1'!$F$2)</f>
        <v>0</v>
      </c>
      <c r="G305" s="2">
        <f>SUMIFS(Timesheet!$F$13:$F$11483,Timesheet!$A$13:$A$11483,'Início|Fim 1'!E305,Timesheet!$C$13:$C$11483,'Início|Fim 1'!$G$2)</f>
        <v>0</v>
      </c>
      <c r="H305" s="2">
        <f>SUMIFS(Timesheet!$F$13:$F$11483,Timesheet!$A$13:$A$11483,'Início|Fim 1'!E305,Timesheet!$C$13:$C$11483,'Início|Fim 1'!$H$2)</f>
        <v>0</v>
      </c>
      <c r="I305" s="2">
        <f>SUMIFS(Timesheet!$F$13:$F$11483,Timesheet!$A$13:$A$11483,'Início|Fim 1'!E305,Timesheet!$C$13:$C$11483,'Início|Fim 1'!$I$2)</f>
        <v>0</v>
      </c>
      <c r="J305" s="2">
        <f>SUMIFS(Timesheet!$F$13:$F$11483,Timesheet!$A$13:$A$11483,'Início|Fim 1'!E305,Timesheet!$C$13:$C$11483,'Início|Fim 1'!$J$2)</f>
        <v>0</v>
      </c>
      <c r="K305" s="2">
        <f>SUMIFS(Timesheet!$F$13:$F$11483,Timesheet!$A$13:$A$11483,'Início|Fim 1'!E305,Timesheet!$C$13:$C$11483,'Início|Fim 1'!$K$2)</f>
        <v>0</v>
      </c>
      <c r="L305" s="2">
        <f>SUMIFS(Timesheet!$F$13:$F$11483,Timesheet!$A$13:$A$11483,'Início|Fim 1'!E305,Timesheet!$C$13:$C$11483,'Início|Fim 1'!$L$2)</f>
        <v>0</v>
      </c>
      <c r="M305" s="2">
        <f>SUMIFS(Timesheet!$F$13:$F$11483,Timesheet!$A$13:$A$11483,'Início|Fim 1'!E305,Timesheet!$C$13:$C$11483,'Início|Fim 1'!$M$2)</f>
        <v>0</v>
      </c>
      <c r="N305" s="2">
        <f>SUMIFS(Timesheet!$F$13:$F$11483,Timesheet!$A$13:$A$11483,'Início|Fim 1'!E305,Timesheet!$C$13:$C$11483,'Início|Fim 1'!$N$2)</f>
        <v>0</v>
      </c>
      <c r="O305" s="2">
        <f t="shared" si="4"/>
        <v>0</v>
      </c>
    </row>
    <row r="306" spans="1:15" x14ac:dyDescent="0.25">
      <c r="A306" s="1">
        <v>45230</v>
      </c>
      <c r="B306" s="3">
        <f t="array" ref="B306">MIN(IF(A306=Timesheet!$A$13:$A$2615,Timesheet!$D$13:$D$2615))</f>
        <v>0</v>
      </c>
      <c r="C306" s="3">
        <f t="array" ref="C306">MAX(IF(A306=Timesheet!$A$13:$A$2615,Timesheet!$E$13:$E$2615))</f>
        <v>0</v>
      </c>
      <c r="E306" s="1">
        <v>45230</v>
      </c>
      <c r="F306" s="2">
        <f>SUMIFS(Timesheet!$F$13:$F$11483,Timesheet!$A$13:$A$11483,'Início|Fim 1'!E306,Timesheet!$C$13:$C$11483,'Início|Fim 1'!$F$2)</f>
        <v>0</v>
      </c>
      <c r="G306" s="2">
        <f>SUMIFS(Timesheet!$F$13:$F$11483,Timesheet!$A$13:$A$11483,'Início|Fim 1'!E306,Timesheet!$C$13:$C$11483,'Início|Fim 1'!$G$2)</f>
        <v>0</v>
      </c>
      <c r="H306" s="2">
        <f>SUMIFS(Timesheet!$F$13:$F$11483,Timesheet!$A$13:$A$11483,'Início|Fim 1'!E306,Timesheet!$C$13:$C$11483,'Início|Fim 1'!$H$2)</f>
        <v>0</v>
      </c>
      <c r="I306" s="2">
        <f>SUMIFS(Timesheet!$F$13:$F$11483,Timesheet!$A$13:$A$11483,'Início|Fim 1'!E306,Timesheet!$C$13:$C$11483,'Início|Fim 1'!$I$2)</f>
        <v>0</v>
      </c>
      <c r="J306" s="2">
        <f>SUMIFS(Timesheet!$F$13:$F$11483,Timesheet!$A$13:$A$11483,'Início|Fim 1'!E306,Timesheet!$C$13:$C$11483,'Início|Fim 1'!$J$2)</f>
        <v>0</v>
      </c>
      <c r="K306" s="2">
        <f>SUMIFS(Timesheet!$F$13:$F$11483,Timesheet!$A$13:$A$11483,'Início|Fim 1'!E306,Timesheet!$C$13:$C$11483,'Início|Fim 1'!$K$2)</f>
        <v>0</v>
      </c>
      <c r="L306" s="2">
        <f>SUMIFS(Timesheet!$F$13:$F$11483,Timesheet!$A$13:$A$11483,'Início|Fim 1'!E306,Timesheet!$C$13:$C$11483,'Início|Fim 1'!$L$2)</f>
        <v>0</v>
      </c>
      <c r="M306" s="2">
        <f>SUMIFS(Timesheet!$F$13:$F$11483,Timesheet!$A$13:$A$11483,'Início|Fim 1'!E306,Timesheet!$C$13:$C$11483,'Início|Fim 1'!$M$2)</f>
        <v>0</v>
      </c>
      <c r="N306" s="2">
        <f>SUMIFS(Timesheet!$F$13:$F$11483,Timesheet!$A$13:$A$11483,'Início|Fim 1'!E306,Timesheet!$C$13:$C$11483,'Início|Fim 1'!$N$2)</f>
        <v>0</v>
      </c>
      <c r="O306" s="2">
        <f t="shared" si="4"/>
        <v>0</v>
      </c>
    </row>
    <row r="307" spans="1:15" x14ac:dyDescent="0.25">
      <c r="A307" s="1">
        <v>45231</v>
      </c>
      <c r="B307" s="3">
        <f t="array" ref="B307">MIN(IF(A307=Timesheet!$A$13:$A$2615,Timesheet!$D$13:$D$2615))</f>
        <v>0</v>
      </c>
      <c r="C307" s="3">
        <f t="array" ref="C307">MAX(IF(A307=Timesheet!$A$13:$A$2615,Timesheet!$E$13:$E$2615))</f>
        <v>0</v>
      </c>
      <c r="E307" s="1">
        <v>45231</v>
      </c>
      <c r="F307" s="2">
        <f>SUMIFS(Timesheet!$F$13:$F$11483,Timesheet!$A$13:$A$11483,'Início|Fim 1'!E307,Timesheet!$C$13:$C$11483,'Início|Fim 1'!$F$2)</f>
        <v>0</v>
      </c>
      <c r="G307" s="2">
        <f>SUMIFS(Timesheet!$F$13:$F$11483,Timesheet!$A$13:$A$11483,'Início|Fim 1'!E307,Timesheet!$C$13:$C$11483,'Início|Fim 1'!$G$2)</f>
        <v>0</v>
      </c>
      <c r="H307" s="2">
        <f>SUMIFS(Timesheet!$F$13:$F$11483,Timesheet!$A$13:$A$11483,'Início|Fim 1'!E307,Timesheet!$C$13:$C$11483,'Início|Fim 1'!$H$2)</f>
        <v>0</v>
      </c>
      <c r="I307" s="2">
        <f>SUMIFS(Timesheet!$F$13:$F$11483,Timesheet!$A$13:$A$11483,'Início|Fim 1'!E307,Timesheet!$C$13:$C$11483,'Início|Fim 1'!$I$2)</f>
        <v>0</v>
      </c>
      <c r="J307" s="2">
        <f>SUMIFS(Timesheet!$F$13:$F$11483,Timesheet!$A$13:$A$11483,'Início|Fim 1'!E307,Timesheet!$C$13:$C$11483,'Início|Fim 1'!$J$2)</f>
        <v>0</v>
      </c>
      <c r="K307" s="2">
        <f>SUMIFS(Timesheet!$F$13:$F$11483,Timesheet!$A$13:$A$11483,'Início|Fim 1'!E307,Timesheet!$C$13:$C$11483,'Início|Fim 1'!$K$2)</f>
        <v>0</v>
      </c>
      <c r="L307" s="2">
        <f>SUMIFS(Timesheet!$F$13:$F$11483,Timesheet!$A$13:$A$11483,'Início|Fim 1'!E307,Timesheet!$C$13:$C$11483,'Início|Fim 1'!$L$2)</f>
        <v>0</v>
      </c>
      <c r="M307" s="2">
        <f>SUMIFS(Timesheet!$F$13:$F$11483,Timesheet!$A$13:$A$11483,'Início|Fim 1'!E307,Timesheet!$C$13:$C$11483,'Início|Fim 1'!$M$2)</f>
        <v>0</v>
      </c>
      <c r="N307" s="2">
        <f>SUMIFS(Timesheet!$F$13:$F$11483,Timesheet!$A$13:$A$11483,'Início|Fim 1'!E307,Timesheet!$C$13:$C$11483,'Início|Fim 1'!$N$2)</f>
        <v>0</v>
      </c>
      <c r="O307" s="2">
        <f t="shared" si="4"/>
        <v>0</v>
      </c>
    </row>
    <row r="308" spans="1:15" x14ac:dyDescent="0.25">
      <c r="A308" s="1">
        <v>45232</v>
      </c>
      <c r="B308" s="3">
        <f t="array" ref="B308">MIN(IF(A308=Timesheet!$A$13:$A$2615,Timesheet!$D$13:$D$2615))</f>
        <v>0</v>
      </c>
      <c r="C308" s="3">
        <f t="array" ref="C308">MAX(IF(A308=Timesheet!$A$13:$A$2615,Timesheet!$E$13:$E$2615))</f>
        <v>0</v>
      </c>
      <c r="E308" s="1">
        <v>45232</v>
      </c>
      <c r="F308" s="2">
        <f>SUMIFS(Timesheet!$F$13:$F$11483,Timesheet!$A$13:$A$11483,'Início|Fim 1'!E308,Timesheet!$C$13:$C$11483,'Início|Fim 1'!$F$2)</f>
        <v>0</v>
      </c>
      <c r="G308" s="2">
        <f>SUMIFS(Timesheet!$F$13:$F$11483,Timesheet!$A$13:$A$11483,'Início|Fim 1'!E308,Timesheet!$C$13:$C$11483,'Início|Fim 1'!$G$2)</f>
        <v>0</v>
      </c>
      <c r="H308" s="2">
        <f>SUMIFS(Timesheet!$F$13:$F$11483,Timesheet!$A$13:$A$11483,'Início|Fim 1'!E308,Timesheet!$C$13:$C$11483,'Início|Fim 1'!$H$2)</f>
        <v>0</v>
      </c>
      <c r="I308" s="2">
        <f>SUMIFS(Timesheet!$F$13:$F$11483,Timesheet!$A$13:$A$11483,'Início|Fim 1'!E308,Timesheet!$C$13:$C$11483,'Início|Fim 1'!$I$2)</f>
        <v>0</v>
      </c>
      <c r="J308" s="2">
        <f>SUMIFS(Timesheet!$F$13:$F$11483,Timesheet!$A$13:$A$11483,'Início|Fim 1'!E308,Timesheet!$C$13:$C$11483,'Início|Fim 1'!$J$2)</f>
        <v>0</v>
      </c>
      <c r="K308" s="2">
        <f>SUMIFS(Timesheet!$F$13:$F$11483,Timesheet!$A$13:$A$11483,'Início|Fim 1'!E308,Timesheet!$C$13:$C$11483,'Início|Fim 1'!$K$2)</f>
        <v>0</v>
      </c>
      <c r="L308" s="2">
        <f>SUMIFS(Timesheet!$F$13:$F$11483,Timesheet!$A$13:$A$11483,'Início|Fim 1'!E308,Timesheet!$C$13:$C$11483,'Início|Fim 1'!$L$2)</f>
        <v>0</v>
      </c>
      <c r="M308" s="2">
        <f>SUMIFS(Timesheet!$F$13:$F$11483,Timesheet!$A$13:$A$11483,'Início|Fim 1'!E308,Timesheet!$C$13:$C$11483,'Início|Fim 1'!$M$2)</f>
        <v>0</v>
      </c>
      <c r="N308" s="2">
        <f>SUMIFS(Timesheet!$F$13:$F$11483,Timesheet!$A$13:$A$11483,'Início|Fim 1'!E308,Timesheet!$C$13:$C$11483,'Início|Fim 1'!$N$2)</f>
        <v>0</v>
      </c>
      <c r="O308" s="2">
        <f t="shared" si="4"/>
        <v>0</v>
      </c>
    </row>
    <row r="309" spans="1:15" x14ac:dyDescent="0.25">
      <c r="A309" s="1">
        <v>45233</v>
      </c>
      <c r="B309" s="3">
        <f t="array" ref="B309">MIN(IF(A309=Timesheet!$A$13:$A$2615,Timesheet!$D$13:$D$2615))</f>
        <v>0</v>
      </c>
      <c r="C309" s="3">
        <f t="array" ref="C309">MAX(IF(A309=Timesheet!$A$13:$A$2615,Timesheet!$E$13:$E$2615))</f>
        <v>0</v>
      </c>
      <c r="E309" s="1">
        <v>45233</v>
      </c>
      <c r="F309" s="2">
        <f>SUMIFS(Timesheet!$F$13:$F$11483,Timesheet!$A$13:$A$11483,'Início|Fim 1'!E309,Timesheet!$C$13:$C$11483,'Início|Fim 1'!$F$2)</f>
        <v>0</v>
      </c>
      <c r="G309" s="2">
        <f>SUMIFS(Timesheet!$F$13:$F$11483,Timesheet!$A$13:$A$11483,'Início|Fim 1'!E309,Timesheet!$C$13:$C$11483,'Início|Fim 1'!$G$2)</f>
        <v>0</v>
      </c>
      <c r="H309" s="2">
        <f>SUMIFS(Timesheet!$F$13:$F$11483,Timesheet!$A$13:$A$11483,'Início|Fim 1'!E309,Timesheet!$C$13:$C$11483,'Início|Fim 1'!$H$2)</f>
        <v>0</v>
      </c>
      <c r="I309" s="2">
        <f>SUMIFS(Timesheet!$F$13:$F$11483,Timesheet!$A$13:$A$11483,'Início|Fim 1'!E309,Timesheet!$C$13:$C$11483,'Início|Fim 1'!$I$2)</f>
        <v>0</v>
      </c>
      <c r="J309" s="2">
        <f>SUMIFS(Timesheet!$F$13:$F$11483,Timesheet!$A$13:$A$11483,'Início|Fim 1'!E309,Timesheet!$C$13:$C$11483,'Início|Fim 1'!$J$2)</f>
        <v>0</v>
      </c>
      <c r="K309" s="2">
        <f>SUMIFS(Timesheet!$F$13:$F$11483,Timesheet!$A$13:$A$11483,'Início|Fim 1'!E309,Timesheet!$C$13:$C$11483,'Início|Fim 1'!$K$2)</f>
        <v>0</v>
      </c>
      <c r="L309" s="2">
        <f>SUMIFS(Timesheet!$F$13:$F$11483,Timesheet!$A$13:$A$11483,'Início|Fim 1'!E309,Timesheet!$C$13:$C$11483,'Início|Fim 1'!$L$2)</f>
        <v>0</v>
      </c>
      <c r="M309" s="2">
        <f>SUMIFS(Timesheet!$F$13:$F$11483,Timesheet!$A$13:$A$11483,'Início|Fim 1'!E309,Timesheet!$C$13:$C$11483,'Início|Fim 1'!$M$2)</f>
        <v>0</v>
      </c>
      <c r="N309" s="2">
        <f>SUMIFS(Timesheet!$F$13:$F$11483,Timesheet!$A$13:$A$11483,'Início|Fim 1'!E309,Timesheet!$C$13:$C$11483,'Início|Fim 1'!$N$2)</f>
        <v>0</v>
      </c>
      <c r="O309" s="2">
        <f t="shared" si="4"/>
        <v>0</v>
      </c>
    </row>
    <row r="310" spans="1:15" x14ac:dyDescent="0.25">
      <c r="A310" s="1">
        <v>45234</v>
      </c>
      <c r="B310" s="3">
        <f t="array" ref="B310">MIN(IF(A310=Timesheet!$A$13:$A$2615,Timesheet!$D$13:$D$2615))</f>
        <v>0</v>
      </c>
      <c r="C310" s="3">
        <f t="array" ref="C310">MAX(IF(A310=Timesheet!$A$13:$A$2615,Timesheet!$E$13:$E$2615))</f>
        <v>0</v>
      </c>
      <c r="E310" s="1">
        <v>45234</v>
      </c>
      <c r="F310" s="2">
        <f>SUMIFS(Timesheet!$F$13:$F$11483,Timesheet!$A$13:$A$11483,'Início|Fim 1'!E310,Timesheet!$C$13:$C$11483,'Início|Fim 1'!$F$2)</f>
        <v>0</v>
      </c>
      <c r="G310" s="2">
        <f>SUMIFS(Timesheet!$F$13:$F$11483,Timesheet!$A$13:$A$11483,'Início|Fim 1'!E310,Timesheet!$C$13:$C$11483,'Início|Fim 1'!$G$2)</f>
        <v>0</v>
      </c>
      <c r="H310" s="2">
        <f>SUMIFS(Timesheet!$F$13:$F$11483,Timesheet!$A$13:$A$11483,'Início|Fim 1'!E310,Timesheet!$C$13:$C$11483,'Início|Fim 1'!$H$2)</f>
        <v>0</v>
      </c>
      <c r="I310" s="2">
        <f>SUMIFS(Timesheet!$F$13:$F$11483,Timesheet!$A$13:$A$11483,'Início|Fim 1'!E310,Timesheet!$C$13:$C$11483,'Início|Fim 1'!$I$2)</f>
        <v>0</v>
      </c>
      <c r="J310" s="2">
        <f>SUMIFS(Timesheet!$F$13:$F$11483,Timesheet!$A$13:$A$11483,'Início|Fim 1'!E310,Timesheet!$C$13:$C$11483,'Início|Fim 1'!$J$2)</f>
        <v>0</v>
      </c>
      <c r="K310" s="2">
        <f>SUMIFS(Timesheet!$F$13:$F$11483,Timesheet!$A$13:$A$11483,'Início|Fim 1'!E310,Timesheet!$C$13:$C$11483,'Início|Fim 1'!$K$2)</f>
        <v>0</v>
      </c>
      <c r="L310" s="2">
        <f>SUMIFS(Timesheet!$F$13:$F$11483,Timesheet!$A$13:$A$11483,'Início|Fim 1'!E310,Timesheet!$C$13:$C$11483,'Início|Fim 1'!$L$2)</f>
        <v>0</v>
      </c>
      <c r="M310" s="2">
        <f>SUMIFS(Timesheet!$F$13:$F$11483,Timesheet!$A$13:$A$11483,'Início|Fim 1'!E310,Timesheet!$C$13:$C$11483,'Início|Fim 1'!$M$2)</f>
        <v>0</v>
      </c>
      <c r="N310" s="2">
        <f>SUMIFS(Timesheet!$F$13:$F$11483,Timesheet!$A$13:$A$11483,'Início|Fim 1'!E310,Timesheet!$C$13:$C$11483,'Início|Fim 1'!$N$2)</f>
        <v>0</v>
      </c>
      <c r="O310" s="2">
        <f t="shared" si="4"/>
        <v>0</v>
      </c>
    </row>
    <row r="311" spans="1:15" x14ac:dyDescent="0.25">
      <c r="A311" s="1">
        <v>45235</v>
      </c>
      <c r="B311" s="3">
        <f t="array" ref="B311">MIN(IF(A311=Timesheet!$A$13:$A$2615,Timesheet!$D$13:$D$2615))</f>
        <v>0</v>
      </c>
      <c r="C311" s="3">
        <f t="array" ref="C311">MAX(IF(A311=Timesheet!$A$13:$A$2615,Timesheet!$E$13:$E$2615))</f>
        <v>0</v>
      </c>
      <c r="E311" s="1">
        <v>45235</v>
      </c>
      <c r="F311" s="2">
        <f>SUMIFS(Timesheet!$F$13:$F$11483,Timesheet!$A$13:$A$11483,'Início|Fim 1'!E311,Timesheet!$C$13:$C$11483,'Início|Fim 1'!$F$2)</f>
        <v>0</v>
      </c>
      <c r="G311" s="2">
        <f>SUMIFS(Timesheet!$F$13:$F$11483,Timesheet!$A$13:$A$11483,'Início|Fim 1'!E311,Timesheet!$C$13:$C$11483,'Início|Fim 1'!$G$2)</f>
        <v>0</v>
      </c>
      <c r="H311" s="2">
        <f>SUMIFS(Timesheet!$F$13:$F$11483,Timesheet!$A$13:$A$11483,'Início|Fim 1'!E311,Timesheet!$C$13:$C$11483,'Início|Fim 1'!$H$2)</f>
        <v>0</v>
      </c>
      <c r="I311" s="2">
        <f>SUMIFS(Timesheet!$F$13:$F$11483,Timesheet!$A$13:$A$11483,'Início|Fim 1'!E311,Timesheet!$C$13:$C$11483,'Início|Fim 1'!$I$2)</f>
        <v>0</v>
      </c>
      <c r="J311" s="2">
        <f>SUMIFS(Timesheet!$F$13:$F$11483,Timesheet!$A$13:$A$11483,'Início|Fim 1'!E311,Timesheet!$C$13:$C$11483,'Início|Fim 1'!$J$2)</f>
        <v>0</v>
      </c>
      <c r="K311" s="2">
        <f>SUMIFS(Timesheet!$F$13:$F$11483,Timesheet!$A$13:$A$11483,'Início|Fim 1'!E311,Timesheet!$C$13:$C$11483,'Início|Fim 1'!$K$2)</f>
        <v>0</v>
      </c>
      <c r="L311" s="2">
        <f>SUMIFS(Timesheet!$F$13:$F$11483,Timesheet!$A$13:$A$11483,'Início|Fim 1'!E311,Timesheet!$C$13:$C$11483,'Início|Fim 1'!$L$2)</f>
        <v>0</v>
      </c>
      <c r="M311" s="2">
        <f>SUMIFS(Timesheet!$F$13:$F$11483,Timesheet!$A$13:$A$11483,'Início|Fim 1'!E311,Timesheet!$C$13:$C$11483,'Início|Fim 1'!$M$2)</f>
        <v>0</v>
      </c>
      <c r="N311" s="2">
        <f>SUMIFS(Timesheet!$F$13:$F$11483,Timesheet!$A$13:$A$11483,'Início|Fim 1'!E311,Timesheet!$C$13:$C$11483,'Início|Fim 1'!$N$2)</f>
        <v>0</v>
      </c>
      <c r="O311" s="2">
        <f t="shared" si="4"/>
        <v>0</v>
      </c>
    </row>
    <row r="312" spans="1:15" x14ac:dyDescent="0.25">
      <c r="A312" s="1">
        <v>45236</v>
      </c>
      <c r="B312" s="3">
        <f t="array" ref="B312">MIN(IF(A312=Timesheet!$A$13:$A$2615,Timesheet!$D$13:$D$2615))</f>
        <v>0</v>
      </c>
      <c r="C312" s="3">
        <f t="array" ref="C312">MAX(IF(A312=Timesheet!$A$13:$A$2615,Timesheet!$E$13:$E$2615))</f>
        <v>0</v>
      </c>
      <c r="E312" s="1">
        <v>45236</v>
      </c>
      <c r="F312" s="2">
        <f>SUMIFS(Timesheet!$F$13:$F$11483,Timesheet!$A$13:$A$11483,'Início|Fim 1'!E312,Timesheet!$C$13:$C$11483,'Início|Fim 1'!$F$2)</f>
        <v>0</v>
      </c>
      <c r="G312" s="2">
        <f>SUMIFS(Timesheet!$F$13:$F$11483,Timesheet!$A$13:$A$11483,'Início|Fim 1'!E312,Timesheet!$C$13:$C$11483,'Início|Fim 1'!$G$2)</f>
        <v>0</v>
      </c>
      <c r="H312" s="2">
        <f>SUMIFS(Timesheet!$F$13:$F$11483,Timesheet!$A$13:$A$11483,'Início|Fim 1'!E312,Timesheet!$C$13:$C$11483,'Início|Fim 1'!$H$2)</f>
        <v>0</v>
      </c>
      <c r="I312" s="2">
        <f>SUMIFS(Timesheet!$F$13:$F$11483,Timesheet!$A$13:$A$11483,'Início|Fim 1'!E312,Timesheet!$C$13:$C$11483,'Início|Fim 1'!$I$2)</f>
        <v>0</v>
      </c>
      <c r="J312" s="2">
        <f>SUMIFS(Timesheet!$F$13:$F$11483,Timesheet!$A$13:$A$11483,'Início|Fim 1'!E312,Timesheet!$C$13:$C$11483,'Início|Fim 1'!$J$2)</f>
        <v>0</v>
      </c>
      <c r="K312" s="2">
        <f>SUMIFS(Timesheet!$F$13:$F$11483,Timesheet!$A$13:$A$11483,'Início|Fim 1'!E312,Timesheet!$C$13:$C$11483,'Início|Fim 1'!$K$2)</f>
        <v>0</v>
      </c>
      <c r="L312" s="2">
        <f>SUMIFS(Timesheet!$F$13:$F$11483,Timesheet!$A$13:$A$11483,'Início|Fim 1'!E312,Timesheet!$C$13:$C$11483,'Início|Fim 1'!$L$2)</f>
        <v>0</v>
      </c>
      <c r="M312" s="2">
        <f>SUMIFS(Timesheet!$F$13:$F$11483,Timesheet!$A$13:$A$11483,'Início|Fim 1'!E312,Timesheet!$C$13:$C$11483,'Início|Fim 1'!$M$2)</f>
        <v>0</v>
      </c>
      <c r="N312" s="2">
        <f>SUMIFS(Timesheet!$F$13:$F$11483,Timesheet!$A$13:$A$11483,'Início|Fim 1'!E312,Timesheet!$C$13:$C$11483,'Início|Fim 1'!$N$2)</f>
        <v>0</v>
      </c>
      <c r="O312" s="2">
        <f t="shared" si="4"/>
        <v>0</v>
      </c>
    </row>
    <row r="313" spans="1:15" x14ac:dyDescent="0.25">
      <c r="A313" s="1">
        <v>45237</v>
      </c>
      <c r="B313" s="3">
        <f t="array" ref="B313">MIN(IF(A313=Timesheet!$A$13:$A$2615,Timesheet!$D$13:$D$2615))</f>
        <v>0</v>
      </c>
      <c r="C313" s="3">
        <f t="array" ref="C313">MAX(IF(A313=Timesheet!$A$13:$A$2615,Timesheet!$E$13:$E$2615))</f>
        <v>0</v>
      </c>
      <c r="E313" s="1">
        <v>45237</v>
      </c>
      <c r="F313" s="2">
        <f>SUMIFS(Timesheet!$F$13:$F$11483,Timesheet!$A$13:$A$11483,'Início|Fim 1'!E313,Timesheet!$C$13:$C$11483,'Início|Fim 1'!$F$2)</f>
        <v>0</v>
      </c>
      <c r="G313" s="2">
        <f>SUMIFS(Timesheet!$F$13:$F$11483,Timesheet!$A$13:$A$11483,'Início|Fim 1'!E313,Timesheet!$C$13:$C$11483,'Início|Fim 1'!$G$2)</f>
        <v>0</v>
      </c>
      <c r="H313" s="2">
        <f>SUMIFS(Timesheet!$F$13:$F$11483,Timesheet!$A$13:$A$11483,'Início|Fim 1'!E313,Timesheet!$C$13:$C$11483,'Início|Fim 1'!$H$2)</f>
        <v>0</v>
      </c>
      <c r="I313" s="2">
        <f>SUMIFS(Timesheet!$F$13:$F$11483,Timesheet!$A$13:$A$11483,'Início|Fim 1'!E313,Timesheet!$C$13:$C$11483,'Início|Fim 1'!$I$2)</f>
        <v>0</v>
      </c>
      <c r="J313" s="2">
        <f>SUMIFS(Timesheet!$F$13:$F$11483,Timesheet!$A$13:$A$11483,'Início|Fim 1'!E313,Timesheet!$C$13:$C$11483,'Início|Fim 1'!$J$2)</f>
        <v>0</v>
      </c>
      <c r="K313" s="2">
        <f>SUMIFS(Timesheet!$F$13:$F$11483,Timesheet!$A$13:$A$11483,'Início|Fim 1'!E313,Timesheet!$C$13:$C$11483,'Início|Fim 1'!$K$2)</f>
        <v>0</v>
      </c>
      <c r="L313" s="2">
        <f>SUMIFS(Timesheet!$F$13:$F$11483,Timesheet!$A$13:$A$11483,'Início|Fim 1'!E313,Timesheet!$C$13:$C$11483,'Início|Fim 1'!$L$2)</f>
        <v>0</v>
      </c>
      <c r="M313" s="2">
        <f>SUMIFS(Timesheet!$F$13:$F$11483,Timesheet!$A$13:$A$11483,'Início|Fim 1'!E313,Timesheet!$C$13:$C$11483,'Início|Fim 1'!$M$2)</f>
        <v>0</v>
      </c>
      <c r="N313" s="2">
        <f>SUMIFS(Timesheet!$F$13:$F$11483,Timesheet!$A$13:$A$11483,'Início|Fim 1'!E313,Timesheet!$C$13:$C$11483,'Início|Fim 1'!$N$2)</f>
        <v>0</v>
      </c>
      <c r="O313" s="2">
        <f t="shared" si="4"/>
        <v>0</v>
      </c>
    </row>
    <row r="314" spans="1:15" x14ac:dyDescent="0.25">
      <c r="A314" s="1">
        <v>45238</v>
      </c>
      <c r="B314" s="3">
        <f t="array" ref="B314">MIN(IF(A314=Timesheet!$A$13:$A$2615,Timesheet!$D$13:$D$2615))</f>
        <v>0</v>
      </c>
      <c r="C314" s="3">
        <f t="array" ref="C314">MAX(IF(A314=Timesheet!$A$13:$A$2615,Timesheet!$E$13:$E$2615))</f>
        <v>0</v>
      </c>
      <c r="E314" s="1">
        <v>45238</v>
      </c>
      <c r="F314" s="2">
        <f>SUMIFS(Timesheet!$F$13:$F$11483,Timesheet!$A$13:$A$11483,'Início|Fim 1'!E314,Timesheet!$C$13:$C$11483,'Início|Fim 1'!$F$2)</f>
        <v>0</v>
      </c>
      <c r="G314" s="2">
        <f>SUMIFS(Timesheet!$F$13:$F$11483,Timesheet!$A$13:$A$11483,'Início|Fim 1'!E314,Timesheet!$C$13:$C$11483,'Início|Fim 1'!$G$2)</f>
        <v>0</v>
      </c>
      <c r="H314" s="2">
        <f>SUMIFS(Timesheet!$F$13:$F$11483,Timesheet!$A$13:$A$11483,'Início|Fim 1'!E314,Timesheet!$C$13:$C$11483,'Início|Fim 1'!$H$2)</f>
        <v>0</v>
      </c>
      <c r="I314" s="2">
        <f>SUMIFS(Timesheet!$F$13:$F$11483,Timesheet!$A$13:$A$11483,'Início|Fim 1'!E314,Timesheet!$C$13:$C$11483,'Início|Fim 1'!$I$2)</f>
        <v>0</v>
      </c>
      <c r="J314" s="2">
        <f>SUMIFS(Timesheet!$F$13:$F$11483,Timesheet!$A$13:$A$11483,'Início|Fim 1'!E314,Timesheet!$C$13:$C$11483,'Início|Fim 1'!$J$2)</f>
        <v>0</v>
      </c>
      <c r="K314" s="2">
        <f>SUMIFS(Timesheet!$F$13:$F$11483,Timesheet!$A$13:$A$11483,'Início|Fim 1'!E314,Timesheet!$C$13:$C$11483,'Início|Fim 1'!$K$2)</f>
        <v>0</v>
      </c>
      <c r="L314" s="2">
        <f>SUMIFS(Timesheet!$F$13:$F$11483,Timesheet!$A$13:$A$11483,'Início|Fim 1'!E314,Timesheet!$C$13:$C$11483,'Início|Fim 1'!$L$2)</f>
        <v>0</v>
      </c>
      <c r="M314" s="2">
        <f>SUMIFS(Timesheet!$F$13:$F$11483,Timesheet!$A$13:$A$11483,'Início|Fim 1'!E314,Timesheet!$C$13:$C$11483,'Início|Fim 1'!$M$2)</f>
        <v>0</v>
      </c>
      <c r="N314" s="2">
        <f>SUMIFS(Timesheet!$F$13:$F$11483,Timesheet!$A$13:$A$11483,'Início|Fim 1'!E314,Timesheet!$C$13:$C$11483,'Início|Fim 1'!$N$2)</f>
        <v>0</v>
      </c>
      <c r="O314" s="2">
        <f t="shared" si="4"/>
        <v>0</v>
      </c>
    </row>
    <row r="315" spans="1:15" x14ac:dyDescent="0.25">
      <c r="A315" s="1">
        <v>45239</v>
      </c>
      <c r="B315" s="3">
        <f t="array" ref="B315">MIN(IF(A315=Timesheet!$A$13:$A$2615,Timesheet!$D$13:$D$2615))</f>
        <v>0</v>
      </c>
      <c r="C315" s="3">
        <f t="array" ref="C315">MAX(IF(A315=Timesheet!$A$13:$A$2615,Timesheet!$E$13:$E$2615))</f>
        <v>0</v>
      </c>
      <c r="E315" s="1">
        <v>45239</v>
      </c>
      <c r="F315" s="2">
        <f>SUMIFS(Timesheet!$F$13:$F$11483,Timesheet!$A$13:$A$11483,'Início|Fim 1'!E315,Timesheet!$C$13:$C$11483,'Início|Fim 1'!$F$2)</f>
        <v>0</v>
      </c>
      <c r="G315" s="2">
        <f>SUMIFS(Timesheet!$F$13:$F$11483,Timesheet!$A$13:$A$11483,'Início|Fim 1'!E315,Timesheet!$C$13:$C$11483,'Início|Fim 1'!$G$2)</f>
        <v>0</v>
      </c>
      <c r="H315" s="2">
        <f>SUMIFS(Timesheet!$F$13:$F$11483,Timesheet!$A$13:$A$11483,'Início|Fim 1'!E315,Timesheet!$C$13:$C$11483,'Início|Fim 1'!$H$2)</f>
        <v>0</v>
      </c>
      <c r="I315" s="2">
        <f>SUMIFS(Timesheet!$F$13:$F$11483,Timesheet!$A$13:$A$11483,'Início|Fim 1'!E315,Timesheet!$C$13:$C$11483,'Início|Fim 1'!$I$2)</f>
        <v>0</v>
      </c>
      <c r="J315" s="2">
        <f>SUMIFS(Timesheet!$F$13:$F$11483,Timesheet!$A$13:$A$11483,'Início|Fim 1'!E315,Timesheet!$C$13:$C$11483,'Início|Fim 1'!$J$2)</f>
        <v>0</v>
      </c>
      <c r="K315" s="2">
        <f>SUMIFS(Timesheet!$F$13:$F$11483,Timesheet!$A$13:$A$11483,'Início|Fim 1'!E315,Timesheet!$C$13:$C$11483,'Início|Fim 1'!$K$2)</f>
        <v>0</v>
      </c>
      <c r="L315" s="2">
        <f>SUMIFS(Timesheet!$F$13:$F$11483,Timesheet!$A$13:$A$11483,'Início|Fim 1'!E315,Timesheet!$C$13:$C$11483,'Início|Fim 1'!$L$2)</f>
        <v>0</v>
      </c>
      <c r="M315" s="2">
        <f>SUMIFS(Timesheet!$F$13:$F$11483,Timesheet!$A$13:$A$11483,'Início|Fim 1'!E315,Timesheet!$C$13:$C$11483,'Início|Fim 1'!$M$2)</f>
        <v>0</v>
      </c>
      <c r="N315" s="2">
        <f>SUMIFS(Timesheet!$F$13:$F$11483,Timesheet!$A$13:$A$11483,'Início|Fim 1'!E315,Timesheet!$C$13:$C$11483,'Início|Fim 1'!$N$2)</f>
        <v>0</v>
      </c>
      <c r="O315" s="2">
        <f t="shared" si="4"/>
        <v>0</v>
      </c>
    </row>
    <row r="316" spans="1:15" x14ac:dyDescent="0.25">
      <c r="A316" s="1">
        <v>45240</v>
      </c>
      <c r="B316" s="3">
        <f t="array" ref="B316">MIN(IF(A316=Timesheet!$A$13:$A$2615,Timesheet!$D$13:$D$2615))</f>
        <v>0</v>
      </c>
      <c r="C316" s="3">
        <f t="array" ref="C316">MAX(IF(A316=Timesheet!$A$13:$A$2615,Timesheet!$E$13:$E$2615))</f>
        <v>0</v>
      </c>
      <c r="E316" s="1">
        <v>45240</v>
      </c>
      <c r="F316" s="2">
        <f>SUMIFS(Timesheet!$F$13:$F$11483,Timesheet!$A$13:$A$11483,'Início|Fim 1'!E316,Timesheet!$C$13:$C$11483,'Início|Fim 1'!$F$2)</f>
        <v>0</v>
      </c>
      <c r="G316" s="2">
        <f>SUMIFS(Timesheet!$F$13:$F$11483,Timesheet!$A$13:$A$11483,'Início|Fim 1'!E316,Timesheet!$C$13:$C$11483,'Início|Fim 1'!$G$2)</f>
        <v>0</v>
      </c>
      <c r="H316" s="2">
        <f>SUMIFS(Timesheet!$F$13:$F$11483,Timesheet!$A$13:$A$11483,'Início|Fim 1'!E316,Timesheet!$C$13:$C$11483,'Início|Fim 1'!$H$2)</f>
        <v>0</v>
      </c>
      <c r="I316" s="2">
        <f>SUMIFS(Timesheet!$F$13:$F$11483,Timesheet!$A$13:$A$11483,'Início|Fim 1'!E316,Timesheet!$C$13:$C$11483,'Início|Fim 1'!$I$2)</f>
        <v>0</v>
      </c>
      <c r="J316" s="2">
        <f>SUMIFS(Timesheet!$F$13:$F$11483,Timesheet!$A$13:$A$11483,'Início|Fim 1'!E316,Timesheet!$C$13:$C$11483,'Início|Fim 1'!$J$2)</f>
        <v>0</v>
      </c>
      <c r="K316" s="2">
        <f>SUMIFS(Timesheet!$F$13:$F$11483,Timesheet!$A$13:$A$11483,'Início|Fim 1'!E316,Timesheet!$C$13:$C$11483,'Início|Fim 1'!$K$2)</f>
        <v>0</v>
      </c>
      <c r="L316" s="2">
        <f>SUMIFS(Timesheet!$F$13:$F$11483,Timesheet!$A$13:$A$11483,'Início|Fim 1'!E316,Timesheet!$C$13:$C$11483,'Início|Fim 1'!$L$2)</f>
        <v>0</v>
      </c>
      <c r="M316" s="2">
        <f>SUMIFS(Timesheet!$F$13:$F$11483,Timesheet!$A$13:$A$11483,'Início|Fim 1'!E316,Timesheet!$C$13:$C$11483,'Início|Fim 1'!$M$2)</f>
        <v>0</v>
      </c>
      <c r="N316" s="2">
        <f>SUMIFS(Timesheet!$F$13:$F$11483,Timesheet!$A$13:$A$11483,'Início|Fim 1'!E316,Timesheet!$C$13:$C$11483,'Início|Fim 1'!$N$2)</f>
        <v>0</v>
      </c>
      <c r="O316" s="2">
        <f t="shared" si="4"/>
        <v>0</v>
      </c>
    </row>
    <row r="317" spans="1:15" x14ac:dyDescent="0.25">
      <c r="A317" s="1">
        <v>45241</v>
      </c>
      <c r="B317" s="3">
        <f t="array" ref="B317">MIN(IF(A317=Timesheet!$A$13:$A$2615,Timesheet!$D$13:$D$2615))</f>
        <v>0</v>
      </c>
      <c r="C317" s="3">
        <f t="array" ref="C317">MAX(IF(A317=Timesheet!$A$13:$A$2615,Timesheet!$E$13:$E$2615))</f>
        <v>0</v>
      </c>
      <c r="E317" s="1">
        <v>45241</v>
      </c>
      <c r="F317" s="2">
        <f>SUMIFS(Timesheet!$F$13:$F$11483,Timesheet!$A$13:$A$11483,'Início|Fim 1'!E317,Timesheet!$C$13:$C$11483,'Início|Fim 1'!$F$2)</f>
        <v>0</v>
      </c>
      <c r="G317" s="2">
        <f>SUMIFS(Timesheet!$F$13:$F$11483,Timesheet!$A$13:$A$11483,'Início|Fim 1'!E317,Timesheet!$C$13:$C$11483,'Início|Fim 1'!$G$2)</f>
        <v>0</v>
      </c>
      <c r="H317" s="2">
        <f>SUMIFS(Timesheet!$F$13:$F$11483,Timesheet!$A$13:$A$11483,'Início|Fim 1'!E317,Timesheet!$C$13:$C$11483,'Início|Fim 1'!$H$2)</f>
        <v>0</v>
      </c>
      <c r="I317" s="2">
        <f>SUMIFS(Timesheet!$F$13:$F$11483,Timesheet!$A$13:$A$11483,'Início|Fim 1'!E317,Timesheet!$C$13:$C$11483,'Início|Fim 1'!$I$2)</f>
        <v>0</v>
      </c>
      <c r="J317" s="2">
        <f>SUMIFS(Timesheet!$F$13:$F$11483,Timesheet!$A$13:$A$11483,'Início|Fim 1'!E317,Timesheet!$C$13:$C$11483,'Início|Fim 1'!$J$2)</f>
        <v>0</v>
      </c>
      <c r="K317" s="2">
        <f>SUMIFS(Timesheet!$F$13:$F$11483,Timesheet!$A$13:$A$11483,'Início|Fim 1'!E317,Timesheet!$C$13:$C$11483,'Início|Fim 1'!$K$2)</f>
        <v>0</v>
      </c>
      <c r="L317" s="2">
        <f>SUMIFS(Timesheet!$F$13:$F$11483,Timesheet!$A$13:$A$11483,'Início|Fim 1'!E317,Timesheet!$C$13:$C$11483,'Início|Fim 1'!$L$2)</f>
        <v>0</v>
      </c>
      <c r="M317" s="2">
        <f>SUMIFS(Timesheet!$F$13:$F$11483,Timesheet!$A$13:$A$11483,'Início|Fim 1'!E317,Timesheet!$C$13:$C$11483,'Início|Fim 1'!$M$2)</f>
        <v>0</v>
      </c>
      <c r="N317" s="2">
        <f>SUMIFS(Timesheet!$F$13:$F$11483,Timesheet!$A$13:$A$11483,'Início|Fim 1'!E317,Timesheet!$C$13:$C$11483,'Início|Fim 1'!$N$2)</f>
        <v>0</v>
      </c>
      <c r="O317" s="2">
        <f t="shared" si="4"/>
        <v>0</v>
      </c>
    </row>
    <row r="318" spans="1:15" x14ac:dyDescent="0.25">
      <c r="A318" s="1">
        <v>45242</v>
      </c>
      <c r="B318" s="3">
        <f t="array" ref="B318">MIN(IF(A318=Timesheet!$A$13:$A$2615,Timesheet!$D$13:$D$2615))</f>
        <v>0</v>
      </c>
      <c r="C318" s="3">
        <f t="array" ref="C318">MAX(IF(A318=Timesheet!$A$13:$A$2615,Timesheet!$E$13:$E$2615))</f>
        <v>0</v>
      </c>
      <c r="E318" s="1">
        <v>45242</v>
      </c>
      <c r="F318" s="2">
        <f>SUMIFS(Timesheet!$F$13:$F$11483,Timesheet!$A$13:$A$11483,'Início|Fim 1'!E318,Timesheet!$C$13:$C$11483,'Início|Fim 1'!$F$2)</f>
        <v>0</v>
      </c>
      <c r="G318" s="2">
        <f>SUMIFS(Timesheet!$F$13:$F$11483,Timesheet!$A$13:$A$11483,'Início|Fim 1'!E318,Timesheet!$C$13:$C$11483,'Início|Fim 1'!$G$2)</f>
        <v>0</v>
      </c>
      <c r="H318" s="2">
        <f>SUMIFS(Timesheet!$F$13:$F$11483,Timesheet!$A$13:$A$11483,'Início|Fim 1'!E318,Timesheet!$C$13:$C$11483,'Início|Fim 1'!$H$2)</f>
        <v>0</v>
      </c>
      <c r="I318" s="2">
        <f>SUMIFS(Timesheet!$F$13:$F$11483,Timesheet!$A$13:$A$11483,'Início|Fim 1'!E318,Timesheet!$C$13:$C$11483,'Início|Fim 1'!$I$2)</f>
        <v>0</v>
      </c>
      <c r="J318" s="2">
        <f>SUMIFS(Timesheet!$F$13:$F$11483,Timesheet!$A$13:$A$11483,'Início|Fim 1'!E318,Timesheet!$C$13:$C$11483,'Início|Fim 1'!$J$2)</f>
        <v>0</v>
      </c>
      <c r="K318" s="2">
        <f>SUMIFS(Timesheet!$F$13:$F$11483,Timesheet!$A$13:$A$11483,'Início|Fim 1'!E318,Timesheet!$C$13:$C$11483,'Início|Fim 1'!$K$2)</f>
        <v>0</v>
      </c>
      <c r="L318" s="2">
        <f>SUMIFS(Timesheet!$F$13:$F$11483,Timesheet!$A$13:$A$11483,'Início|Fim 1'!E318,Timesheet!$C$13:$C$11483,'Início|Fim 1'!$L$2)</f>
        <v>0</v>
      </c>
      <c r="M318" s="2">
        <f>SUMIFS(Timesheet!$F$13:$F$11483,Timesheet!$A$13:$A$11483,'Início|Fim 1'!E318,Timesheet!$C$13:$C$11483,'Início|Fim 1'!$M$2)</f>
        <v>0</v>
      </c>
      <c r="N318" s="2">
        <f>SUMIFS(Timesheet!$F$13:$F$11483,Timesheet!$A$13:$A$11483,'Início|Fim 1'!E318,Timesheet!$C$13:$C$11483,'Início|Fim 1'!$N$2)</f>
        <v>0</v>
      </c>
      <c r="O318" s="2">
        <f t="shared" si="4"/>
        <v>0</v>
      </c>
    </row>
    <row r="319" spans="1:15" x14ac:dyDescent="0.25">
      <c r="A319" s="1">
        <v>45243</v>
      </c>
      <c r="B319" s="3">
        <f t="array" ref="B319">MIN(IF(A319=Timesheet!$A$13:$A$2615,Timesheet!$D$13:$D$2615))</f>
        <v>0</v>
      </c>
      <c r="C319" s="3">
        <f t="array" ref="C319">MAX(IF(A319=Timesheet!$A$13:$A$2615,Timesheet!$E$13:$E$2615))</f>
        <v>0</v>
      </c>
      <c r="E319" s="1">
        <v>45243</v>
      </c>
      <c r="F319" s="2">
        <f>SUMIFS(Timesheet!$F$13:$F$11483,Timesheet!$A$13:$A$11483,'Início|Fim 1'!E319,Timesheet!$C$13:$C$11483,'Início|Fim 1'!$F$2)</f>
        <v>0</v>
      </c>
      <c r="G319" s="2">
        <f>SUMIFS(Timesheet!$F$13:$F$11483,Timesheet!$A$13:$A$11483,'Início|Fim 1'!E319,Timesheet!$C$13:$C$11483,'Início|Fim 1'!$G$2)</f>
        <v>0</v>
      </c>
      <c r="H319" s="2">
        <f>SUMIFS(Timesheet!$F$13:$F$11483,Timesheet!$A$13:$A$11483,'Início|Fim 1'!E319,Timesheet!$C$13:$C$11483,'Início|Fim 1'!$H$2)</f>
        <v>0</v>
      </c>
      <c r="I319" s="2">
        <f>SUMIFS(Timesheet!$F$13:$F$11483,Timesheet!$A$13:$A$11483,'Início|Fim 1'!E319,Timesheet!$C$13:$C$11483,'Início|Fim 1'!$I$2)</f>
        <v>0</v>
      </c>
      <c r="J319" s="2">
        <f>SUMIFS(Timesheet!$F$13:$F$11483,Timesheet!$A$13:$A$11483,'Início|Fim 1'!E319,Timesheet!$C$13:$C$11483,'Início|Fim 1'!$J$2)</f>
        <v>0</v>
      </c>
      <c r="K319" s="2">
        <f>SUMIFS(Timesheet!$F$13:$F$11483,Timesheet!$A$13:$A$11483,'Início|Fim 1'!E319,Timesheet!$C$13:$C$11483,'Início|Fim 1'!$K$2)</f>
        <v>0</v>
      </c>
      <c r="L319" s="2">
        <f>SUMIFS(Timesheet!$F$13:$F$11483,Timesheet!$A$13:$A$11483,'Início|Fim 1'!E319,Timesheet!$C$13:$C$11483,'Início|Fim 1'!$L$2)</f>
        <v>0</v>
      </c>
      <c r="M319" s="2">
        <f>SUMIFS(Timesheet!$F$13:$F$11483,Timesheet!$A$13:$A$11483,'Início|Fim 1'!E319,Timesheet!$C$13:$C$11483,'Início|Fim 1'!$M$2)</f>
        <v>0</v>
      </c>
      <c r="N319" s="2">
        <f>SUMIFS(Timesheet!$F$13:$F$11483,Timesheet!$A$13:$A$11483,'Início|Fim 1'!E319,Timesheet!$C$13:$C$11483,'Início|Fim 1'!$N$2)</f>
        <v>0</v>
      </c>
      <c r="O319" s="2">
        <f t="shared" si="4"/>
        <v>0</v>
      </c>
    </row>
    <row r="320" spans="1:15" x14ac:dyDescent="0.25">
      <c r="A320" s="1">
        <v>45244</v>
      </c>
      <c r="B320" s="3">
        <f t="array" ref="B320">MIN(IF(A320=Timesheet!$A$13:$A$2615,Timesheet!$D$13:$D$2615))</f>
        <v>0</v>
      </c>
      <c r="C320" s="3">
        <f t="array" ref="C320">MAX(IF(A320=Timesheet!$A$13:$A$2615,Timesheet!$E$13:$E$2615))</f>
        <v>0</v>
      </c>
      <c r="E320" s="1">
        <v>45244</v>
      </c>
      <c r="F320" s="2">
        <f>SUMIFS(Timesheet!$F$13:$F$11483,Timesheet!$A$13:$A$11483,'Início|Fim 1'!E320,Timesheet!$C$13:$C$11483,'Início|Fim 1'!$F$2)</f>
        <v>0</v>
      </c>
      <c r="G320" s="2">
        <f>SUMIFS(Timesheet!$F$13:$F$11483,Timesheet!$A$13:$A$11483,'Início|Fim 1'!E320,Timesheet!$C$13:$C$11483,'Início|Fim 1'!$G$2)</f>
        <v>0</v>
      </c>
      <c r="H320" s="2">
        <f>SUMIFS(Timesheet!$F$13:$F$11483,Timesheet!$A$13:$A$11483,'Início|Fim 1'!E320,Timesheet!$C$13:$C$11483,'Início|Fim 1'!$H$2)</f>
        <v>0</v>
      </c>
      <c r="I320" s="2">
        <f>SUMIFS(Timesheet!$F$13:$F$11483,Timesheet!$A$13:$A$11483,'Início|Fim 1'!E320,Timesheet!$C$13:$C$11483,'Início|Fim 1'!$I$2)</f>
        <v>0</v>
      </c>
      <c r="J320" s="2">
        <f>SUMIFS(Timesheet!$F$13:$F$11483,Timesheet!$A$13:$A$11483,'Início|Fim 1'!E320,Timesheet!$C$13:$C$11483,'Início|Fim 1'!$J$2)</f>
        <v>0</v>
      </c>
      <c r="K320" s="2">
        <f>SUMIFS(Timesheet!$F$13:$F$11483,Timesheet!$A$13:$A$11483,'Início|Fim 1'!E320,Timesheet!$C$13:$C$11483,'Início|Fim 1'!$K$2)</f>
        <v>0</v>
      </c>
      <c r="L320" s="2">
        <f>SUMIFS(Timesheet!$F$13:$F$11483,Timesheet!$A$13:$A$11483,'Início|Fim 1'!E320,Timesheet!$C$13:$C$11483,'Início|Fim 1'!$L$2)</f>
        <v>0</v>
      </c>
      <c r="M320" s="2">
        <f>SUMIFS(Timesheet!$F$13:$F$11483,Timesheet!$A$13:$A$11483,'Início|Fim 1'!E320,Timesheet!$C$13:$C$11483,'Início|Fim 1'!$M$2)</f>
        <v>0</v>
      </c>
      <c r="N320" s="2">
        <f>SUMIFS(Timesheet!$F$13:$F$11483,Timesheet!$A$13:$A$11483,'Início|Fim 1'!E320,Timesheet!$C$13:$C$11483,'Início|Fim 1'!$N$2)</f>
        <v>0</v>
      </c>
      <c r="O320" s="2">
        <f t="shared" si="4"/>
        <v>0</v>
      </c>
    </row>
    <row r="321" spans="1:15" x14ac:dyDescent="0.25">
      <c r="A321" s="1">
        <v>45245</v>
      </c>
      <c r="B321" s="3">
        <f t="array" ref="B321">MIN(IF(A321=Timesheet!$A$13:$A$2615,Timesheet!$D$13:$D$2615))</f>
        <v>0</v>
      </c>
      <c r="C321" s="3">
        <f t="array" ref="C321">MAX(IF(A321=Timesheet!$A$13:$A$2615,Timesheet!$E$13:$E$2615))</f>
        <v>0</v>
      </c>
      <c r="E321" s="1">
        <v>45245</v>
      </c>
      <c r="F321" s="2">
        <f>SUMIFS(Timesheet!$F$13:$F$11483,Timesheet!$A$13:$A$11483,'Início|Fim 1'!E321,Timesheet!$C$13:$C$11483,'Início|Fim 1'!$F$2)</f>
        <v>0</v>
      </c>
      <c r="G321" s="2">
        <f>SUMIFS(Timesheet!$F$13:$F$11483,Timesheet!$A$13:$A$11483,'Início|Fim 1'!E321,Timesheet!$C$13:$C$11483,'Início|Fim 1'!$G$2)</f>
        <v>0</v>
      </c>
      <c r="H321" s="2">
        <f>SUMIFS(Timesheet!$F$13:$F$11483,Timesheet!$A$13:$A$11483,'Início|Fim 1'!E321,Timesheet!$C$13:$C$11483,'Início|Fim 1'!$H$2)</f>
        <v>0</v>
      </c>
      <c r="I321" s="2">
        <f>SUMIFS(Timesheet!$F$13:$F$11483,Timesheet!$A$13:$A$11483,'Início|Fim 1'!E321,Timesheet!$C$13:$C$11483,'Início|Fim 1'!$I$2)</f>
        <v>0</v>
      </c>
      <c r="J321" s="2">
        <f>SUMIFS(Timesheet!$F$13:$F$11483,Timesheet!$A$13:$A$11483,'Início|Fim 1'!E321,Timesheet!$C$13:$C$11483,'Início|Fim 1'!$J$2)</f>
        <v>0</v>
      </c>
      <c r="K321" s="2">
        <f>SUMIFS(Timesheet!$F$13:$F$11483,Timesheet!$A$13:$A$11483,'Início|Fim 1'!E321,Timesheet!$C$13:$C$11483,'Início|Fim 1'!$K$2)</f>
        <v>0</v>
      </c>
      <c r="L321" s="2">
        <f>SUMIFS(Timesheet!$F$13:$F$11483,Timesheet!$A$13:$A$11483,'Início|Fim 1'!E321,Timesheet!$C$13:$C$11483,'Início|Fim 1'!$L$2)</f>
        <v>0</v>
      </c>
      <c r="M321" s="2">
        <f>SUMIFS(Timesheet!$F$13:$F$11483,Timesheet!$A$13:$A$11483,'Início|Fim 1'!E321,Timesheet!$C$13:$C$11483,'Início|Fim 1'!$M$2)</f>
        <v>0</v>
      </c>
      <c r="N321" s="2">
        <f>SUMIFS(Timesheet!$F$13:$F$11483,Timesheet!$A$13:$A$11483,'Início|Fim 1'!E321,Timesheet!$C$13:$C$11483,'Início|Fim 1'!$N$2)</f>
        <v>0</v>
      </c>
      <c r="O321" s="2">
        <f t="shared" si="4"/>
        <v>0</v>
      </c>
    </row>
    <row r="322" spans="1:15" x14ac:dyDescent="0.25">
      <c r="A322" s="1">
        <v>45246</v>
      </c>
      <c r="B322" s="3">
        <f t="array" ref="B322">MIN(IF(A322=Timesheet!$A$13:$A$2615,Timesheet!$D$13:$D$2615))</f>
        <v>0</v>
      </c>
      <c r="C322" s="3">
        <f t="array" ref="C322">MAX(IF(A322=Timesheet!$A$13:$A$2615,Timesheet!$E$13:$E$2615))</f>
        <v>0</v>
      </c>
      <c r="E322" s="1">
        <v>45246</v>
      </c>
      <c r="F322" s="2">
        <f>SUMIFS(Timesheet!$F$13:$F$11483,Timesheet!$A$13:$A$11483,'Início|Fim 1'!E322,Timesheet!$C$13:$C$11483,'Início|Fim 1'!$F$2)</f>
        <v>0</v>
      </c>
      <c r="G322" s="2">
        <f>SUMIFS(Timesheet!$F$13:$F$11483,Timesheet!$A$13:$A$11483,'Início|Fim 1'!E322,Timesheet!$C$13:$C$11483,'Início|Fim 1'!$G$2)</f>
        <v>0</v>
      </c>
      <c r="H322" s="2">
        <f>SUMIFS(Timesheet!$F$13:$F$11483,Timesheet!$A$13:$A$11483,'Início|Fim 1'!E322,Timesheet!$C$13:$C$11483,'Início|Fim 1'!$H$2)</f>
        <v>0</v>
      </c>
      <c r="I322" s="2">
        <f>SUMIFS(Timesheet!$F$13:$F$11483,Timesheet!$A$13:$A$11483,'Início|Fim 1'!E322,Timesheet!$C$13:$C$11483,'Início|Fim 1'!$I$2)</f>
        <v>0</v>
      </c>
      <c r="J322" s="2">
        <f>SUMIFS(Timesheet!$F$13:$F$11483,Timesheet!$A$13:$A$11483,'Início|Fim 1'!E322,Timesheet!$C$13:$C$11483,'Início|Fim 1'!$J$2)</f>
        <v>0</v>
      </c>
      <c r="K322" s="2">
        <f>SUMIFS(Timesheet!$F$13:$F$11483,Timesheet!$A$13:$A$11483,'Início|Fim 1'!E322,Timesheet!$C$13:$C$11483,'Início|Fim 1'!$K$2)</f>
        <v>0</v>
      </c>
      <c r="L322" s="2">
        <f>SUMIFS(Timesheet!$F$13:$F$11483,Timesheet!$A$13:$A$11483,'Início|Fim 1'!E322,Timesheet!$C$13:$C$11483,'Início|Fim 1'!$L$2)</f>
        <v>0</v>
      </c>
      <c r="M322" s="2">
        <f>SUMIFS(Timesheet!$F$13:$F$11483,Timesheet!$A$13:$A$11483,'Início|Fim 1'!E322,Timesheet!$C$13:$C$11483,'Início|Fim 1'!$M$2)</f>
        <v>0</v>
      </c>
      <c r="N322" s="2">
        <f>SUMIFS(Timesheet!$F$13:$F$11483,Timesheet!$A$13:$A$11483,'Início|Fim 1'!E322,Timesheet!$C$13:$C$11483,'Início|Fim 1'!$N$2)</f>
        <v>0</v>
      </c>
      <c r="O322" s="2">
        <f t="shared" si="4"/>
        <v>0</v>
      </c>
    </row>
    <row r="323" spans="1:15" x14ac:dyDescent="0.25">
      <c r="A323" s="1">
        <v>45247</v>
      </c>
      <c r="B323" s="3">
        <f t="array" ref="B323">MIN(IF(A323=Timesheet!$A$13:$A$2615,Timesheet!$D$13:$D$2615))</f>
        <v>0</v>
      </c>
      <c r="C323" s="3">
        <f t="array" ref="C323">MAX(IF(A323=Timesheet!$A$13:$A$2615,Timesheet!$E$13:$E$2615))</f>
        <v>0</v>
      </c>
      <c r="E323" s="1">
        <v>45247</v>
      </c>
      <c r="F323" s="2">
        <f>SUMIFS(Timesheet!$F$13:$F$11483,Timesheet!$A$13:$A$11483,'Início|Fim 1'!E323,Timesheet!$C$13:$C$11483,'Início|Fim 1'!$F$2)</f>
        <v>0</v>
      </c>
      <c r="G323" s="2">
        <f>SUMIFS(Timesheet!$F$13:$F$11483,Timesheet!$A$13:$A$11483,'Início|Fim 1'!E323,Timesheet!$C$13:$C$11483,'Início|Fim 1'!$G$2)</f>
        <v>0</v>
      </c>
      <c r="H323" s="2">
        <f>SUMIFS(Timesheet!$F$13:$F$11483,Timesheet!$A$13:$A$11483,'Início|Fim 1'!E323,Timesheet!$C$13:$C$11483,'Início|Fim 1'!$H$2)</f>
        <v>0</v>
      </c>
      <c r="I323" s="2">
        <f>SUMIFS(Timesheet!$F$13:$F$11483,Timesheet!$A$13:$A$11483,'Início|Fim 1'!E323,Timesheet!$C$13:$C$11483,'Início|Fim 1'!$I$2)</f>
        <v>0</v>
      </c>
      <c r="J323" s="2">
        <f>SUMIFS(Timesheet!$F$13:$F$11483,Timesheet!$A$13:$A$11483,'Início|Fim 1'!E323,Timesheet!$C$13:$C$11483,'Início|Fim 1'!$J$2)</f>
        <v>0</v>
      </c>
      <c r="K323" s="2">
        <f>SUMIFS(Timesheet!$F$13:$F$11483,Timesheet!$A$13:$A$11483,'Início|Fim 1'!E323,Timesheet!$C$13:$C$11483,'Início|Fim 1'!$K$2)</f>
        <v>0</v>
      </c>
      <c r="L323" s="2">
        <f>SUMIFS(Timesheet!$F$13:$F$11483,Timesheet!$A$13:$A$11483,'Início|Fim 1'!E323,Timesheet!$C$13:$C$11483,'Início|Fim 1'!$L$2)</f>
        <v>0</v>
      </c>
      <c r="M323" s="2">
        <f>SUMIFS(Timesheet!$F$13:$F$11483,Timesheet!$A$13:$A$11483,'Início|Fim 1'!E323,Timesheet!$C$13:$C$11483,'Início|Fim 1'!$M$2)</f>
        <v>0</v>
      </c>
      <c r="N323" s="2">
        <f>SUMIFS(Timesheet!$F$13:$F$11483,Timesheet!$A$13:$A$11483,'Início|Fim 1'!E323,Timesheet!$C$13:$C$11483,'Início|Fim 1'!$N$2)</f>
        <v>0</v>
      </c>
      <c r="O323" s="2">
        <f t="shared" ref="O323:O369" si="5">SUM(F323:K323)</f>
        <v>0</v>
      </c>
    </row>
    <row r="324" spans="1:15" x14ac:dyDescent="0.25">
      <c r="A324" s="1">
        <v>45248</v>
      </c>
      <c r="B324" s="3">
        <f t="array" ref="B324">MIN(IF(A324=Timesheet!$A$13:$A$2615,Timesheet!$D$13:$D$2615))</f>
        <v>0</v>
      </c>
      <c r="C324" s="3">
        <f t="array" ref="C324">MAX(IF(A324=Timesheet!$A$13:$A$2615,Timesheet!$E$13:$E$2615))</f>
        <v>0</v>
      </c>
      <c r="E324" s="1">
        <v>45248</v>
      </c>
      <c r="F324" s="2">
        <f>SUMIFS(Timesheet!$F$13:$F$11483,Timesheet!$A$13:$A$11483,'Início|Fim 1'!E324,Timesheet!$C$13:$C$11483,'Início|Fim 1'!$F$2)</f>
        <v>0</v>
      </c>
      <c r="G324" s="2">
        <f>SUMIFS(Timesheet!$F$13:$F$11483,Timesheet!$A$13:$A$11483,'Início|Fim 1'!E324,Timesheet!$C$13:$C$11483,'Início|Fim 1'!$G$2)</f>
        <v>0</v>
      </c>
      <c r="H324" s="2">
        <f>SUMIFS(Timesheet!$F$13:$F$11483,Timesheet!$A$13:$A$11483,'Início|Fim 1'!E324,Timesheet!$C$13:$C$11483,'Início|Fim 1'!$H$2)</f>
        <v>0</v>
      </c>
      <c r="I324" s="2">
        <f>SUMIFS(Timesheet!$F$13:$F$11483,Timesheet!$A$13:$A$11483,'Início|Fim 1'!E324,Timesheet!$C$13:$C$11483,'Início|Fim 1'!$I$2)</f>
        <v>0</v>
      </c>
      <c r="J324" s="2">
        <f>SUMIFS(Timesheet!$F$13:$F$11483,Timesheet!$A$13:$A$11483,'Início|Fim 1'!E324,Timesheet!$C$13:$C$11483,'Início|Fim 1'!$J$2)</f>
        <v>0</v>
      </c>
      <c r="K324" s="2">
        <f>SUMIFS(Timesheet!$F$13:$F$11483,Timesheet!$A$13:$A$11483,'Início|Fim 1'!E324,Timesheet!$C$13:$C$11483,'Início|Fim 1'!$K$2)</f>
        <v>0</v>
      </c>
      <c r="L324" s="2">
        <f>SUMIFS(Timesheet!$F$13:$F$11483,Timesheet!$A$13:$A$11483,'Início|Fim 1'!E324,Timesheet!$C$13:$C$11483,'Início|Fim 1'!$L$2)</f>
        <v>0</v>
      </c>
      <c r="M324" s="2">
        <f>SUMIFS(Timesheet!$F$13:$F$11483,Timesheet!$A$13:$A$11483,'Início|Fim 1'!E324,Timesheet!$C$13:$C$11483,'Início|Fim 1'!$M$2)</f>
        <v>0</v>
      </c>
      <c r="N324" s="2">
        <f>SUMIFS(Timesheet!$F$13:$F$11483,Timesheet!$A$13:$A$11483,'Início|Fim 1'!E324,Timesheet!$C$13:$C$11483,'Início|Fim 1'!$N$2)</f>
        <v>0</v>
      </c>
      <c r="O324" s="2">
        <f t="shared" si="5"/>
        <v>0</v>
      </c>
    </row>
    <row r="325" spans="1:15" x14ac:dyDescent="0.25">
      <c r="A325" s="1">
        <v>45249</v>
      </c>
      <c r="B325" s="3">
        <f t="array" ref="B325">MIN(IF(A325=Timesheet!$A$13:$A$2615,Timesheet!$D$13:$D$2615))</f>
        <v>0</v>
      </c>
      <c r="C325" s="3">
        <f t="array" ref="C325">MAX(IF(A325=Timesheet!$A$13:$A$2615,Timesheet!$E$13:$E$2615))</f>
        <v>0</v>
      </c>
      <c r="E325" s="1">
        <v>45249</v>
      </c>
      <c r="F325" s="2">
        <f>SUMIFS(Timesheet!$F$13:$F$11483,Timesheet!$A$13:$A$11483,'Início|Fim 1'!E325,Timesheet!$C$13:$C$11483,'Início|Fim 1'!$F$2)</f>
        <v>0</v>
      </c>
      <c r="G325" s="2">
        <f>SUMIFS(Timesheet!$F$13:$F$11483,Timesheet!$A$13:$A$11483,'Início|Fim 1'!E325,Timesheet!$C$13:$C$11483,'Início|Fim 1'!$G$2)</f>
        <v>0</v>
      </c>
      <c r="H325" s="2">
        <f>SUMIFS(Timesheet!$F$13:$F$11483,Timesheet!$A$13:$A$11483,'Início|Fim 1'!E325,Timesheet!$C$13:$C$11483,'Início|Fim 1'!$H$2)</f>
        <v>0</v>
      </c>
      <c r="I325" s="2">
        <f>SUMIFS(Timesheet!$F$13:$F$11483,Timesheet!$A$13:$A$11483,'Início|Fim 1'!E325,Timesheet!$C$13:$C$11483,'Início|Fim 1'!$I$2)</f>
        <v>0</v>
      </c>
      <c r="J325" s="2">
        <f>SUMIFS(Timesheet!$F$13:$F$11483,Timesheet!$A$13:$A$11483,'Início|Fim 1'!E325,Timesheet!$C$13:$C$11483,'Início|Fim 1'!$J$2)</f>
        <v>0</v>
      </c>
      <c r="K325" s="2">
        <f>SUMIFS(Timesheet!$F$13:$F$11483,Timesheet!$A$13:$A$11483,'Início|Fim 1'!E325,Timesheet!$C$13:$C$11483,'Início|Fim 1'!$K$2)</f>
        <v>0</v>
      </c>
      <c r="L325" s="2">
        <f>SUMIFS(Timesheet!$F$13:$F$11483,Timesheet!$A$13:$A$11483,'Início|Fim 1'!E325,Timesheet!$C$13:$C$11483,'Início|Fim 1'!$L$2)</f>
        <v>0</v>
      </c>
      <c r="M325" s="2">
        <f>SUMIFS(Timesheet!$F$13:$F$11483,Timesheet!$A$13:$A$11483,'Início|Fim 1'!E325,Timesheet!$C$13:$C$11483,'Início|Fim 1'!$M$2)</f>
        <v>0</v>
      </c>
      <c r="N325" s="2">
        <f>SUMIFS(Timesheet!$F$13:$F$11483,Timesheet!$A$13:$A$11483,'Início|Fim 1'!E325,Timesheet!$C$13:$C$11483,'Início|Fim 1'!$N$2)</f>
        <v>0</v>
      </c>
      <c r="O325" s="2">
        <f t="shared" si="5"/>
        <v>0</v>
      </c>
    </row>
    <row r="326" spans="1:15" x14ac:dyDescent="0.25">
      <c r="A326" s="1">
        <v>45250</v>
      </c>
      <c r="B326" s="3">
        <f t="array" ref="B326">MIN(IF(A326=Timesheet!$A$13:$A$2615,Timesheet!$D$13:$D$2615))</f>
        <v>0</v>
      </c>
      <c r="C326" s="3">
        <f t="array" ref="C326">MAX(IF(A326=Timesheet!$A$13:$A$2615,Timesheet!$E$13:$E$2615))</f>
        <v>0</v>
      </c>
      <c r="E326" s="1">
        <v>45250</v>
      </c>
      <c r="F326" s="2">
        <f>SUMIFS(Timesheet!$F$13:$F$11483,Timesheet!$A$13:$A$11483,'Início|Fim 1'!E326,Timesheet!$C$13:$C$11483,'Início|Fim 1'!$F$2)</f>
        <v>0</v>
      </c>
      <c r="G326" s="2">
        <f>SUMIFS(Timesheet!$F$13:$F$11483,Timesheet!$A$13:$A$11483,'Início|Fim 1'!E326,Timesheet!$C$13:$C$11483,'Início|Fim 1'!$G$2)</f>
        <v>0</v>
      </c>
      <c r="H326" s="2">
        <f>SUMIFS(Timesheet!$F$13:$F$11483,Timesheet!$A$13:$A$11483,'Início|Fim 1'!E326,Timesheet!$C$13:$C$11483,'Início|Fim 1'!$H$2)</f>
        <v>0</v>
      </c>
      <c r="I326" s="2">
        <f>SUMIFS(Timesheet!$F$13:$F$11483,Timesheet!$A$13:$A$11483,'Início|Fim 1'!E326,Timesheet!$C$13:$C$11483,'Início|Fim 1'!$I$2)</f>
        <v>0</v>
      </c>
      <c r="J326" s="2">
        <f>SUMIFS(Timesheet!$F$13:$F$11483,Timesheet!$A$13:$A$11483,'Início|Fim 1'!E326,Timesheet!$C$13:$C$11483,'Início|Fim 1'!$J$2)</f>
        <v>0</v>
      </c>
      <c r="K326" s="2">
        <f>SUMIFS(Timesheet!$F$13:$F$11483,Timesheet!$A$13:$A$11483,'Início|Fim 1'!E326,Timesheet!$C$13:$C$11483,'Início|Fim 1'!$K$2)</f>
        <v>0</v>
      </c>
      <c r="L326" s="2">
        <f>SUMIFS(Timesheet!$F$13:$F$11483,Timesheet!$A$13:$A$11483,'Início|Fim 1'!E326,Timesheet!$C$13:$C$11483,'Início|Fim 1'!$L$2)</f>
        <v>0</v>
      </c>
      <c r="M326" s="2">
        <f>SUMIFS(Timesheet!$F$13:$F$11483,Timesheet!$A$13:$A$11483,'Início|Fim 1'!E326,Timesheet!$C$13:$C$11483,'Início|Fim 1'!$M$2)</f>
        <v>0</v>
      </c>
      <c r="N326" s="2">
        <f>SUMIFS(Timesheet!$F$13:$F$11483,Timesheet!$A$13:$A$11483,'Início|Fim 1'!E326,Timesheet!$C$13:$C$11483,'Início|Fim 1'!$N$2)</f>
        <v>0</v>
      </c>
      <c r="O326" s="2">
        <f t="shared" si="5"/>
        <v>0</v>
      </c>
    </row>
    <row r="327" spans="1:15" x14ac:dyDescent="0.25">
      <c r="A327" s="1">
        <v>45251</v>
      </c>
      <c r="B327" s="3">
        <f t="array" ref="B327">MIN(IF(A327=Timesheet!$A$13:$A$2615,Timesheet!$D$13:$D$2615))</f>
        <v>0</v>
      </c>
      <c r="C327" s="3">
        <f t="array" ref="C327">MAX(IF(A327=Timesheet!$A$13:$A$2615,Timesheet!$E$13:$E$2615))</f>
        <v>0</v>
      </c>
      <c r="E327" s="1">
        <v>45251</v>
      </c>
      <c r="F327" s="2">
        <f>SUMIFS(Timesheet!$F$13:$F$11483,Timesheet!$A$13:$A$11483,'Início|Fim 1'!E327,Timesheet!$C$13:$C$11483,'Início|Fim 1'!$F$2)</f>
        <v>0</v>
      </c>
      <c r="G327" s="2">
        <f>SUMIFS(Timesheet!$F$13:$F$11483,Timesheet!$A$13:$A$11483,'Início|Fim 1'!E327,Timesheet!$C$13:$C$11483,'Início|Fim 1'!$G$2)</f>
        <v>0</v>
      </c>
      <c r="H327" s="2">
        <f>SUMIFS(Timesheet!$F$13:$F$11483,Timesheet!$A$13:$A$11483,'Início|Fim 1'!E327,Timesheet!$C$13:$C$11483,'Início|Fim 1'!$H$2)</f>
        <v>0</v>
      </c>
      <c r="I327" s="2">
        <f>SUMIFS(Timesheet!$F$13:$F$11483,Timesheet!$A$13:$A$11483,'Início|Fim 1'!E327,Timesheet!$C$13:$C$11483,'Início|Fim 1'!$I$2)</f>
        <v>0</v>
      </c>
      <c r="J327" s="2">
        <f>SUMIFS(Timesheet!$F$13:$F$11483,Timesheet!$A$13:$A$11483,'Início|Fim 1'!E327,Timesheet!$C$13:$C$11483,'Início|Fim 1'!$J$2)</f>
        <v>0</v>
      </c>
      <c r="K327" s="2">
        <f>SUMIFS(Timesheet!$F$13:$F$11483,Timesheet!$A$13:$A$11483,'Início|Fim 1'!E327,Timesheet!$C$13:$C$11483,'Início|Fim 1'!$K$2)</f>
        <v>0</v>
      </c>
      <c r="L327" s="2">
        <f>SUMIFS(Timesheet!$F$13:$F$11483,Timesheet!$A$13:$A$11483,'Início|Fim 1'!E327,Timesheet!$C$13:$C$11483,'Início|Fim 1'!$L$2)</f>
        <v>0</v>
      </c>
      <c r="M327" s="2">
        <f>SUMIFS(Timesheet!$F$13:$F$11483,Timesheet!$A$13:$A$11483,'Início|Fim 1'!E327,Timesheet!$C$13:$C$11483,'Início|Fim 1'!$M$2)</f>
        <v>0</v>
      </c>
      <c r="N327" s="2">
        <f>SUMIFS(Timesheet!$F$13:$F$11483,Timesheet!$A$13:$A$11483,'Início|Fim 1'!E327,Timesheet!$C$13:$C$11483,'Início|Fim 1'!$N$2)</f>
        <v>0</v>
      </c>
      <c r="O327" s="2">
        <f t="shared" si="5"/>
        <v>0</v>
      </c>
    </row>
    <row r="328" spans="1:15" x14ac:dyDescent="0.25">
      <c r="A328" s="1">
        <v>45252</v>
      </c>
      <c r="B328" s="3">
        <f t="array" ref="B328">MIN(IF(A328=Timesheet!$A$13:$A$2615,Timesheet!$D$13:$D$2615))</f>
        <v>0</v>
      </c>
      <c r="C328" s="3">
        <f t="array" ref="C328">MAX(IF(A328=Timesheet!$A$13:$A$2615,Timesheet!$E$13:$E$2615))</f>
        <v>0</v>
      </c>
      <c r="E328" s="1">
        <v>45252</v>
      </c>
      <c r="F328" s="2">
        <f>SUMIFS(Timesheet!$F$13:$F$11483,Timesheet!$A$13:$A$11483,'Início|Fim 1'!E328,Timesheet!$C$13:$C$11483,'Início|Fim 1'!$F$2)</f>
        <v>0</v>
      </c>
      <c r="G328" s="2">
        <f>SUMIFS(Timesheet!$F$13:$F$11483,Timesheet!$A$13:$A$11483,'Início|Fim 1'!E328,Timesheet!$C$13:$C$11483,'Início|Fim 1'!$G$2)</f>
        <v>0</v>
      </c>
      <c r="H328" s="2">
        <f>SUMIFS(Timesheet!$F$13:$F$11483,Timesheet!$A$13:$A$11483,'Início|Fim 1'!E328,Timesheet!$C$13:$C$11483,'Início|Fim 1'!$H$2)</f>
        <v>0</v>
      </c>
      <c r="I328" s="2">
        <f>SUMIFS(Timesheet!$F$13:$F$11483,Timesheet!$A$13:$A$11483,'Início|Fim 1'!E328,Timesheet!$C$13:$C$11483,'Início|Fim 1'!$I$2)</f>
        <v>0</v>
      </c>
      <c r="J328" s="2">
        <f>SUMIFS(Timesheet!$F$13:$F$11483,Timesheet!$A$13:$A$11483,'Início|Fim 1'!E328,Timesheet!$C$13:$C$11483,'Início|Fim 1'!$J$2)</f>
        <v>0</v>
      </c>
      <c r="K328" s="2">
        <f>SUMIFS(Timesheet!$F$13:$F$11483,Timesheet!$A$13:$A$11483,'Início|Fim 1'!E328,Timesheet!$C$13:$C$11483,'Início|Fim 1'!$K$2)</f>
        <v>0</v>
      </c>
      <c r="L328" s="2">
        <f>SUMIFS(Timesheet!$F$13:$F$11483,Timesheet!$A$13:$A$11483,'Início|Fim 1'!E328,Timesheet!$C$13:$C$11483,'Início|Fim 1'!$L$2)</f>
        <v>0</v>
      </c>
      <c r="M328" s="2">
        <f>SUMIFS(Timesheet!$F$13:$F$11483,Timesheet!$A$13:$A$11483,'Início|Fim 1'!E328,Timesheet!$C$13:$C$11483,'Início|Fim 1'!$M$2)</f>
        <v>0</v>
      </c>
      <c r="N328" s="2">
        <f>SUMIFS(Timesheet!$F$13:$F$11483,Timesheet!$A$13:$A$11483,'Início|Fim 1'!E328,Timesheet!$C$13:$C$11483,'Início|Fim 1'!$N$2)</f>
        <v>0</v>
      </c>
      <c r="O328" s="2">
        <f t="shared" si="5"/>
        <v>0</v>
      </c>
    </row>
    <row r="329" spans="1:15" x14ac:dyDescent="0.25">
      <c r="A329" s="1">
        <v>45253</v>
      </c>
      <c r="B329" s="3">
        <f t="array" ref="B329">MIN(IF(A329=Timesheet!$A$13:$A$2615,Timesheet!$D$13:$D$2615))</f>
        <v>0</v>
      </c>
      <c r="C329" s="3">
        <f t="array" ref="C329">MAX(IF(A329=Timesheet!$A$13:$A$2615,Timesheet!$E$13:$E$2615))</f>
        <v>0</v>
      </c>
      <c r="E329" s="1">
        <v>45253</v>
      </c>
      <c r="F329" s="2">
        <f>SUMIFS(Timesheet!$F$13:$F$11483,Timesheet!$A$13:$A$11483,'Início|Fim 1'!E329,Timesheet!$C$13:$C$11483,'Início|Fim 1'!$F$2)</f>
        <v>0</v>
      </c>
      <c r="G329" s="2">
        <f>SUMIFS(Timesheet!$F$13:$F$11483,Timesheet!$A$13:$A$11483,'Início|Fim 1'!E329,Timesheet!$C$13:$C$11483,'Início|Fim 1'!$G$2)</f>
        <v>0</v>
      </c>
      <c r="H329" s="2">
        <f>SUMIFS(Timesheet!$F$13:$F$11483,Timesheet!$A$13:$A$11483,'Início|Fim 1'!E329,Timesheet!$C$13:$C$11483,'Início|Fim 1'!$H$2)</f>
        <v>0</v>
      </c>
      <c r="I329" s="2">
        <f>SUMIFS(Timesheet!$F$13:$F$11483,Timesheet!$A$13:$A$11483,'Início|Fim 1'!E329,Timesheet!$C$13:$C$11483,'Início|Fim 1'!$I$2)</f>
        <v>0</v>
      </c>
      <c r="J329" s="2">
        <f>SUMIFS(Timesheet!$F$13:$F$11483,Timesheet!$A$13:$A$11483,'Início|Fim 1'!E329,Timesheet!$C$13:$C$11483,'Início|Fim 1'!$J$2)</f>
        <v>0</v>
      </c>
      <c r="K329" s="2">
        <f>SUMIFS(Timesheet!$F$13:$F$11483,Timesheet!$A$13:$A$11483,'Início|Fim 1'!E329,Timesheet!$C$13:$C$11483,'Início|Fim 1'!$K$2)</f>
        <v>0</v>
      </c>
      <c r="L329" s="2">
        <f>SUMIFS(Timesheet!$F$13:$F$11483,Timesheet!$A$13:$A$11483,'Início|Fim 1'!E329,Timesheet!$C$13:$C$11483,'Início|Fim 1'!$L$2)</f>
        <v>0</v>
      </c>
      <c r="M329" s="2">
        <f>SUMIFS(Timesheet!$F$13:$F$11483,Timesheet!$A$13:$A$11483,'Início|Fim 1'!E329,Timesheet!$C$13:$C$11483,'Início|Fim 1'!$M$2)</f>
        <v>0</v>
      </c>
      <c r="N329" s="2">
        <f>SUMIFS(Timesheet!$F$13:$F$11483,Timesheet!$A$13:$A$11483,'Início|Fim 1'!E329,Timesheet!$C$13:$C$11483,'Início|Fim 1'!$N$2)</f>
        <v>0</v>
      </c>
      <c r="O329" s="2">
        <f t="shared" si="5"/>
        <v>0</v>
      </c>
    </row>
    <row r="330" spans="1:15" x14ac:dyDescent="0.25">
      <c r="A330" s="1">
        <v>45254</v>
      </c>
      <c r="B330" s="3">
        <f t="array" ref="B330">MIN(IF(A330=Timesheet!$A$13:$A$2615,Timesheet!$D$13:$D$2615))</f>
        <v>0</v>
      </c>
      <c r="C330" s="3">
        <f t="array" ref="C330">MAX(IF(A330=Timesheet!$A$13:$A$2615,Timesheet!$E$13:$E$2615))</f>
        <v>0</v>
      </c>
      <c r="E330" s="1">
        <v>45254</v>
      </c>
      <c r="F330" s="2">
        <f>SUMIFS(Timesheet!$F$13:$F$11483,Timesheet!$A$13:$A$11483,'Início|Fim 1'!E330,Timesheet!$C$13:$C$11483,'Início|Fim 1'!$F$2)</f>
        <v>0</v>
      </c>
      <c r="G330" s="2">
        <f>SUMIFS(Timesheet!$F$13:$F$11483,Timesheet!$A$13:$A$11483,'Início|Fim 1'!E330,Timesheet!$C$13:$C$11483,'Início|Fim 1'!$G$2)</f>
        <v>0</v>
      </c>
      <c r="H330" s="2">
        <f>SUMIFS(Timesheet!$F$13:$F$11483,Timesheet!$A$13:$A$11483,'Início|Fim 1'!E330,Timesheet!$C$13:$C$11483,'Início|Fim 1'!$H$2)</f>
        <v>0</v>
      </c>
      <c r="I330" s="2">
        <f>SUMIFS(Timesheet!$F$13:$F$11483,Timesheet!$A$13:$A$11483,'Início|Fim 1'!E330,Timesheet!$C$13:$C$11483,'Início|Fim 1'!$I$2)</f>
        <v>0</v>
      </c>
      <c r="J330" s="2">
        <f>SUMIFS(Timesheet!$F$13:$F$11483,Timesheet!$A$13:$A$11483,'Início|Fim 1'!E330,Timesheet!$C$13:$C$11483,'Início|Fim 1'!$J$2)</f>
        <v>0</v>
      </c>
      <c r="K330" s="2">
        <f>SUMIFS(Timesheet!$F$13:$F$11483,Timesheet!$A$13:$A$11483,'Início|Fim 1'!E330,Timesheet!$C$13:$C$11483,'Início|Fim 1'!$K$2)</f>
        <v>0</v>
      </c>
      <c r="L330" s="2">
        <f>SUMIFS(Timesheet!$F$13:$F$11483,Timesheet!$A$13:$A$11483,'Início|Fim 1'!E330,Timesheet!$C$13:$C$11483,'Início|Fim 1'!$L$2)</f>
        <v>0</v>
      </c>
      <c r="M330" s="2">
        <f>SUMIFS(Timesheet!$F$13:$F$11483,Timesheet!$A$13:$A$11483,'Início|Fim 1'!E330,Timesheet!$C$13:$C$11483,'Início|Fim 1'!$M$2)</f>
        <v>0</v>
      </c>
      <c r="N330" s="2">
        <f>SUMIFS(Timesheet!$F$13:$F$11483,Timesheet!$A$13:$A$11483,'Início|Fim 1'!E330,Timesheet!$C$13:$C$11483,'Início|Fim 1'!$N$2)</f>
        <v>0</v>
      </c>
      <c r="O330" s="2">
        <f t="shared" si="5"/>
        <v>0</v>
      </c>
    </row>
    <row r="331" spans="1:15" x14ac:dyDescent="0.25">
      <c r="A331" s="1">
        <v>45255</v>
      </c>
      <c r="B331" s="3">
        <f t="array" ref="B331">MIN(IF(A331=Timesheet!$A$13:$A$2615,Timesheet!$D$13:$D$2615))</f>
        <v>0</v>
      </c>
      <c r="C331" s="3">
        <f t="array" ref="C331">MAX(IF(A331=Timesheet!$A$13:$A$2615,Timesheet!$E$13:$E$2615))</f>
        <v>0</v>
      </c>
      <c r="E331" s="1">
        <v>45255</v>
      </c>
      <c r="F331" s="2">
        <f>SUMIFS(Timesheet!$F$13:$F$11483,Timesheet!$A$13:$A$11483,'Início|Fim 1'!E331,Timesheet!$C$13:$C$11483,'Início|Fim 1'!$F$2)</f>
        <v>0</v>
      </c>
      <c r="G331" s="2">
        <f>SUMIFS(Timesheet!$F$13:$F$11483,Timesheet!$A$13:$A$11483,'Início|Fim 1'!E331,Timesheet!$C$13:$C$11483,'Início|Fim 1'!$G$2)</f>
        <v>0</v>
      </c>
      <c r="H331" s="2">
        <f>SUMIFS(Timesheet!$F$13:$F$11483,Timesheet!$A$13:$A$11483,'Início|Fim 1'!E331,Timesheet!$C$13:$C$11483,'Início|Fim 1'!$H$2)</f>
        <v>0</v>
      </c>
      <c r="I331" s="2">
        <f>SUMIFS(Timesheet!$F$13:$F$11483,Timesheet!$A$13:$A$11483,'Início|Fim 1'!E331,Timesheet!$C$13:$C$11483,'Início|Fim 1'!$I$2)</f>
        <v>0</v>
      </c>
      <c r="J331" s="2">
        <f>SUMIFS(Timesheet!$F$13:$F$11483,Timesheet!$A$13:$A$11483,'Início|Fim 1'!E331,Timesheet!$C$13:$C$11483,'Início|Fim 1'!$J$2)</f>
        <v>0</v>
      </c>
      <c r="K331" s="2">
        <f>SUMIFS(Timesheet!$F$13:$F$11483,Timesheet!$A$13:$A$11483,'Início|Fim 1'!E331,Timesheet!$C$13:$C$11483,'Início|Fim 1'!$K$2)</f>
        <v>0</v>
      </c>
      <c r="L331" s="2">
        <f>SUMIFS(Timesheet!$F$13:$F$11483,Timesheet!$A$13:$A$11483,'Início|Fim 1'!E331,Timesheet!$C$13:$C$11483,'Início|Fim 1'!$L$2)</f>
        <v>0</v>
      </c>
      <c r="M331" s="2">
        <f>SUMIFS(Timesheet!$F$13:$F$11483,Timesheet!$A$13:$A$11483,'Início|Fim 1'!E331,Timesheet!$C$13:$C$11483,'Início|Fim 1'!$M$2)</f>
        <v>0</v>
      </c>
      <c r="N331" s="2">
        <f>SUMIFS(Timesheet!$F$13:$F$11483,Timesheet!$A$13:$A$11483,'Início|Fim 1'!E331,Timesheet!$C$13:$C$11483,'Início|Fim 1'!$N$2)</f>
        <v>0</v>
      </c>
      <c r="O331" s="2">
        <f t="shared" si="5"/>
        <v>0</v>
      </c>
    </row>
    <row r="332" spans="1:15" x14ac:dyDescent="0.25">
      <c r="A332" s="1">
        <v>45256</v>
      </c>
      <c r="B332" s="3">
        <f t="array" ref="B332">MIN(IF(A332=Timesheet!$A$13:$A$2615,Timesheet!$D$13:$D$2615))</f>
        <v>0</v>
      </c>
      <c r="C332" s="3">
        <f t="array" ref="C332">MAX(IF(A332=Timesheet!$A$13:$A$2615,Timesheet!$E$13:$E$2615))</f>
        <v>0</v>
      </c>
      <c r="E332" s="1">
        <v>45256</v>
      </c>
      <c r="F332" s="2">
        <f>SUMIFS(Timesheet!$F$13:$F$11483,Timesheet!$A$13:$A$11483,'Início|Fim 1'!E332,Timesheet!$C$13:$C$11483,'Início|Fim 1'!$F$2)</f>
        <v>0</v>
      </c>
      <c r="G332" s="2">
        <f>SUMIFS(Timesheet!$F$13:$F$11483,Timesheet!$A$13:$A$11483,'Início|Fim 1'!E332,Timesheet!$C$13:$C$11483,'Início|Fim 1'!$G$2)</f>
        <v>0</v>
      </c>
      <c r="H332" s="2">
        <f>SUMIFS(Timesheet!$F$13:$F$11483,Timesheet!$A$13:$A$11483,'Início|Fim 1'!E332,Timesheet!$C$13:$C$11483,'Início|Fim 1'!$H$2)</f>
        <v>0</v>
      </c>
      <c r="I332" s="2">
        <f>SUMIFS(Timesheet!$F$13:$F$11483,Timesheet!$A$13:$A$11483,'Início|Fim 1'!E332,Timesheet!$C$13:$C$11483,'Início|Fim 1'!$I$2)</f>
        <v>0</v>
      </c>
      <c r="J332" s="2">
        <f>SUMIFS(Timesheet!$F$13:$F$11483,Timesheet!$A$13:$A$11483,'Início|Fim 1'!E332,Timesheet!$C$13:$C$11483,'Início|Fim 1'!$J$2)</f>
        <v>0</v>
      </c>
      <c r="K332" s="2">
        <f>SUMIFS(Timesheet!$F$13:$F$11483,Timesheet!$A$13:$A$11483,'Início|Fim 1'!E332,Timesheet!$C$13:$C$11483,'Início|Fim 1'!$K$2)</f>
        <v>0</v>
      </c>
      <c r="L332" s="2">
        <f>SUMIFS(Timesheet!$F$13:$F$11483,Timesheet!$A$13:$A$11483,'Início|Fim 1'!E332,Timesheet!$C$13:$C$11483,'Início|Fim 1'!$L$2)</f>
        <v>0</v>
      </c>
      <c r="M332" s="2">
        <f>SUMIFS(Timesheet!$F$13:$F$11483,Timesheet!$A$13:$A$11483,'Início|Fim 1'!E332,Timesheet!$C$13:$C$11483,'Início|Fim 1'!$M$2)</f>
        <v>0</v>
      </c>
      <c r="N332" s="2">
        <f>SUMIFS(Timesheet!$F$13:$F$11483,Timesheet!$A$13:$A$11483,'Início|Fim 1'!E332,Timesheet!$C$13:$C$11483,'Início|Fim 1'!$N$2)</f>
        <v>0</v>
      </c>
      <c r="O332" s="2">
        <f t="shared" si="5"/>
        <v>0</v>
      </c>
    </row>
    <row r="333" spans="1:15" x14ac:dyDescent="0.25">
      <c r="A333" s="1">
        <v>45257</v>
      </c>
      <c r="B333" s="3">
        <f t="array" ref="B333">MIN(IF(A333=Timesheet!$A$13:$A$2615,Timesheet!$D$13:$D$2615))</f>
        <v>0</v>
      </c>
      <c r="C333" s="3">
        <f t="array" ref="C333">MAX(IF(A333=Timesheet!$A$13:$A$2615,Timesheet!$E$13:$E$2615))</f>
        <v>0</v>
      </c>
      <c r="E333" s="1">
        <v>45257</v>
      </c>
      <c r="F333" s="2">
        <f>SUMIFS(Timesheet!$F$13:$F$11483,Timesheet!$A$13:$A$11483,'Início|Fim 1'!E333,Timesheet!$C$13:$C$11483,'Início|Fim 1'!$F$2)</f>
        <v>0</v>
      </c>
      <c r="G333" s="2">
        <f>SUMIFS(Timesheet!$F$13:$F$11483,Timesheet!$A$13:$A$11483,'Início|Fim 1'!E333,Timesheet!$C$13:$C$11483,'Início|Fim 1'!$G$2)</f>
        <v>0</v>
      </c>
      <c r="H333" s="2">
        <f>SUMIFS(Timesheet!$F$13:$F$11483,Timesheet!$A$13:$A$11483,'Início|Fim 1'!E333,Timesheet!$C$13:$C$11483,'Início|Fim 1'!$H$2)</f>
        <v>0</v>
      </c>
      <c r="I333" s="2">
        <f>SUMIFS(Timesheet!$F$13:$F$11483,Timesheet!$A$13:$A$11483,'Início|Fim 1'!E333,Timesheet!$C$13:$C$11483,'Início|Fim 1'!$I$2)</f>
        <v>0</v>
      </c>
      <c r="J333" s="2">
        <f>SUMIFS(Timesheet!$F$13:$F$11483,Timesheet!$A$13:$A$11483,'Início|Fim 1'!E333,Timesheet!$C$13:$C$11483,'Início|Fim 1'!$J$2)</f>
        <v>0</v>
      </c>
      <c r="K333" s="2">
        <f>SUMIFS(Timesheet!$F$13:$F$11483,Timesheet!$A$13:$A$11483,'Início|Fim 1'!E333,Timesheet!$C$13:$C$11483,'Início|Fim 1'!$K$2)</f>
        <v>0</v>
      </c>
      <c r="L333" s="2">
        <f>SUMIFS(Timesheet!$F$13:$F$11483,Timesheet!$A$13:$A$11483,'Início|Fim 1'!E333,Timesheet!$C$13:$C$11483,'Início|Fim 1'!$L$2)</f>
        <v>0</v>
      </c>
      <c r="M333" s="2">
        <f>SUMIFS(Timesheet!$F$13:$F$11483,Timesheet!$A$13:$A$11483,'Início|Fim 1'!E333,Timesheet!$C$13:$C$11483,'Início|Fim 1'!$M$2)</f>
        <v>0</v>
      </c>
      <c r="N333" s="2">
        <f>SUMIFS(Timesheet!$F$13:$F$11483,Timesheet!$A$13:$A$11483,'Início|Fim 1'!E333,Timesheet!$C$13:$C$11483,'Início|Fim 1'!$N$2)</f>
        <v>0</v>
      </c>
      <c r="O333" s="2">
        <f t="shared" si="5"/>
        <v>0</v>
      </c>
    </row>
    <row r="334" spans="1:15" x14ac:dyDescent="0.25">
      <c r="A334" s="1">
        <v>45258</v>
      </c>
      <c r="B334" s="3">
        <f t="array" ref="B334">MIN(IF(A334=Timesheet!$A$13:$A$2615,Timesheet!$D$13:$D$2615))</f>
        <v>0</v>
      </c>
      <c r="C334" s="3">
        <f t="array" ref="C334">MAX(IF(A334=Timesheet!$A$13:$A$2615,Timesheet!$E$13:$E$2615))</f>
        <v>0</v>
      </c>
      <c r="E334" s="1">
        <v>45258</v>
      </c>
      <c r="F334" s="2">
        <f>SUMIFS(Timesheet!$F$13:$F$11483,Timesheet!$A$13:$A$11483,'Início|Fim 1'!E334,Timesheet!$C$13:$C$11483,'Início|Fim 1'!$F$2)</f>
        <v>0</v>
      </c>
      <c r="G334" s="2">
        <f>SUMIFS(Timesheet!$F$13:$F$11483,Timesheet!$A$13:$A$11483,'Início|Fim 1'!E334,Timesheet!$C$13:$C$11483,'Início|Fim 1'!$G$2)</f>
        <v>0</v>
      </c>
      <c r="H334" s="2">
        <f>SUMIFS(Timesheet!$F$13:$F$11483,Timesheet!$A$13:$A$11483,'Início|Fim 1'!E334,Timesheet!$C$13:$C$11483,'Início|Fim 1'!$H$2)</f>
        <v>0</v>
      </c>
      <c r="I334" s="2">
        <f>SUMIFS(Timesheet!$F$13:$F$11483,Timesheet!$A$13:$A$11483,'Início|Fim 1'!E334,Timesheet!$C$13:$C$11483,'Início|Fim 1'!$I$2)</f>
        <v>0</v>
      </c>
      <c r="J334" s="2">
        <f>SUMIFS(Timesheet!$F$13:$F$11483,Timesheet!$A$13:$A$11483,'Início|Fim 1'!E334,Timesheet!$C$13:$C$11483,'Início|Fim 1'!$J$2)</f>
        <v>0</v>
      </c>
      <c r="K334" s="2">
        <f>SUMIFS(Timesheet!$F$13:$F$11483,Timesheet!$A$13:$A$11483,'Início|Fim 1'!E334,Timesheet!$C$13:$C$11483,'Início|Fim 1'!$K$2)</f>
        <v>0</v>
      </c>
      <c r="L334" s="2">
        <f>SUMIFS(Timesheet!$F$13:$F$11483,Timesheet!$A$13:$A$11483,'Início|Fim 1'!E334,Timesheet!$C$13:$C$11483,'Início|Fim 1'!$L$2)</f>
        <v>0</v>
      </c>
      <c r="M334" s="2">
        <f>SUMIFS(Timesheet!$F$13:$F$11483,Timesheet!$A$13:$A$11483,'Início|Fim 1'!E334,Timesheet!$C$13:$C$11483,'Início|Fim 1'!$M$2)</f>
        <v>0</v>
      </c>
      <c r="N334" s="2">
        <f>SUMIFS(Timesheet!$F$13:$F$11483,Timesheet!$A$13:$A$11483,'Início|Fim 1'!E334,Timesheet!$C$13:$C$11483,'Início|Fim 1'!$N$2)</f>
        <v>0</v>
      </c>
      <c r="O334" s="2">
        <f t="shared" si="5"/>
        <v>0</v>
      </c>
    </row>
    <row r="335" spans="1:15" x14ac:dyDescent="0.25">
      <c r="A335" s="1">
        <v>45259</v>
      </c>
      <c r="B335" s="3">
        <f t="array" ref="B335">MIN(IF(A335=Timesheet!$A$13:$A$2615,Timesheet!$D$13:$D$2615))</f>
        <v>0</v>
      </c>
      <c r="C335" s="3">
        <f t="array" ref="C335">MAX(IF(A335=Timesheet!$A$13:$A$2615,Timesheet!$E$13:$E$2615))</f>
        <v>0</v>
      </c>
      <c r="E335" s="1">
        <v>45259</v>
      </c>
      <c r="F335" s="2">
        <f>SUMIFS(Timesheet!$F$13:$F$11483,Timesheet!$A$13:$A$11483,'Início|Fim 1'!E335,Timesheet!$C$13:$C$11483,'Início|Fim 1'!$F$2)</f>
        <v>0</v>
      </c>
      <c r="G335" s="2">
        <f>SUMIFS(Timesheet!$F$13:$F$11483,Timesheet!$A$13:$A$11483,'Início|Fim 1'!E335,Timesheet!$C$13:$C$11483,'Início|Fim 1'!$G$2)</f>
        <v>0</v>
      </c>
      <c r="H335" s="2">
        <f>SUMIFS(Timesheet!$F$13:$F$11483,Timesheet!$A$13:$A$11483,'Início|Fim 1'!E335,Timesheet!$C$13:$C$11483,'Início|Fim 1'!$H$2)</f>
        <v>0</v>
      </c>
      <c r="I335" s="2">
        <f>SUMIFS(Timesheet!$F$13:$F$11483,Timesheet!$A$13:$A$11483,'Início|Fim 1'!E335,Timesheet!$C$13:$C$11483,'Início|Fim 1'!$I$2)</f>
        <v>0</v>
      </c>
      <c r="J335" s="2">
        <f>SUMIFS(Timesheet!$F$13:$F$11483,Timesheet!$A$13:$A$11483,'Início|Fim 1'!E335,Timesheet!$C$13:$C$11483,'Início|Fim 1'!$J$2)</f>
        <v>0</v>
      </c>
      <c r="K335" s="2">
        <f>SUMIFS(Timesheet!$F$13:$F$11483,Timesheet!$A$13:$A$11483,'Início|Fim 1'!E335,Timesheet!$C$13:$C$11483,'Início|Fim 1'!$K$2)</f>
        <v>0</v>
      </c>
      <c r="L335" s="2">
        <f>SUMIFS(Timesheet!$F$13:$F$11483,Timesheet!$A$13:$A$11483,'Início|Fim 1'!E335,Timesheet!$C$13:$C$11483,'Início|Fim 1'!$L$2)</f>
        <v>0</v>
      </c>
      <c r="M335" s="2">
        <f>SUMIFS(Timesheet!$F$13:$F$11483,Timesheet!$A$13:$A$11483,'Início|Fim 1'!E335,Timesheet!$C$13:$C$11483,'Início|Fim 1'!$M$2)</f>
        <v>0</v>
      </c>
      <c r="N335" s="2">
        <f>SUMIFS(Timesheet!$F$13:$F$11483,Timesheet!$A$13:$A$11483,'Início|Fim 1'!E335,Timesheet!$C$13:$C$11483,'Início|Fim 1'!$N$2)</f>
        <v>0</v>
      </c>
      <c r="O335" s="2">
        <f t="shared" si="5"/>
        <v>0</v>
      </c>
    </row>
    <row r="336" spans="1:15" x14ac:dyDescent="0.25">
      <c r="A336" s="1">
        <v>45260</v>
      </c>
      <c r="B336" s="3">
        <f t="array" ref="B336">MIN(IF(A336=Timesheet!$A$13:$A$2615,Timesheet!$D$13:$D$2615))</f>
        <v>0</v>
      </c>
      <c r="C336" s="3">
        <f t="array" ref="C336">MAX(IF(A336=Timesheet!$A$13:$A$2615,Timesheet!$E$13:$E$2615))</f>
        <v>0</v>
      </c>
      <c r="E336" s="1">
        <v>45260</v>
      </c>
      <c r="F336" s="2">
        <f>SUMIFS(Timesheet!$F$13:$F$11483,Timesheet!$A$13:$A$11483,'Início|Fim 1'!E336,Timesheet!$C$13:$C$11483,'Início|Fim 1'!$F$2)</f>
        <v>0</v>
      </c>
      <c r="G336" s="2">
        <f>SUMIFS(Timesheet!$F$13:$F$11483,Timesheet!$A$13:$A$11483,'Início|Fim 1'!E336,Timesheet!$C$13:$C$11483,'Início|Fim 1'!$G$2)</f>
        <v>0</v>
      </c>
      <c r="H336" s="2">
        <f>SUMIFS(Timesheet!$F$13:$F$11483,Timesheet!$A$13:$A$11483,'Início|Fim 1'!E336,Timesheet!$C$13:$C$11483,'Início|Fim 1'!$H$2)</f>
        <v>0</v>
      </c>
      <c r="I336" s="2">
        <f>SUMIFS(Timesheet!$F$13:$F$11483,Timesheet!$A$13:$A$11483,'Início|Fim 1'!E336,Timesheet!$C$13:$C$11483,'Início|Fim 1'!$I$2)</f>
        <v>0</v>
      </c>
      <c r="J336" s="2">
        <f>SUMIFS(Timesheet!$F$13:$F$11483,Timesheet!$A$13:$A$11483,'Início|Fim 1'!E336,Timesheet!$C$13:$C$11483,'Início|Fim 1'!$J$2)</f>
        <v>0</v>
      </c>
      <c r="K336" s="2">
        <f>SUMIFS(Timesheet!$F$13:$F$11483,Timesheet!$A$13:$A$11483,'Início|Fim 1'!E336,Timesheet!$C$13:$C$11483,'Início|Fim 1'!$K$2)</f>
        <v>0</v>
      </c>
      <c r="L336" s="2">
        <f>SUMIFS(Timesheet!$F$13:$F$11483,Timesheet!$A$13:$A$11483,'Início|Fim 1'!E336,Timesheet!$C$13:$C$11483,'Início|Fim 1'!$L$2)</f>
        <v>0</v>
      </c>
      <c r="M336" s="2">
        <f>SUMIFS(Timesheet!$F$13:$F$11483,Timesheet!$A$13:$A$11483,'Início|Fim 1'!E336,Timesheet!$C$13:$C$11483,'Início|Fim 1'!$M$2)</f>
        <v>0</v>
      </c>
      <c r="N336" s="2">
        <f>SUMIFS(Timesheet!$F$13:$F$11483,Timesheet!$A$13:$A$11483,'Início|Fim 1'!E336,Timesheet!$C$13:$C$11483,'Início|Fim 1'!$N$2)</f>
        <v>0</v>
      </c>
      <c r="O336" s="2">
        <f t="shared" si="5"/>
        <v>0</v>
      </c>
    </row>
    <row r="337" spans="1:15" x14ac:dyDescent="0.25">
      <c r="A337" s="1">
        <v>45261</v>
      </c>
      <c r="B337" s="3">
        <f t="array" ref="B337">MIN(IF(A337=Timesheet!$A$13:$A$2615,Timesheet!$D$13:$D$2615))</f>
        <v>0</v>
      </c>
      <c r="C337" s="3">
        <f t="array" ref="C337">MAX(IF(A337=Timesheet!$A$13:$A$2615,Timesheet!$E$13:$E$2615))</f>
        <v>0</v>
      </c>
      <c r="E337" s="1">
        <v>45261</v>
      </c>
      <c r="F337" s="2">
        <f>SUMIFS(Timesheet!$F$13:$F$11483,Timesheet!$A$13:$A$11483,'Início|Fim 1'!E337,Timesheet!$C$13:$C$11483,'Início|Fim 1'!$F$2)</f>
        <v>0</v>
      </c>
      <c r="G337" s="2">
        <f>SUMIFS(Timesheet!$F$13:$F$11483,Timesheet!$A$13:$A$11483,'Início|Fim 1'!E337,Timesheet!$C$13:$C$11483,'Início|Fim 1'!$G$2)</f>
        <v>0</v>
      </c>
      <c r="H337" s="2">
        <f>SUMIFS(Timesheet!$F$13:$F$11483,Timesheet!$A$13:$A$11483,'Início|Fim 1'!E337,Timesheet!$C$13:$C$11483,'Início|Fim 1'!$H$2)</f>
        <v>0</v>
      </c>
      <c r="I337" s="2">
        <f>SUMIFS(Timesheet!$F$13:$F$11483,Timesheet!$A$13:$A$11483,'Início|Fim 1'!E337,Timesheet!$C$13:$C$11483,'Início|Fim 1'!$I$2)</f>
        <v>0</v>
      </c>
      <c r="J337" s="2">
        <f>SUMIFS(Timesheet!$F$13:$F$11483,Timesheet!$A$13:$A$11483,'Início|Fim 1'!E337,Timesheet!$C$13:$C$11483,'Início|Fim 1'!$J$2)</f>
        <v>0</v>
      </c>
      <c r="K337" s="2">
        <f>SUMIFS(Timesheet!$F$13:$F$11483,Timesheet!$A$13:$A$11483,'Início|Fim 1'!E337,Timesheet!$C$13:$C$11483,'Início|Fim 1'!$K$2)</f>
        <v>0</v>
      </c>
      <c r="L337" s="2">
        <f>SUMIFS(Timesheet!$F$13:$F$11483,Timesheet!$A$13:$A$11483,'Início|Fim 1'!E337,Timesheet!$C$13:$C$11483,'Início|Fim 1'!$L$2)</f>
        <v>0</v>
      </c>
      <c r="M337" s="2">
        <f>SUMIFS(Timesheet!$F$13:$F$11483,Timesheet!$A$13:$A$11483,'Início|Fim 1'!E337,Timesheet!$C$13:$C$11483,'Início|Fim 1'!$M$2)</f>
        <v>0</v>
      </c>
      <c r="N337" s="2">
        <f>SUMIFS(Timesheet!$F$13:$F$11483,Timesheet!$A$13:$A$11483,'Início|Fim 1'!E337,Timesheet!$C$13:$C$11483,'Início|Fim 1'!$N$2)</f>
        <v>0</v>
      </c>
      <c r="O337" s="2">
        <f t="shared" si="5"/>
        <v>0</v>
      </c>
    </row>
    <row r="338" spans="1:15" x14ac:dyDescent="0.25">
      <c r="A338" s="1">
        <v>45262</v>
      </c>
      <c r="B338" s="3">
        <f t="array" ref="B338">MIN(IF(A338=Timesheet!$A$13:$A$2615,Timesheet!$D$13:$D$2615))</f>
        <v>0</v>
      </c>
      <c r="C338" s="3">
        <f t="array" ref="C338">MAX(IF(A338=Timesheet!$A$13:$A$2615,Timesheet!$E$13:$E$2615))</f>
        <v>0</v>
      </c>
      <c r="E338" s="1">
        <v>45262</v>
      </c>
      <c r="F338" s="2">
        <f>SUMIFS(Timesheet!$F$13:$F$11483,Timesheet!$A$13:$A$11483,'Início|Fim 1'!E338,Timesheet!$C$13:$C$11483,'Início|Fim 1'!$F$2)</f>
        <v>0</v>
      </c>
      <c r="G338" s="2">
        <f>SUMIFS(Timesheet!$F$13:$F$11483,Timesheet!$A$13:$A$11483,'Início|Fim 1'!E338,Timesheet!$C$13:$C$11483,'Início|Fim 1'!$G$2)</f>
        <v>0</v>
      </c>
      <c r="H338" s="2">
        <f>SUMIFS(Timesheet!$F$13:$F$11483,Timesheet!$A$13:$A$11483,'Início|Fim 1'!E338,Timesheet!$C$13:$C$11483,'Início|Fim 1'!$H$2)</f>
        <v>0</v>
      </c>
      <c r="I338" s="2">
        <f>SUMIFS(Timesheet!$F$13:$F$11483,Timesheet!$A$13:$A$11483,'Início|Fim 1'!E338,Timesheet!$C$13:$C$11483,'Início|Fim 1'!$I$2)</f>
        <v>0</v>
      </c>
      <c r="J338" s="2">
        <f>SUMIFS(Timesheet!$F$13:$F$11483,Timesheet!$A$13:$A$11483,'Início|Fim 1'!E338,Timesheet!$C$13:$C$11483,'Início|Fim 1'!$J$2)</f>
        <v>0</v>
      </c>
      <c r="K338" s="2">
        <f>SUMIFS(Timesheet!$F$13:$F$11483,Timesheet!$A$13:$A$11483,'Início|Fim 1'!E338,Timesheet!$C$13:$C$11483,'Início|Fim 1'!$K$2)</f>
        <v>0</v>
      </c>
      <c r="L338" s="2">
        <f>SUMIFS(Timesheet!$F$13:$F$11483,Timesheet!$A$13:$A$11483,'Início|Fim 1'!E338,Timesheet!$C$13:$C$11483,'Início|Fim 1'!$L$2)</f>
        <v>0</v>
      </c>
      <c r="M338" s="2">
        <f>SUMIFS(Timesheet!$F$13:$F$11483,Timesheet!$A$13:$A$11483,'Início|Fim 1'!E338,Timesheet!$C$13:$C$11483,'Início|Fim 1'!$M$2)</f>
        <v>0</v>
      </c>
      <c r="N338" s="2">
        <f>SUMIFS(Timesheet!$F$13:$F$11483,Timesheet!$A$13:$A$11483,'Início|Fim 1'!E338,Timesheet!$C$13:$C$11483,'Início|Fim 1'!$N$2)</f>
        <v>0</v>
      </c>
      <c r="O338" s="2">
        <f t="shared" si="5"/>
        <v>0</v>
      </c>
    </row>
    <row r="339" spans="1:15" x14ac:dyDescent="0.25">
      <c r="A339" s="1">
        <v>45263</v>
      </c>
      <c r="B339" s="3">
        <f t="array" ref="B339">MIN(IF(A339=Timesheet!$A$13:$A$2615,Timesheet!$D$13:$D$2615))</f>
        <v>0</v>
      </c>
      <c r="C339" s="3">
        <f t="array" ref="C339">MAX(IF(A339=Timesheet!$A$13:$A$2615,Timesheet!$E$13:$E$2615))</f>
        <v>0</v>
      </c>
      <c r="E339" s="1">
        <v>45263</v>
      </c>
      <c r="F339" s="2">
        <f>SUMIFS(Timesheet!$F$13:$F$11483,Timesheet!$A$13:$A$11483,'Início|Fim 1'!E339,Timesheet!$C$13:$C$11483,'Início|Fim 1'!$F$2)</f>
        <v>0</v>
      </c>
      <c r="G339" s="2">
        <f>SUMIFS(Timesheet!$F$13:$F$11483,Timesheet!$A$13:$A$11483,'Início|Fim 1'!E339,Timesheet!$C$13:$C$11483,'Início|Fim 1'!$G$2)</f>
        <v>0</v>
      </c>
      <c r="H339" s="2">
        <f>SUMIFS(Timesheet!$F$13:$F$11483,Timesheet!$A$13:$A$11483,'Início|Fim 1'!E339,Timesheet!$C$13:$C$11483,'Início|Fim 1'!$H$2)</f>
        <v>0</v>
      </c>
      <c r="I339" s="2">
        <f>SUMIFS(Timesheet!$F$13:$F$11483,Timesheet!$A$13:$A$11483,'Início|Fim 1'!E339,Timesheet!$C$13:$C$11483,'Início|Fim 1'!$I$2)</f>
        <v>0</v>
      </c>
      <c r="J339" s="2">
        <f>SUMIFS(Timesheet!$F$13:$F$11483,Timesheet!$A$13:$A$11483,'Início|Fim 1'!E339,Timesheet!$C$13:$C$11483,'Início|Fim 1'!$J$2)</f>
        <v>0</v>
      </c>
      <c r="K339" s="2">
        <f>SUMIFS(Timesheet!$F$13:$F$11483,Timesheet!$A$13:$A$11483,'Início|Fim 1'!E339,Timesheet!$C$13:$C$11483,'Início|Fim 1'!$K$2)</f>
        <v>0</v>
      </c>
      <c r="L339" s="2">
        <f>SUMIFS(Timesheet!$F$13:$F$11483,Timesheet!$A$13:$A$11483,'Início|Fim 1'!E339,Timesheet!$C$13:$C$11483,'Início|Fim 1'!$L$2)</f>
        <v>0</v>
      </c>
      <c r="M339" s="2">
        <f>SUMIFS(Timesheet!$F$13:$F$11483,Timesheet!$A$13:$A$11483,'Início|Fim 1'!E339,Timesheet!$C$13:$C$11483,'Início|Fim 1'!$M$2)</f>
        <v>0</v>
      </c>
      <c r="N339" s="2">
        <f>SUMIFS(Timesheet!$F$13:$F$11483,Timesheet!$A$13:$A$11483,'Início|Fim 1'!E339,Timesheet!$C$13:$C$11483,'Início|Fim 1'!$N$2)</f>
        <v>0</v>
      </c>
      <c r="O339" s="2">
        <f t="shared" si="5"/>
        <v>0</v>
      </c>
    </row>
    <row r="340" spans="1:15" x14ac:dyDescent="0.25">
      <c r="A340" s="1">
        <v>45264</v>
      </c>
      <c r="B340" s="3">
        <f t="array" ref="B340">MIN(IF(A340=Timesheet!$A$13:$A$2615,Timesheet!$D$13:$D$2615))</f>
        <v>0</v>
      </c>
      <c r="C340" s="3">
        <f t="array" ref="C340">MAX(IF(A340=Timesheet!$A$13:$A$2615,Timesheet!$E$13:$E$2615))</f>
        <v>0</v>
      </c>
      <c r="E340" s="1">
        <v>45264</v>
      </c>
      <c r="F340" s="2">
        <f>SUMIFS(Timesheet!$F$13:$F$11483,Timesheet!$A$13:$A$11483,'Início|Fim 1'!E340,Timesheet!$C$13:$C$11483,'Início|Fim 1'!$F$2)</f>
        <v>0</v>
      </c>
      <c r="G340" s="2">
        <f>SUMIFS(Timesheet!$F$13:$F$11483,Timesheet!$A$13:$A$11483,'Início|Fim 1'!E340,Timesheet!$C$13:$C$11483,'Início|Fim 1'!$G$2)</f>
        <v>0</v>
      </c>
      <c r="H340" s="2">
        <f>SUMIFS(Timesheet!$F$13:$F$11483,Timesheet!$A$13:$A$11483,'Início|Fim 1'!E340,Timesheet!$C$13:$C$11483,'Início|Fim 1'!$H$2)</f>
        <v>0</v>
      </c>
      <c r="I340" s="2">
        <f>SUMIFS(Timesheet!$F$13:$F$11483,Timesheet!$A$13:$A$11483,'Início|Fim 1'!E340,Timesheet!$C$13:$C$11483,'Início|Fim 1'!$I$2)</f>
        <v>0</v>
      </c>
      <c r="J340" s="2">
        <f>SUMIFS(Timesheet!$F$13:$F$11483,Timesheet!$A$13:$A$11483,'Início|Fim 1'!E340,Timesheet!$C$13:$C$11483,'Início|Fim 1'!$J$2)</f>
        <v>0</v>
      </c>
      <c r="K340" s="2">
        <f>SUMIFS(Timesheet!$F$13:$F$11483,Timesheet!$A$13:$A$11483,'Início|Fim 1'!E340,Timesheet!$C$13:$C$11483,'Início|Fim 1'!$K$2)</f>
        <v>0</v>
      </c>
      <c r="L340" s="2">
        <f>SUMIFS(Timesheet!$F$13:$F$11483,Timesheet!$A$13:$A$11483,'Início|Fim 1'!E340,Timesheet!$C$13:$C$11483,'Início|Fim 1'!$L$2)</f>
        <v>0</v>
      </c>
      <c r="M340" s="2">
        <f>SUMIFS(Timesheet!$F$13:$F$11483,Timesheet!$A$13:$A$11483,'Início|Fim 1'!E340,Timesheet!$C$13:$C$11483,'Início|Fim 1'!$M$2)</f>
        <v>0</v>
      </c>
      <c r="N340" s="2">
        <f>SUMIFS(Timesheet!$F$13:$F$11483,Timesheet!$A$13:$A$11483,'Início|Fim 1'!E340,Timesheet!$C$13:$C$11483,'Início|Fim 1'!$N$2)</f>
        <v>0</v>
      </c>
      <c r="O340" s="2">
        <f t="shared" si="5"/>
        <v>0</v>
      </c>
    </row>
    <row r="341" spans="1:15" x14ac:dyDescent="0.25">
      <c r="A341" s="1">
        <v>45265</v>
      </c>
      <c r="B341" s="3">
        <f t="array" ref="B341">MIN(IF(A341=Timesheet!$A$13:$A$2615,Timesheet!$D$13:$D$2615))</f>
        <v>0</v>
      </c>
      <c r="C341" s="3">
        <f t="array" ref="C341">MAX(IF(A341=Timesheet!$A$13:$A$2615,Timesheet!$E$13:$E$2615))</f>
        <v>0</v>
      </c>
      <c r="E341" s="1">
        <v>45265</v>
      </c>
      <c r="F341" s="2">
        <f>SUMIFS(Timesheet!$F$13:$F$11483,Timesheet!$A$13:$A$11483,'Início|Fim 1'!E341,Timesheet!$C$13:$C$11483,'Início|Fim 1'!$F$2)</f>
        <v>0</v>
      </c>
      <c r="G341" s="2">
        <f>SUMIFS(Timesheet!$F$13:$F$11483,Timesheet!$A$13:$A$11483,'Início|Fim 1'!E341,Timesheet!$C$13:$C$11483,'Início|Fim 1'!$G$2)</f>
        <v>0</v>
      </c>
      <c r="H341" s="2">
        <f>SUMIFS(Timesheet!$F$13:$F$11483,Timesheet!$A$13:$A$11483,'Início|Fim 1'!E341,Timesheet!$C$13:$C$11483,'Início|Fim 1'!$H$2)</f>
        <v>0</v>
      </c>
      <c r="I341" s="2">
        <f>SUMIFS(Timesheet!$F$13:$F$11483,Timesheet!$A$13:$A$11483,'Início|Fim 1'!E341,Timesheet!$C$13:$C$11483,'Início|Fim 1'!$I$2)</f>
        <v>0</v>
      </c>
      <c r="J341" s="2">
        <f>SUMIFS(Timesheet!$F$13:$F$11483,Timesheet!$A$13:$A$11483,'Início|Fim 1'!E341,Timesheet!$C$13:$C$11483,'Início|Fim 1'!$J$2)</f>
        <v>0</v>
      </c>
      <c r="K341" s="2">
        <f>SUMIFS(Timesheet!$F$13:$F$11483,Timesheet!$A$13:$A$11483,'Início|Fim 1'!E341,Timesheet!$C$13:$C$11483,'Início|Fim 1'!$K$2)</f>
        <v>0</v>
      </c>
      <c r="L341" s="2">
        <f>SUMIFS(Timesheet!$F$13:$F$11483,Timesheet!$A$13:$A$11483,'Início|Fim 1'!E341,Timesheet!$C$13:$C$11483,'Início|Fim 1'!$L$2)</f>
        <v>0</v>
      </c>
      <c r="M341" s="2">
        <f>SUMIFS(Timesheet!$F$13:$F$11483,Timesheet!$A$13:$A$11483,'Início|Fim 1'!E341,Timesheet!$C$13:$C$11483,'Início|Fim 1'!$M$2)</f>
        <v>0</v>
      </c>
      <c r="N341" s="2">
        <f>SUMIFS(Timesheet!$F$13:$F$11483,Timesheet!$A$13:$A$11483,'Início|Fim 1'!E341,Timesheet!$C$13:$C$11483,'Início|Fim 1'!$N$2)</f>
        <v>0</v>
      </c>
      <c r="O341" s="2">
        <f t="shared" si="5"/>
        <v>0</v>
      </c>
    </row>
    <row r="342" spans="1:15" x14ac:dyDescent="0.25">
      <c r="A342" s="1">
        <v>45266</v>
      </c>
      <c r="B342" s="3">
        <f t="array" ref="B342">MIN(IF(A342=Timesheet!$A$13:$A$2615,Timesheet!$D$13:$D$2615))</f>
        <v>0</v>
      </c>
      <c r="C342" s="3">
        <f t="array" ref="C342">MAX(IF(A342=Timesheet!$A$13:$A$2615,Timesheet!$E$13:$E$2615))</f>
        <v>0</v>
      </c>
      <c r="E342" s="1">
        <v>45266</v>
      </c>
      <c r="F342" s="2">
        <f>SUMIFS(Timesheet!$F$13:$F$11483,Timesheet!$A$13:$A$11483,'Início|Fim 1'!E342,Timesheet!$C$13:$C$11483,'Início|Fim 1'!$F$2)</f>
        <v>0</v>
      </c>
      <c r="G342" s="2">
        <f>SUMIFS(Timesheet!$F$13:$F$11483,Timesheet!$A$13:$A$11483,'Início|Fim 1'!E342,Timesheet!$C$13:$C$11483,'Início|Fim 1'!$G$2)</f>
        <v>0</v>
      </c>
      <c r="H342" s="2">
        <f>SUMIFS(Timesheet!$F$13:$F$11483,Timesheet!$A$13:$A$11483,'Início|Fim 1'!E342,Timesheet!$C$13:$C$11483,'Início|Fim 1'!$H$2)</f>
        <v>0</v>
      </c>
      <c r="I342" s="2">
        <f>SUMIFS(Timesheet!$F$13:$F$11483,Timesheet!$A$13:$A$11483,'Início|Fim 1'!E342,Timesheet!$C$13:$C$11483,'Início|Fim 1'!$I$2)</f>
        <v>0</v>
      </c>
      <c r="J342" s="2">
        <f>SUMIFS(Timesheet!$F$13:$F$11483,Timesheet!$A$13:$A$11483,'Início|Fim 1'!E342,Timesheet!$C$13:$C$11483,'Início|Fim 1'!$J$2)</f>
        <v>0</v>
      </c>
      <c r="K342" s="2">
        <f>SUMIFS(Timesheet!$F$13:$F$11483,Timesheet!$A$13:$A$11483,'Início|Fim 1'!E342,Timesheet!$C$13:$C$11483,'Início|Fim 1'!$K$2)</f>
        <v>0</v>
      </c>
      <c r="L342" s="2">
        <f>SUMIFS(Timesheet!$F$13:$F$11483,Timesheet!$A$13:$A$11483,'Início|Fim 1'!E342,Timesheet!$C$13:$C$11483,'Início|Fim 1'!$L$2)</f>
        <v>0</v>
      </c>
      <c r="M342" s="2">
        <f>SUMIFS(Timesheet!$F$13:$F$11483,Timesheet!$A$13:$A$11483,'Início|Fim 1'!E342,Timesheet!$C$13:$C$11483,'Início|Fim 1'!$M$2)</f>
        <v>0</v>
      </c>
      <c r="N342" s="2">
        <f>SUMIFS(Timesheet!$F$13:$F$11483,Timesheet!$A$13:$A$11483,'Início|Fim 1'!E342,Timesheet!$C$13:$C$11483,'Início|Fim 1'!$N$2)</f>
        <v>0</v>
      </c>
      <c r="O342" s="2">
        <f t="shared" si="5"/>
        <v>0</v>
      </c>
    </row>
    <row r="343" spans="1:15" x14ac:dyDescent="0.25">
      <c r="A343" s="1">
        <v>45267</v>
      </c>
      <c r="B343" s="3">
        <f t="array" ref="B343">MIN(IF(A343=Timesheet!$A$13:$A$2615,Timesheet!$D$13:$D$2615))</f>
        <v>0</v>
      </c>
      <c r="C343" s="3">
        <f t="array" ref="C343">MAX(IF(A343=Timesheet!$A$13:$A$2615,Timesheet!$E$13:$E$2615))</f>
        <v>0</v>
      </c>
      <c r="E343" s="1">
        <v>45267</v>
      </c>
      <c r="F343" s="2">
        <f>SUMIFS(Timesheet!$F$13:$F$11483,Timesheet!$A$13:$A$11483,'Início|Fim 1'!E343,Timesheet!$C$13:$C$11483,'Início|Fim 1'!$F$2)</f>
        <v>0</v>
      </c>
      <c r="G343" s="2">
        <f>SUMIFS(Timesheet!$F$13:$F$11483,Timesheet!$A$13:$A$11483,'Início|Fim 1'!E343,Timesheet!$C$13:$C$11483,'Início|Fim 1'!$G$2)</f>
        <v>0</v>
      </c>
      <c r="H343" s="2">
        <f>SUMIFS(Timesheet!$F$13:$F$11483,Timesheet!$A$13:$A$11483,'Início|Fim 1'!E343,Timesheet!$C$13:$C$11483,'Início|Fim 1'!$H$2)</f>
        <v>0</v>
      </c>
      <c r="I343" s="2">
        <f>SUMIFS(Timesheet!$F$13:$F$11483,Timesheet!$A$13:$A$11483,'Início|Fim 1'!E343,Timesheet!$C$13:$C$11483,'Início|Fim 1'!$I$2)</f>
        <v>0</v>
      </c>
      <c r="J343" s="2">
        <f>SUMIFS(Timesheet!$F$13:$F$11483,Timesheet!$A$13:$A$11483,'Início|Fim 1'!E343,Timesheet!$C$13:$C$11483,'Início|Fim 1'!$J$2)</f>
        <v>0</v>
      </c>
      <c r="K343" s="2">
        <f>SUMIFS(Timesheet!$F$13:$F$11483,Timesheet!$A$13:$A$11483,'Início|Fim 1'!E343,Timesheet!$C$13:$C$11483,'Início|Fim 1'!$K$2)</f>
        <v>0</v>
      </c>
      <c r="L343" s="2">
        <f>SUMIFS(Timesheet!$F$13:$F$11483,Timesheet!$A$13:$A$11483,'Início|Fim 1'!E343,Timesheet!$C$13:$C$11483,'Início|Fim 1'!$L$2)</f>
        <v>0</v>
      </c>
      <c r="M343" s="2">
        <f>SUMIFS(Timesheet!$F$13:$F$11483,Timesheet!$A$13:$A$11483,'Início|Fim 1'!E343,Timesheet!$C$13:$C$11483,'Início|Fim 1'!$M$2)</f>
        <v>0</v>
      </c>
      <c r="N343" s="2">
        <f>SUMIFS(Timesheet!$F$13:$F$11483,Timesheet!$A$13:$A$11483,'Início|Fim 1'!E343,Timesheet!$C$13:$C$11483,'Início|Fim 1'!$N$2)</f>
        <v>0</v>
      </c>
      <c r="O343" s="2">
        <f t="shared" si="5"/>
        <v>0</v>
      </c>
    </row>
    <row r="344" spans="1:15" x14ac:dyDescent="0.25">
      <c r="A344" s="1">
        <v>45268</v>
      </c>
      <c r="B344" s="3">
        <f t="array" ref="B344">MIN(IF(A344=Timesheet!$A$13:$A$2615,Timesheet!$D$13:$D$2615))</f>
        <v>0</v>
      </c>
      <c r="C344" s="3">
        <f t="array" ref="C344">MAX(IF(A344=Timesheet!$A$13:$A$2615,Timesheet!$E$13:$E$2615))</f>
        <v>0</v>
      </c>
      <c r="E344" s="1">
        <v>45268</v>
      </c>
      <c r="F344" s="2">
        <f>SUMIFS(Timesheet!$F$13:$F$11483,Timesheet!$A$13:$A$11483,'Início|Fim 1'!E344,Timesheet!$C$13:$C$11483,'Início|Fim 1'!$F$2)</f>
        <v>0</v>
      </c>
      <c r="G344" s="2">
        <f>SUMIFS(Timesheet!$F$13:$F$11483,Timesheet!$A$13:$A$11483,'Início|Fim 1'!E344,Timesheet!$C$13:$C$11483,'Início|Fim 1'!$G$2)</f>
        <v>0</v>
      </c>
      <c r="H344" s="2">
        <f>SUMIFS(Timesheet!$F$13:$F$11483,Timesheet!$A$13:$A$11483,'Início|Fim 1'!E344,Timesheet!$C$13:$C$11483,'Início|Fim 1'!$H$2)</f>
        <v>0</v>
      </c>
      <c r="I344" s="2">
        <f>SUMIFS(Timesheet!$F$13:$F$11483,Timesheet!$A$13:$A$11483,'Início|Fim 1'!E344,Timesheet!$C$13:$C$11483,'Início|Fim 1'!$I$2)</f>
        <v>0</v>
      </c>
      <c r="J344" s="2">
        <f>SUMIFS(Timesheet!$F$13:$F$11483,Timesheet!$A$13:$A$11483,'Início|Fim 1'!E344,Timesheet!$C$13:$C$11483,'Início|Fim 1'!$J$2)</f>
        <v>0</v>
      </c>
      <c r="K344" s="2">
        <f>SUMIFS(Timesheet!$F$13:$F$11483,Timesheet!$A$13:$A$11483,'Início|Fim 1'!E344,Timesheet!$C$13:$C$11483,'Início|Fim 1'!$K$2)</f>
        <v>0</v>
      </c>
      <c r="L344" s="2">
        <f>SUMIFS(Timesheet!$F$13:$F$11483,Timesheet!$A$13:$A$11483,'Início|Fim 1'!E344,Timesheet!$C$13:$C$11483,'Início|Fim 1'!$L$2)</f>
        <v>0</v>
      </c>
      <c r="M344" s="2">
        <f>SUMIFS(Timesheet!$F$13:$F$11483,Timesheet!$A$13:$A$11483,'Início|Fim 1'!E344,Timesheet!$C$13:$C$11483,'Início|Fim 1'!$M$2)</f>
        <v>0</v>
      </c>
      <c r="N344" s="2">
        <f>SUMIFS(Timesheet!$F$13:$F$11483,Timesheet!$A$13:$A$11483,'Início|Fim 1'!E344,Timesheet!$C$13:$C$11483,'Início|Fim 1'!$N$2)</f>
        <v>0</v>
      </c>
      <c r="O344" s="2">
        <f t="shared" si="5"/>
        <v>0</v>
      </c>
    </row>
    <row r="345" spans="1:15" x14ac:dyDescent="0.25">
      <c r="A345" s="1">
        <v>45269</v>
      </c>
      <c r="B345" s="3">
        <f t="array" ref="B345">MIN(IF(A345=Timesheet!$A$13:$A$2615,Timesheet!$D$13:$D$2615))</f>
        <v>0</v>
      </c>
      <c r="C345" s="3">
        <f t="array" ref="C345">MAX(IF(A345=Timesheet!$A$13:$A$2615,Timesheet!$E$13:$E$2615))</f>
        <v>0</v>
      </c>
      <c r="E345" s="1">
        <v>45269</v>
      </c>
      <c r="F345" s="2">
        <f>SUMIFS(Timesheet!$F$13:$F$11483,Timesheet!$A$13:$A$11483,'Início|Fim 1'!E345,Timesheet!$C$13:$C$11483,'Início|Fim 1'!$F$2)</f>
        <v>0</v>
      </c>
      <c r="G345" s="2">
        <f>SUMIFS(Timesheet!$F$13:$F$11483,Timesheet!$A$13:$A$11483,'Início|Fim 1'!E345,Timesheet!$C$13:$C$11483,'Início|Fim 1'!$G$2)</f>
        <v>0</v>
      </c>
      <c r="H345" s="2">
        <f>SUMIFS(Timesheet!$F$13:$F$11483,Timesheet!$A$13:$A$11483,'Início|Fim 1'!E345,Timesheet!$C$13:$C$11483,'Início|Fim 1'!$H$2)</f>
        <v>0</v>
      </c>
      <c r="I345" s="2">
        <f>SUMIFS(Timesheet!$F$13:$F$11483,Timesheet!$A$13:$A$11483,'Início|Fim 1'!E345,Timesheet!$C$13:$C$11483,'Início|Fim 1'!$I$2)</f>
        <v>0</v>
      </c>
      <c r="J345" s="2">
        <f>SUMIFS(Timesheet!$F$13:$F$11483,Timesheet!$A$13:$A$11483,'Início|Fim 1'!E345,Timesheet!$C$13:$C$11483,'Início|Fim 1'!$J$2)</f>
        <v>0</v>
      </c>
      <c r="K345" s="2">
        <f>SUMIFS(Timesheet!$F$13:$F$11483,Timesheet!$A$13:$A$11483,'Início|Fim 1'!E345,Timesheet!$C$13:$C$11483,'Início|Fim 1'!$K$2)</f>
        <v>0</v>
      </c>
      <c r="L345" s="2">
        <f>SUMIFS(Timesheet!$F$13:$F$11483,Timesheet!$A$13:$A$11483,'Início|Fim 1'!E345,Timesheet!$C$13:$C$11483,'Início|Fim 1'!$L$2)</f>
        <v>0</v>
      </c>
      <c r="M345" s="2">
        <f>SUMIFS(Timesheet!$F$13:$F$11483,Timesheet!$A$13:$A$11483,'Início|Fim 1'!E345,Timesheet!$C$13:$C$11483,'Início|Fim 1'!$M$2)</f>
        <v>0</v>
      </c>
      <c r="N345" s="2">
        <f>SUMIFS(Timesheet!$F$13:$F$11483,Timesheet!$A$13:$A$11483,'Início|Fim 1'!E345,Timesheet!$C$13:$C$11483,'Início|Fim 1'!$N$2)</f>
        <v>0</v>
      </c>
      <c r="O345" s="2">
        <f t="shared" si="5"/>
        <v>0</v>
      </c>
    </row>
    <row r="346" spans="1:15" x14ac:dyDescent="0.25">
      <c r="A346" s="1">
        <v>45270</v>
      </c>
      <c r="B346" s="3">
        <f t="array" ref="B346">MIN(IF(A346=Timesheet!$A$13:$A$2615,Timesheet!$D$13:$D$2615))</f>
        <v>0</v>
      </c>
      <c r="C346" s="3">
        <f t="array" ref="C346">MAX(IF(A346=Timesheet!$A$13:$A$2615,Timesheet!$E$13:$E$2615))</f>
        <v>0</v>
      </c>
      <c r="E346" s="1">
        <v>45270</v>
      </c>
      <c r="F346" s="2">
        <f>SUMIFS(Timesheet!$F$13:$F$11483,Timesheet!$A$13:$A$11483,'Início|Fim 1'!E346,Timesheet!$C$13:$C$11483,'Início|Fim 1'!$F$2)</f>
        <v>0</v>
      </c>
      <c r="G346" s="2">
        <f>SUMIFS(Timesheet!$F$13:$F$11483,Timesheet!$A$13:$A$11483,'Início|Fim 1'!E346,Timesheet!$C$13:$C$11483,'Início|Fim 1'!$G$2)</f>
        <v>0</v>
      </c>
      <c r="H346" s="2">
        <f>SUMIFS(Timesheet!$F$13:$F$11483,Timesheet!$A$13:$A$11483,'Início|Fim 1'!E346,Timesheet!$C$13:$C$11483,'Início|Fim 1'!$H$2)</f>
        <v>0</v>
      </c>
      <c r="I346" s="2">
        <f>SUMIFS(Timesheet!$F$13:$F$11483,Timesheet!$A$13:$A$11483,'Início|Fim 1'!E346,Timesheet!$C$13:$C$11483,'Início|Fim 1'!$I$2)</f>
        <v>0</v>
      </c>
      <c r="J346" s="2">
        <f>SUMIFS(Timesheet!$F$13:$F$11483,Timesheet!$A$13:$A$11483,'Início|Fim 1'!E346,Timesheet!$C$13:$C$11483,'Início|Fim 1'!$J$2)</f>
        <v>0</v>
      </c>
      <c r="K346" s="2">
        <f>SUMIFS(Timesheet!$F$13:$F$11483,Timesheet!$A$13:$A$11483,'Início|Fim 1'!E346,Timesheet!$C$13:$C$11483,'Início|Fim 1'!$K$2)</f>
        <v>0</v>
      </c>
      <c r="L346" s="2">
        <f>SUMIFS(Timesheet!$F$13:$F$11483,Timesheet!$A$13:$A$11483,'Início|Fim 1'!E346,Timesheet!$C$13:$C$11483,'Início|Fim 1'!$L$2)</f>
        <v>0</v>
      </c>
      <c r="M346" s="2">
        <f>SUMIFS(Timesheet!$F$13:$F$11483,Timesheet!$A$13:$A$11483,'Início|Fim 1'!E346,Timesheet!$C$13:$C$11483,'Início|Fim 1'!$M$2)</f>
        <v>0</v>
      </c>
      <c r="N346" s="2">
        <f>SUMIFS(Timesheet!$F$13:$F$11483,Timesheet!$A$13:$A$11483,'Início|Fim 1'!E346,Timesheet!$C$13:$C$11483,'Início|Fim 1'!$N$2)</f>
        <v>0</v>
      </c>
      <c r="O346" s="2">
        <f t="shared" si="5"/>
        <v>0</v>
      </c>
    </row>
    <row r="347" spans="1:15" x14ac:dyDescent="0.25">
      <c r="A347" s="1">
        <v>45271</v>
      </c>
      <c r="B347" s="3">
        <f t="array" ref="B347">MIN(IF(A347=Timesheet!$A$13:$A$2615,Timesheet!$D$13:$D$2615))</f>
        <v>0</v>
      </c>
      <c r="C347" s="3">
        <f t="array" ref="C347">MAX(IF(A347=Timesheet!$A$13:$A$2615,Timesheet!$E$13:$E$2615))</f>
        <v>0</v>
      </c>
      <c r="E347" s="1">
        <v>45271</v>
      </c>
      <c r="F347" s="2">
        <f>SUMIFS(Timesheet!$F$13:$F$11483,Timesheet!$A$13:$A$11483,'Início|Fim 1'!E347,Timesheet!$C$13:$C$11483,'Início|Fim 1'!$F$2)</f>
        <v>0</v>
      </c>
      <c r="G347" s="2">
        <f>SUMIFS(Timesheet!$F$13:$F$11483,Timesheet!$A$13:$A$11483,'Início|Fim 1'!E347,Timesheet!$C$13:$C$11483,'Início|Fim 1'!$G$2)</f>
        <v>0</v>
      </c>
      <c r="H347" s="2">
        <f>SUMIFS(Timesheet!$F$13:$F$11483,Timesheet!$A$13:$A$11483,'Início|Fim 1'!E347,Timesheet!$C$13:$C$11483,'Início|Fim 1'!$H$2)</f>
        <v>0</v>
      </c>
      <c r="I347" s="2">
        <f>SUMIFS(Timesheet!$F$13:$F$11483,Timesheet!$A$13:$A$11483,'Início|Fim 1'!E347,Timesheet!$C$13:$C$11483,'Início|Fim 1'!$I$2)</f>
        <v>0</v>
      </c>
      <c r="J347" s="2">
        <f>SUMIFS(Timesheet!$F$13:$F$11483,Timesheet!$A$13:$A$11483,'Início|Fim 1'!E347,Timesheet!$C$13:$C$11483,'Início|Fim 1'!$J$2)</f>
        <v>0</v>
      </c>
      <c r="K347" s="2">
        <f>SUMIFS(Timesheet!$F$13:$F$11483,Timesheet!$A$13:$A$11483,'Início|Fim 1'!E347,Timesheet!$C$13:$C$11483,'Início|Fim 1'!$K$2)</f>
        <v>0</v>
      </c>
      <c r="L347" s="2">
        <f>SUMIFS(Timesheet!$F$13:$F$11483,Timesheet!$A$13:$A$11483,'Início|Fim 1'!E347,Timesheet!$C$13:$C$11483,'Início|Fim 1'!$L$2)</f>
        <v>0</v>
      </c>
      <c r="M347" s="2">
        <f>SUMIFS(Timesheet!$F$13:$F$11483,Timesheet!$A$13:$A$11483,'Início|Fim 1'!E347,Timesheet!$C$13:$C$11483,'Início|Fim 1'!$M$2)</f>
        <v>0</v>
      </c>
      <c r="N347" s="2">
        <f>SUMIFS(Timesheet!$F$13:$F$11483,Timesheet!$A$13:$A$11483,'Início|Fim 1'!E347,Timesheet!$C$13:$C$11483,'Início|Fim 1'!$N$2)</f>
        <v>0</v>
      </c>
      <c r="O347" s="2">
        <f t="shared" si="5"/>
        <v>0</v>
      </c>
    </row>
    <row r="348" spans="1:15" x14ac:dyDescent="0.25">
      <c r="A348" s="1">
        <v>45272</v>
      </c>
      <c r="B348" s="3">
        <f t="array" ref="B348">MIN(IF(A348=Timesheet!$A$13:$A$2615,Timesheet!$D$13:$D$2615))</f>
        <v>0</v>
      </c>
      <c r="C348" s="3">
        <f t="array" ref="C348">MAX(IF(A348=Timesheet!$A$13:$A$2615,Timesheet!$E$13:$E$2615))</f>
        <v>0</v>
      </c>
      <c r="E348" s="1">
        <v>45272</v>
      </c>
      <c r="F348" s="2">
        <f>SUMIFS(Timesheet!$F$13:$F$11483,Timesheet!$A$13:$A$11483,'Início|Fim 1'!E348,Timesheet!$C$13:$C$11483,'Início|Fim 1'!$F$2)</f>
        <v>0</v>
      </c>
      <c r="G348" s="2">
        <f>SUMIFS(Timesheet!$F$13:$F$11483,Timesheet!$A$13:$A$11483,'Início|Fim 1'!E348,Timesheet!$C$13:$C$11483,'Início|Fim 1'!$G$2)</f>
        <v>0</v>
      </c>
      <c r="H348" s="2">
        <f>SUMIFS(Timesheet!$F$13:$F$11483,Timesheet!$A$13:$A$11483,'Início|Fim 1'!E348,Timesheet!$C$13:$C$11483,'Início|Fim 1'!$H$2)</f>
        <v>0</v>
      </c>
      <c r="I348" s="2">
        <f>SUMIFS(Timesheet!$F$13:$F$11483,Timesheet!$A$13:$A$11483,'Início|Fim 1'!E348,Timesheet!$C$13:$C$11483,'Início|Fim 1'!$I$2)</f>
        <v>0</v>
      </c>
      <c r="J348" s="2">
        <f>SUMIFS(Timesheet!$F$13:$F$11483,Timesheet!$A$13:$A$11483,'Início|Fim 1'!E348,Timesheet!$C$13:$C$11483,'Início|Fim 1'!$J$2)</f>
        <v>0</v>
      </c>
      <c r="K348" s="2">
        <f>SUMIFS(Timesheet!$F$13:$F$11483,Timesheet!$A$13:$A$11483,'Início|Fim 1'!E348,Timesheet!$C$13:$C$11483,'Início|Fim 1'!$K$2)</f>
        <v>0</v>
      </c>
      <c r="L348" s="2">
        <f>SUMIFS(Timesheet!$F$13:$F$11483,Timesheet!$A$13:$A$11483,'Início|Fim 1'!E348,Timesheet!$C$13:$C$11483,'Início|Fim 1'!$L$2)</f>
        <v>0</v>
      </c>
      <c r="M348" s="2">
        <f>SUMIFS(Timesheet!$F$13:$F$11483,Timesheet!$A$13:$A$11483,'Início|Fim 1'!E348,Timesheet!$C$13:$C$11483,'Início|Fim 1'!$M$2)</f>
        <v>0</v>
      </c>
      <c r="N348" s="2">
        <f>SUMIFS(Timesheet!$F$13:$F$11483,Timesheet!$A$13:$A$11483,'Início|Fim 1'!E348,Timesheet!$C$13:$C$11483,'Início|Fim 1'!$N$2)</f>
        <v>0</v>
      </c>
      <c r="O348" s="2">
        <f t="shared" si="5"/>
        <v>0</v>
      </c>
    </row>
    <row r="349" spans="1:15" x14ac:dyDescent="0.25">
      <c r="A349" s="1">
        <v>45273</v>
      </c>
      <c r="B349" s="3">
        <f t="array" ref="B349">MIN(IF(A349=Timesheet!$A$13:$A$2615,Timesheet!$D$13:$D$2615))</f>
        <v>0</v>
      </c>
      <c r="C349" s="3">
        <f t="array" ref="C349">MAX(IF(A349=Timesheet!$A$13:$A$2615,Timesheet!$E$13:$E$2615))</f>
        <v>0</v>
      </c>
      <c r="E349" s="1">
        <v>45273</v>
      </c>
      <c r="F349" s="2">
        <f>SUMIFS(Timesheet!$F$13:$F$11483,Timesheet!$A$13:$A$11483,'Início|Fim 1'!E349,Timesheet!$C$13:$C$11483,'Início|Fim 1'!$F$2)</f>
        <v>0</v>
      </c>
      <c r="G349" s="2">
        <f>SUMIFS(Timesheet!$F$13:$F$11483,Timesheet!$A$13:$A$11483,'Início|Fim 1'!E349,Timesheet!$C$13:$C$11483,'Início|Fim 1'!$G$2)</f>
        <v>0</v>
      </c>
      <c r="H349" s="2">
        <f>SUMIFS(Timesheet!$F$13:$F$11483,Timesheet!$A$13:$A$11483,'Início|Fim 1'!E349,Timesheet!$C$13:$C$11483,'Início|Fim 1'!$H$2)</f>
        <v>0</v>
      </c>
      <c r="I349" s="2">
        <f>SUMIFS(Timesheet!$F$13:$F$11483,Timesheet!$A$13:$A$11483,'Início|Fim 1'!E349,Timesheet!$C$13:$C$11483,'Início|Fim 1'!$I$2)</f>
        <v>0</v>
      </c>
      <c r="J349" s="2">
        <f>SUMIFS(Timesheet!$F$13:$F$11483,Timesheet!$A$13:$A$11483,'Início|Fim 1'!E349,Timesheet!$C$13:$C$11483,'Início|Fim 1'!$J$2)</f>
        <v>0</v>
      </c>
      <c r="K349" s="2">
        <f>SUMIFS(Timesheet!$F$13:$F$11483,Timesheet!$A$13:$A$11483,'Início|Fim 1'!E349,Timesheet!$C$13:$C$11483,'Início|Fim 1'!$K$2)</f>
        <v>0</v>
      </c>
      <c r="L349" s="2">
        <f>SUMIFS(Timesheet!$F$13:$F$11483,Timesheet!$A$13:$A$11483,'Início|Fim 1'!E349,Timesheet!$C$13:$C$11483,'Início|Fim 1'!$L$2)</f>
        <v>0</v>
      </c>
      <c r="M349" s="2">
        <f>SUMIFS(Timesheet!$F$13:$F$11483,Timesheet!$A$13:$A$11483,'Início|Fim 1'!E349,Timesheet!$C$13:$C$11483,'Início|Fim 1'!$M$2)</f>
        <v>0</v>
      </c>
      <c r="N349" s="2">
        <f>SUMIFS(Timesheet!$F$13:$F$11483,Timesheet!$A$13:$A$11483,'Início|Fim 1'!E349,Timesheet!$C$13:$C$11483,'Início|Fim 1'!$N$2)</f>
        <v>0</v>
      </c>
      <c r="O349" s="2">
        <f t="shared" si="5"/>
        <v>0</v>
      </c>
    </row>
    <row r="350" spans="1:15" x14ac:dyDescent="0.25">
      <c r="A350" s="1">
        <v>45274</v>
      </c>
      <c r="B350" s="3">
        <f t="array" ref="B350">MIN(IF(A350=Timesheet!$A$13:$A$2615,Timesheet!$D$13:$D$2615))</f>
        <v>0</v>
      </c>
      <c r="C350" s="3">
        <f t="array" ref="C350">MAX(IF(A350=Timesheet!$A$13:$A$2615,Timesheet!$E$13:$E$2615))</f>
        <v>0</v>
      </c>
      <c r="E350" s="1">
        <v>45274</v>
      </c>
      <c r="F350" s="2">
        <f>SUMIFS(Timesheet!$F$13:$F$11483,Timesheet!$A$13:$A$11483,'Início|Fim 1'!E350,Timesheet!$C$13:$C$11483,'Início|Fim 1'!$F$2)</f>
        <v>0</v>
      </c>
      <c r="G350" s="2">
        <f>SUMIFS(Timesheet!$F$13:$F$11483,Timesheet!$A$13:$A$11483,'Início|Fim 1'!E350,Timesheet!$C$13:$C$11483,'Início|Fim 1'!$G$2)</f>
        <v>0</v>
      </c>
      <c r="H350" s="2">
        <f>SUMIFS(Timesheet!$F$13:$F$11483,Timesheet!$A$13:$A$11483,'Início|Fim 1'!E350,Timesheet!$C$13:$C$11483,'Início|Fim 1'!$H$2)</f>
        <v>0</v>
      </c>
      <c r="I350" s="2">
        <f>SUMIFS(Timesheet!$F$13:$F$11483,Timesheet!$A$13:$A$11483,'Início|Fim 1'!E350,Timesheet!$C$13:$C$11483,'Início|Fim 1'!$I$2)</f>
        <v>0</v>
      </c>
      <c r="J350" s="2">
        <f>SUMIFS(Timesheet!$F$13:$F$11483,Timesheet!$A$13:$A$11483,'Início|Fim 1'!E350,Timesheet!$C$13:$C$11483,'Início|Fim 1'!$J$2)</f>
        <v>0</v>
      </c>
      <c r="K350" s="2">
        <f>SUMIFS(Timesheet!$F$13:$F$11483,Timesheet!$A$13:$A$11483,'Início|Fim 1'!E350,Timesheet!$C$13:$C$11483,'Início|Fim 1'!$K$2)</f>
        <v>0</v>
      </c>
      <c r="L350" s="2">
        <f>SUMIFS(Timesheet!$F$13:$F$11483,Timesheet!$A$13:$A$11483,'Início|Fim 1'!E350,Timesheet!$C$13:$C$11483,'Início|Fim 1'!$L$2)</f>
        <v>0</v>
      </c>
      <c r="M350" s="2">
        <f>SUMIFS(Timesheet!$F$13:$F$11483,Timesheet!$A$13:$A$11483,'Início|Fim 1'!E350,Timesheet!$C$13:$C$11483,'Início|Fim 1'!$M$2)</f>
        <v>0</v>
      </c>
      <c r="N350" s="2">
        <f>SUMIFS(Timesheet!$F$13:$F$11483,Timesheet!$A$13:$A$11483,'Início|Fim 1'!E350,Timesheet!$C$13:$C$11483,'Início|Fim 1'!$N$2)</f>
        <v>0</v>
      </c>
      <c r="O350" s="2">
        <f t="shared" si="5"/>
        <v>0</v>
      </c>
    </row>
    <row r="351" spans="1:15" x14ac:dyDescent="0.25">
      <c r="A351" s="1">
        <v>45275</v>
      </c>
      <c r="B351" s="3">
        <f t="array" ref="B351">MIN(IF(A351=Timesheet!$A$13:$A$2615,Timesheet!$D$13:$D$2615))</f>
        <v>0</v>
      </c>
      <c r="C351" s="3">
        <f t="array" ref="C351">MAX(IF(A351=Timesheet!$A$13:$A$2615,Timesheet!$E$13:$E$2615))</f>
        <v>0</v>
      </c>
      <c r="E351" s="1">
        <v>45275</v>
      </c>
      <c r="F351" s="2">
        <f>SUMIFS(Timesheet!$F$13:$F$11483,Timesheet!$A$13:$A$11483,'Início|Fim 1'!E351,Timesheet!$C$13:$C$11483,'Início|Fim 1'!$F$2)</f>
        <v>0</v>
      </c>
      <c r="G351" s="2">
        <f>SUMIFS(Timesheet!$F$13:$F$11483,Timesheet!$A$13:$A$11483,'Início|Fim 1'!E351,Timesheet!$C$13:$C$11483,'Início|Fim 1'!$G$2)</f>
        <v>0</v>
      </c>
      <c r="H351" s="2">
        <f>SUMIFS(Timesheet!$F$13:$F$11483,Timesheet!$A$13:$A$11483,'Início|Fim 1'!E351,Timesheet!$C$13:$C$11483,'Início|Fim 1'!$H$2)</f>
        <v>0</v>
      </c>
      <c r="I351" s="2">
        <f>SUMIFS(Timesheet!$F$13:$F$11483,Timesheet!$A$13:$A$11483,'Início|Fim 1'!E351,Timesheet!$C$13:$C$11483,'Início|Fim 1'!$I$2)</f>
        <v>0</v>
      </c>
      <c r="J351" s="2">
        <f>SUMIFS(Timesheet!$F$13:$F$11483,Timesheet!$A$13:$A$11483,'Início|Fim 1'!E351,Timesheet!$C$13:$C$11483,'Início|Fim 1'!$J$2)</f>
        <v>0</v>
      </c>
      <c r="K351" s="2">
        <f>SUMIFS(Timesheet!$F$13:$F$11483,Timesheet!$A$13:$A$11483,'Início|Fim 1'!E351,Timesheet!$C$13:$C$11483,'Início|Fim 1'!$K$2)</f>
        <v>0</v>
      </c>
      <c r="L351" s="2">
        <f>SUMIFS(Timesheet!$F$13:$F$11483,Timesheet!$A$13:$A$11483,'Início|Fim 1'!E351,Timesheet!$C$13:$C$11483,'Início|Fim 1'!$L$2)</f>
        <v>0</v>
      </c>
      <c r="M351" s="2">
        <f>SUMIFS(Timesheet!$F$13:$F$11483,Timesheet!$A$13:$A$11483,'Início|Fim 1'!E351,Timesheet!$C$13:$C$11483,'Início|Fim 1'!$M$2)</f>
        <v>0</v>
      </c>
      <c r="N351" s="2">
        <f>SUMIFS(Timesheet!$F$13:$F$11483,Timesheet!$A$13:$A$11483,'Início|Fim 1'!E351,Timesheet!$C$13:$C$11483,'Início|Fim 1'!$N$2)</f>
        <v>0</v>
      </c>
      <c r="O351" s="2">
        <f t="shared" si="5"/>
        <v>0</v>
      </c>
    </row>
    <row r="352" spans="1:15" x14ac:dyDescent="0.25">
      <c r="A352" s="1">
        <v>45276</v>
      </c>
      <c r="B352" s="3">
        <f t="array" ref="B352">MIN(IF(A352=Timesheet!$A$13:$A$2615,Timesheet!$D$13:$D$2615))</f>
        <v>0</v>
      </c>
      <c r="C352" s="3">
        <f t="array" ref="C352">MAX(IF(A352=Timesheet!$A$13:$A$2615,Timesheet!$E$13:$E$2615))</f>
        <v>0</v>
      </c>
      <c r="E352" s="1">
        <v>45276</v>
      </c>
      <c r="F352" s="2">
        <f>SUMIFS(Timesheet!$F$13:$F$11483,Timesheet!$A$13:$A$11483,'Início|Fim 1'!E352,Timesheet!$C$13:$C$11483,'Início|Fim 1'!$F$2)</f>
        <v>0</v>
      </c>
      <c r="G352" s="2">
        <f>SUMIFS(Timesheet!$F$13:$F$11483,Timesheet!$A$13:$A$11483,'Início|Fim 1'!E352,Timesheet!$C$13:$C$11483,'Início|Fim 1'!$G$2)</f>
        <v>0</v>
      </c>
      <c r="H352" s="2">
        <f>SUMIFS(Timesheet!$F$13:$F$11483,Timesheet!$A$13:$A$11483,'Início|Fim 1'!E352,Timesheet!$C$13:$C$11483,'Início|Fim 1'!$H$2)</f>
        <v>0</v>
      </c>
      <c r="I352" s="2">
        <f>SUMIFS(Timesheet!$F$13:$F$11483,Timesheet!$A$13:$A$11483,'Início|Fim 1'!E352,Timesheet!$C$13:$C$11483,'Início|Fim 1'!$I$2)</f>
        <v>0</v>
      </c>
      <c r="J352" s="2">
        <f>SUMIFS(Timesheet!$F$13:$F$11483,Timesheet!$A$13:$A$11483,'Início|Fim 1'!E352,Timesheet!$C$13:$C$11483,'Início|Fim 1'!$J$2)</f>
        <v>0</v>
      </c>
      <c r="K352" s="2">
        <f>SUMIFS(Timesheet!$F$13:$F$11483,Timesheet!$A$13:$A$11483,'Início|Fim 1'!E352,Timesheet!$C$13:$C$11483,'Início|Fim 1'!$K$2)</f>
        <v>0</v>
      </c>
      <c r="L352" s="2">
        <f>SUMIFS(Timesheet!$F$13:$F$11483,Timesheet!$A$13:$A$11483,'Início|Fim 1'!E352,Timesheet!$C$13:$C$11483,'Início|Fim 1'!$L$2)</f>
        <v>0</v>
      </c>
      <c r="M352" s="2">
        <f>SUMIFS(Timesheet!$F$13:$F$11483,Timesheet!$A$13:$A$11483,'Início|Fim 1'!E352,Timesheet!$C$13:$C$11483,'Início|Fim 1'!$M$2)</f>
        <v>0</v>
      </c>
      <c r="N352" s="2">
        <f>SUMIFS(Timesheet!$F$13:$F$11483,Timesheet!$A$13:$A$11483,'Início|Fim 1'!E352,Timesheet!$C$13:$C$11483,'Início|Fim 1'!$N$2)</f>
        <v>0</v>
      </c>
      <c r="O352" s="2">
        <f t="shared" si="5"/>
        <v>0</v>
      </c>
    </row>
    <row r="353" spans="1:15" x14ac:dyDescent="0.25">
      <c r="A353" s="1">
        <v>45277</v>
      </c>
      <c r="B353" s="3">
        <f t="array" ref="B353">MIN(IF(A353=Timesheet!$A$13:$A$2615,Timesheet!$D$13:$D$2615))</f>
        <v>0</v>
      </c>
      <c r="C353" s="3">
        <f t="array" ref="C353">MAX(IF(A353=Timesheet!$A$13:$A$2615,Timesheet!$E$13:$E$2615))</f>
        <v>0</v>
      </c>
      <c r="E353" s="1">
        <v>45277</v>
      </c>
      <c r="F353" s="2">
        <f>SUMIFS(Timesheet!$F$13:$F$11483,Timesheet!$A$13:$A$11483,'Início|Fim 1'!E353,Timesheet!$C$13:$C$11483,'Início|Fim 1'!$F$2)</f>
        <v>0</v>
      </c>
      <c r="G353" s="2">
        <f>SUMIFS(Timesheet!$F$13:$F$11483,Timesheet!$A$13:$A$11483,'Início|Fim 1'!E353,Timesheet!$C$13:$C$11483,'Início|Fim 1'!$G$2)</f>
        <v>0</v>
      </c>
      <c r="H353" s="2">
        <f>SUMIFS(Timesheet!$F$13:$F$11483,Timesheet!$A$13:$A$11483,'Início|Fim 1'!E353,Timesheet!$C$13:$C$11483,'Início|Fim 1'!$H$2)</f>
        <v>0</v>
      </c>
      <c r="I353" s="2">
        <f>SUMIFS(Timesheet!$F$13:$F$11483,Timesheet!$A$13:$A$11483,'Início|Fim 1'!E353,Timesheet!$C$13:$C$11483,'Início|Fim 1'!$I$2)</f>
        <v>0</v>
      </c>
      <c r="J353" s="2">
        <f>SUMIFS(Timesheet!$F$13:$F$11483,Timesheet!$A$13:$A$11483,'Início|Fim 1'!E353,Timesheet!$C$13:$C$11483,'Início|Fim 1'!$J$2)</f>
        <v>0</v>
      </c>
      <c r="K353" s="2">
        <f>SUMIFS(Timesheet!$F$13:$F$11483,Timesheet!$A$13:$A$11483,'Início|Fim 1'!E353,Timesheet!$C$13:$C$11483,'Início|Fim 1'!$K$2)</f>
        <v>0</v>
      </c>
      <c r="L353" s="2">
        <f>SUMIFS(Timesheet!$F$13:$F$11483,Timesheet!$A$13:$A$11483,'Início|Fim 1'!E353,Timesheet!$C$13:$C$11483,'Início|Fim 1'!$L$2)</f>
        <v>0</v>
      </c>
      <c r="M353" s="2">
        <f>SUMIFS(Timesheet!$F$13:$F$11483,Timesheet!$A$13:$A$11483,'Início|Fim 1'!E353,Timesheet!$C$13:$C$11483,'Início|Fim 1'!$M$2)</f>
        <v>0</v>
      </c>
      <c r="N353" s="2">
        <f>SUMIFS(Timesheet!$F$13:$F$11483,Timesheet!$A$13:$A$11483,'Início|Fim 1'!E353,Timesheet!$C$13:$C$11483,'Início|Fim 1'!$N$2)</f>
        <v>0</v>
      </c>
      <c r="O353" s="2">
        <f t="shared" si="5"/>
        <v>0</v>
      </c>
    </row>
    <row r="354" spans="1:15" x14ac:dyDescent="0.25">
      <c r="A354" s="1">
        <v>45278</v>
      </c>
      <c r="B354" s="3">
        <f t="array" ref="B354">MIN(IF(A354=Timesheet!$A$13:$A$2615,Timesheet!$D$13:$D$2615))</f>
        <v>0</v>
      </c>
      <c r="C354" s="3">
        <f t="array" ref="C354">MAX(IF(A354=Timesheet!$A$13:$A$2615,Timesheet!$E$13:$E$2615))</f>
        <v>0</v>
      </c>
      <c r="E354" s="1">
        <v>45278</v>
      </c>
      <c r="F354" s="2">
        <f>SUMIFS(Timesheet!$F$13:$F$11483,Timesheet!$A$13:$A$11483,'Início|Fim 1'!E354,Timesheet!$C$13:$C$11483,'Início|Fim 1'!$F$2)</f>
        <v>0</v>
      </c>
      <c r="G354" s="2">
        <f>SUMIFS(Timesheet!$F$13:$F$11483,Timesheet!$A$13:$A$11483,'Início|Fim 1'!E354,Timesheet!$C$13:$C$11483,'Início|Fim 1'!$G$2)</f>
        <v>0</v>
      </c>
      <c r="H354" s="2">
        <f>SUMIFS(Timesheet!$F$13:$F$11483,Timesheet!$A$13:$A$11483,'Início|Fim 1'!E354,Timesheet!$C$13:$C$11483,'Início|Fim 1'!$H$2)</f>
        <v>0</v>
      </c>
      <c r="I354" s="2">
        <f>SUMIFS(Timesheet!$F$13:$F$11483,Timesheet!$A$13:$A$11483,'Início|Fim 1'!E354,Timesheet!$C$13:$C$11483,'Início|Fim 1'!$I$2)</f>
        <v>0</v>
      </c>
      <c r="J354" s="2">
        <f>SUMIFS(Timesheet!$F$13:$F$11483,Timesheet!$A$13:$A$11483,'Início|Fim 1'!E354,Timesheet!$C$13:$C$11483,'Início|Fim 1'!$J$2)</f>
        <v>0</v>
      </c>
      <c r="K354" s="2">
        <f>SUMIFS(Timesheet!$F$13:$F$11483,Timesheet!$A$13:$A$11483,'Início|Fim 1'!E354,Timesheet!$C$13:$C$11483,'Início|Fim 1'!$K$2)</f>
        <v>0</v>
      </c>
      <c r="L354" s="2">
        <f>SUMIFS(Timesheet!$F$13:$F$11483,Timesheet!$A$13:$A$11483,'Início|Fim 1'!E354,Timesheet!$C$13:$C$11483,'Início|Fim 1'!$L$2)</f>
        <v>0</v>
      </c>
      <c r="M354" s="2">
        <f>SUMIFS(Timesheet!$F$13:$F$11483,Timesheet!$A$13:$A$11483,'Início|Fim 1'!E354,Timesheet!$C$13:$C$11483,'Início|Fim 1'!$M$2)</f>
        <v>0</v>
      </c>
      <c r="N354" s="2">
        <f>SUMIFS(Timesheet!$F$13:$F$11483,Timesheet!$A$13:$A$11483,'Início|Fim 1'!E354,Timesheet!$C$13:$C$11483,'Início|Fim 1'!$N$2)</f>
        <v>0</v>
      </c>
      <c r="O354" s="2">
        <f t="shared" si="5"/>
        <v>0</v>
      </c>
    </row>
    <row r="355" spans="1:15" x14ac:dyDescent="0.25">
      <c r="A355" s="1">
        <v>45279</v>
      </c>
      <c r="B355" s="3">
        <f t="array" ref="B355">MIN(IF(A355=Timesheet!$A$13:$A$2615,Timesheet!$D$13:$D$2615))</f>
        <v>0</v>
      </c>
      <c r="C355" s="3">
        <f t="array" ref="C355">MAX(IF(A355=Timesheet!$A$13:$A$2615,Timesheet!$E$13:$E$2615))</f>
        <v>0</v>
      </c>
      <c r="E355" s="1">
        <v>45279</v>
      </c>
      <c r="F355" s="2">
        <f>SUMIFS(Timesheet!$F$13:$F$11483,Timesheet!$A$13:$A$11483,'Início|Fim 1'!E355,Timesheet!$C$13:$C$11483,'Início|Fim 1'!$F$2)</f>
        <v>0</v>
      </c>
      <c r="G355" s="2">
        <f>SUMIFS(Timesheet!$F$13:$F$11483,Timesheet!$A$13:$A$11483,'Início|Fim 1'!E355,Timesheet!$C$13:$C$11483,'Início|Fim 1'!$G$2)</f>
        <v>0</v>
      </c>
      <c r="H355" s="2">
        <f>SUMIFS(Timesheet!$F$13:$F$11483,Timesheet!$A$13:$A$11483,'Início|Fim 1'!E355,Timesheet!$C$13:$C$11483,'Início|Fim 1'!$H$2)</f>
        <v>0</v>
      </c>
      <c r="I355" s="2">
        <f>SUMIFS(Timesheet!$F$13:$F$11483,Timesheet!$A$13:$A$11483,'Início|Fim 1'!E355,Timesheet!$C$13:$C$11483,'Início|Fim 1'!$I$2)</f>
        <v>0</v>
      </c>
      <c r="J355" s="2">
        <f>SUMIFS(Timesheet!$F$13:$F$11483,Timesheet!$A$13:$A$11483,'Início|Fim 1'!E355,Timesheet!$C$13:$C$11483,'Início|Fim 1'!$J$2)</f>
        <v>0</v>
      </c>
      <c r="K355" s="2">
        <f>SUMIFS(Timesheet!$F$13:$F$11483,Timesheet!$A$13:$A$11483,'Início|Fim 1'!E355,Timesheet!$C$13:$C$11483,'Início|Fim 1'!$K$2)</f>
        <v>0</v>
      </c>
      <c r="L355" s="2">
        <f>SUMIFS(Timesheet!$F$13:$F$11483,Timesheet!$A$13:$A$11483,'Início|Fim 1'!E355,Timesheet!$C$13:$C$11483,'Início|Fim 1'!$L$2)</f>
        <v>0</v>
      </c>
      <c r="M355" s="2">
        <f>SUMIFS(Timesheet!$F$13:$F$11483,Timesheet!$A$13:$A$11483,'Início|Fim 1'!E355,Timesheet!$C$13:$C$11483,'Início|Fim 1'!$M$2)</f>
        <v>0</v>
      </c>
      <c r="N355" s="2">
        <f>SUMIFS(Timesheet!$F$13:$F$11483,Timesheet!$A$13:$A$11483,'Início|Fim 1'!E355,Timesheet!$C$13:$C$11483,'Início|Fim 1'!$N$2)</f>
        <v>0</v>
      </c>
      <c r="O355" s="2">
        <f t="shared" si="5"/>
        <v>0</v>
      </c>
    </row>
    <row r="356" spans="1:15" x14ac:dyDescent="0.25">
      <c r="A356" s="1">
        <v>45280</v>
      </c>
      <c r="B356" s="3">
        <f t="array" ref="B356">MIN(IF(A356=Timesheet!$A$13:$A$2615,Timesheet!$D$13:$D$2615))</f>
        <v>0</v>
      </c>
      <c r="C356" s="3">
        <f t="array" ref="C356">MAX(IF(A356=Timesheet!$A$13:$A$2615,Timesheet!$E$13:$E$2615))</f>
        <v>0</v>
      </c>
      <c r="E356" s="1">
        <v>45280</v>
      </c>
      <c r="F356" s="2">
        <f>SUMIFS(Timesheet!$F$13:$F$11483,Timesheet!$A$13:$A$11483,'Início|Fim 1'!E356,Timesheet!$C$13:$C$11483,'Início|Fim 1'!$F$2)</f>
        <v>0</v>
      </c>
      <c r="G356" s="2">
        <f>SUMIFS(Timesheet!$F$13:$F$11483,Timesheet!$A$13:$A$11483,'Início|Fim 1'!E356,Timesheet!$C$13:$C$11483,'Início|Fim 1'!$G$2)</f>
        <v>0</v>
      </c>
      <c r="H356" s="2">
        <f>SUMIFS(Timesheet!$F$13:$F$11483,Timesheet!$A$13:$A$11483,'Início|Fim 1'!E356,Timesheet!$C$13:$C$11483,'Início|Fim 1'!$H$2)</f>
        <v>0</v>
      </c>
      <c r="I356" s="2">
        <f>SUMIFS(Timesheet!$F$13:$F$11483,Timesheet!$A$13:$A$11483,'Início|Fim 1'!E356,Timesheet!$C$13:$C$11483,'Início|Fim 1'!$I$2)</f>
        <v>0</v>
      </c>
      <c r="J356" s="2">
        <f>SUMIFS(Timesheet!$F$13:$F$11483,Timesheet!$A$13:$A$11483,'Início|Fim 1'!E356,Timesheet!$C$13:$C$11483,'Início|Fim 1'!$J$2)</f>
        <v>0</v>
      </c>
      <c r="K356" s="2">
        <f>SUMIFS(Timesheet!$F$13:$F$11483,Timesheet!$A$13:$A$11483,'Início|Fim 1'!E356,Timesheet!$C$13:$C$11483,'Início|Fim 1'!$K$2)</f>
        <v>0</v>
      </c>
      <c r="L356" s="2">
        <f>SUMIFS(Timesheet!$F$13:$F$11483,Timesheet!$A$13:$A$11483,'Início|Fim 1'!E356,Timesheet!$C$13:$C$11483,'Início|Fim 1'!$L$2)</f>
        <v>0</v>
      </c>
      <c r="M356" s="2">
        <f>SUMIFS(Timesheet!$F$13:$F$11483,Timesheet!$A$13:$A$11483,'Início|Fim 1'!E356,Timesheet!$C$13:$C$11483,'Início|Fim 1'!$M$2)</f>
        <v>0</v>
      </c>
      <c r="N356" s="2">
        <f>SUMIFS(Timesheet!$F$13:$F$11483,Timesheet!$A$13:$A$11483,'Início|Fim 1'!E356,Timesheet!$C$13:$C$11483,'Início|Fim 1'!$N$2)</f>
        <v>0</v>
      </c>
      <c r="O356" s="2">
        <f t="shared" si="5"/>
        <v>0</v>
      </c>
    </row>
    <row r="357" spans="1:15" x14ac:dyDescent="0.25">
      <c r="A357" s="1">
        <v>45281</v>
      </c>
      <c r="B357" s="3">
        <f t="array" ref="B357">MIN(IF(A357=Timesheet!$A$13:$A$2615,Timesheet!$D$13:$D$2615))</f>
        <v>0</v>
      </c>
      <c r="C357" s="3">
        <f t="array" ref="C357">MAX(IF(A357=Timesheet!$A$13:$A$2615,Timesheet!$E$13:$E$2615))</f>
        <v>0</v>
      </c>
      <c r="E357" s="1">
        <v>45281</v>
      </c>
      <c r="F357" s="2">
        <f>SUMIFS(Timesheet!$F$13:$F$11483,Timesheet!$A$13:$A$11483,'Início|Fim 1'!E357,Timesheet!$C$13:$C$11483,'Início|Fim 1'!$F$2)</f>
        <v>0</v>
      </c>
      <c r="G357" s="2">
        <f>SUMIFS(Timesheet!$F$13:$F$11483,Timesheet!$A$13:$A$11483,'Início|Fim 1'!E357,Timesheet!$C$13:$C$11483,'Início|Fim 1'!$G$2)</f>
        <v>0</v>
      </c>
      <c r="H357" s="2">
        <f>SUMIFS(Timesheet!$F$13:$F$11483,Timesheet!$A$13:$A$11483,'Início|Fim 1'!E357,Timesheet!$C$13:$C$11483,'Início|Fim 1'!$H$2)</f>
        <v>0</v>
      </c>
      <c r="I357" s="2">
        <f>SUMIFS(Timesheet!$F$13:$F$11483,Timesheet!$A$13:$A$11483,'Início|Fim 1'!E357,Timesheet!$C$13:$C$11483,'Início|Fim 1'!$I$2)</f>
        <v>0</v>
      </c>
      <c r="J357" s="2">
        <f>SUMIFS(Timesheet!$F$13:$F$11483,Timesheet!$A$13:$A$11483,'Início|Fim 1'!E357,Timesheet!$C$13:$C$11483,'Início|Fim 1'!$J$2)</f>
        <v>0</v>
      </c>
      <c r="K357" s="2">
        <f>SUMIFS(Timesheet!$F$13:$F$11483,Timesheet!$A$13:$A$11483,'Início|Fim 1'!E357,Timesheet!$C$13:$C$11483,'Início|Fim 1'!$K$2)</f>
        <v>0</v>
      </c>
      <c r="L357" s="2">
        <f>SUMIFS(Timesheet!$F$13:$F$11483,Timesheet!$A$13:$A$11483,'Início|Fim 1'!E357,Timesheet!$C$13:$C$11483,'Início|Fim 1'!$L$2)</f>
        <v>0</v>
      </c>
      <c r="M357" s="2">
        <f>SUMIFS(Timesheet!$F$13:$F$11483,Timesheet!$A$13:$A$11483,'Início|Fim 1'!E357,Timesheet!$C$13:$C$11483,'Início|Fim 1'!$M$2)</f>
        <v>0</v>
      </c>
      <c r="N357" s="2">
        <f>SUMIFS(Timesheet!$F$13:$F$11483,Timesheet!$A$13:$A$11483,'Início|Fim 1'!E357,Timesheet!$C$13:$C$11483,'Início|Fim 1'!$N$2)</f>
        <v>0</v>
      </c>
      <c r="O357" s="2">
        <f t="shared" si="5"/>
        <v>0</v>
      </c>
    </row>
    <row r="358" spans="1:15" x14ac:dyDescent="0.25">
      <c r="A358" s="1">
        <v>45282</v>
      </c>
      <c r="B358" s="3">
        <f t="array" ref="B358">MIN(IF(A358=Timesheet!$A$13:$A$2615,Timesheet!$D$13:$D$2615))</f>
        <v>0</v>
      </c>
      <c r="C358" s="3">
        <f t="array" ref="C358">MAX(IF(A358=Timesheet!$A$13:$A$2615,Timesheet!$E$13:$E$2615))</f>
        <v>0</v>
      </c>
      <c r="E358" s="1">
        <v>45282</v>
      </c>
      <c r="F358" s="2">
        <f>SUMIFS(Timesheet!$F$13:$F$11483,Timesheet!$A$13:$A$11483,'Início|Fim 1'!E358,Timesheet!$C$13:$C$11483,'Início|Fim 1'!$F$2)</f>
        <v>0</v>
      </c>
      <c r="G358" s="2">
        <f>SUMIFS(Timesheet!$F$13:$F$11483,Timesheet!$A$13:$A$11483,'Início|Fim 1'!E358,Timesheet!$C$13:$C$11483,'Início|Fim 1'!$G$2)</f>
        <v>0</v>
      </c>
      <c r="H358" s="2">
        <f>SUMIFS(Timesheet!$F$13:$F$11483,Timesheet!$A$13:$A$11483,'Início|Fim 1'!E358,Timesheet!$C$13:$C$11483,'Início|Fim 1'!$H$2)</f>
        <v>0</v>
      </c>
      <c r="I358" s="2">
        <f>SUMIFS(Timesheet!$F$13:$F$11483,Timesheet!$A$13:$A$11483,'Início|Fim 1'!E358,Timesheet!$C$13:$C$11483,'Início|Fim 1'!$I$2)</f>
        <v>0</v>
      </c>
      <c r="J358" s="2">
        <f>SUMIFS(Timesheet!$F$13:$F$11483,Timesheet!$A$13:$A$11483,'Início|Fim 1'!E358,Timesheet!$C$13:$C$11483,'Início|Fim 1'!$J$2)</f>
        <v>0</v>
      </c>
      <c r="K358" s="2">
        <f>SUMIFS(Timesheet!$F$13:$F$11483,Timesheet!$A$13:$A$11483,'Início|Fim 1'!E358,Timesheet!$C$13:$C$11483,'Início|Fim 1'!$K$2)</f>
        <v>0</v>
      </c>
      <c r="L358" s="2">
        <f>SUMIFS(Timesheet!$F$13:$F$11483,Timesheet!$A$13:$A$11483,'Início|Fim 1'!E358,Timesheet!$C$13:$C$11483,'Início|Fim 1'!$L$2)</f>
        <v>0</v>
      </c>
      <c r="M358" s="2">
        <f>SUMIFS(Timesheet!$F$13:$F$11483,Timesheet!$A$13:$A$11483,'Início|Fim 1'!E358,Timesheet!$C$13:$C$11483,'Início|Fim 1'!$M$2)</f>
        <v>0</v>
      </c>
      <c r="N358" s="2">
        <f>SUMIFS(Timesheet!$F$13:$F$11483,Timesheet!$A$13:$A$11483,'Início|Fim 1'!E358,Timesheet!$C$13:$C$11483,'Início|Fim 1'!$N$2)</f>
        <v>0</v>
      </c>
      <c r="O358" s="2">
        <f t="shared" si="5"/>
        <v>0</v>
      </c>
    </row>
    <row r="359" spans="1:15" x14ac:dyDescent="0.25">
      <c r="A359" s="1">
        <v>45283</v>
      </c>
      <c r="B359" s="3">
        <f t="array" ref="B359">MIN(IF(A359=Timesheet!$A$13:$A$2615,Timesheet!$D$13:$D$2615))</f>
        <v>0</v>
      </c>
      <c r="C359" s="3">
        <f t="array" ref="C359">MAX(IF(A359=Timesheet!$A$13:$A$2615,Timesheet!$E$13:$E$2615))</f>
        <v>0</v>
      </c>
      <c r="E359" s="1">
        <v>45283</v>
      </c>
      <c r="F359" s="2">
        <f>SUMIFS(Timesheet!$F$13:$F$11483,Timesheet!$A$13:$A$11483,'Início|Fim 1'!E359,Timesheet!$C$13:$C$11483,'Início|Fim 1'!$F$2)</f>
        <v>0</v>
      </c>
      <c r="G359" s="2">
        <f>SUMIFS(Timesheet!$F$13:$F$11483,Timesheet!$A$13:$A$11483,'Início|Fim 1'!E359,Timesheet!$C$13:$C$11483,'Início|Fim 1'!$G$2)</f>
        <v>0</v>
      </c>
      <c r="H359" s="2">
        <f>SUMIFS(Timesheet!$F$13:$F$11483,Timesheet!$A$13:$A$11483,'Início|Fim 1'!E359,Timesheet!$C$13:$C$11483,'Início|Fim 1'!$H$2)</f>
        <v>0</v>
      </c>
      <c r="I359" s="2">
        <f>SUMIFS(Timesheet!$F$13:$F$11483,Timesheet!$A$13:$A$11483,'Início|Fim 1'!E359,Timesheet!$C$13:$C$11483,'Início|Fim 1'!$I$2)</f>
        <v>0</v>
      </c>
      <c r="J359" s="2">
        <f>SUMIFS(Timesheet!$F$13:$F$11483,Timesheet!$A$13:$A$11483,'Início|Fim 1'!E359,Timesheet!$C$13:$C$11483,'Início|Fim 1'!$J$2)</f>
        <v>0</v>
      </c>
      <c r="K359" s="2">
        <f>SUMIFS(Timesheet!$F$13:$F$11483,Timesheet!$A$13:$A$11483,'Início|Fim 1'!E359,Timesheet!$C$13:$C$11483,'Início|Fim 1'!$K$2)</f>
        <v>0</v>
      </c>
      <c r="L359" s="2">
        <f>SUMIFS(Timesheet!$F$13:$F$11483,Timesheet!$A$13:$A$11483,'Início|Fim 1'!E359,Timesheet!$C$13:$C$11483,'Início|Fim 1'!$L$2)</f>
        <v>0</v>
      </c>
      <c r="M359" s="2">
        <f>SUMIFS(Timesheet!$F$13:$F$11483,Timesheet!$A$13:$A$11483,'Início|Fim 1'!E359,Timesheet!$C$13:$C$11483,'Início|Fim 1'!$M$2)</f>
        <v>0</v>
      </c>
      <c r="N359" s="2">
        <f>SUMIFS(Timesheet!$F$13:$F$11483,Timesheet!$A$13:$A$11483,'Início|Fim 1'!E359,Timesheet!$C$13:$C$11483,'Início|Fim 1'!$N$2)</f>
        <v>0</v>
      </c>
      <c r="O359" s="2">
        <f t="shared" si="5"/>
        <v>0</v>
      </c>
    </row>
    <row r="360" spans="1:15" x14ac:dyDescent="0.25">
      <c r="A360" s="1">
        <v>45284</v>
      </c>
      <c r="B360" s="3">
        <f t="array" ref="B360">MIN(IF(A360=Timesheet!$A$13:$A$2615,Timesheet!$D$13:$D$2615))</f>
        <v>0</v>
      </c>
      <c r="C360" s="3">
        <f t="array" ref="C360">MAX(IF(A360=Timesheet!$A$13:$A$2615,Timesheet!$E$13:$E$2615))</f>
        <v>0</v>
      </c>
      <c r="E360" s="1">
        <v>45284</v>
      </c>
      <c r="F360" s="2">
        <f>SUMIFS(Timesheet!$F$13:$F$11483,Timesheet!$A$13:$A$11483,'Início|Fim 1'!E360,Timesheet!$C$13:$C$11483,'Início|Fim 1'!$F$2)</f>
        <v>0</v>
      </c>
      <c r="G360" s="2">
        <f>SUMIFS(Timesheet!$F$13:$F$11483,Timesheet!$A$13:$A$11483,'Início|Fim 1'!E360,Timesheet!$C$13:$C$11483,'Início|Fim 1'!$G$2)</f>
        <v>0</v>
      </c>
      <c r="H360" s="2">
        <f>SUMIFS(Timesheet!$F$13:$F$11483,Timesheet!$A$13:$A$11483,'Início|Fim 1'!E360,Timesheet!$C$13:$C$11483,'Início|Fim 1'!$H$2)</f>
        <v>0</v>
      </c>
      <c r="I360" s="2">
        <f>SUMIFS(Timesheet!$F$13:$F$11483,Timesheet!$A$13:$A$11483,'Início|Fim 1'!E360,Timesheet!$C$13:$C$11483,'Início|Fim 1'!$I$2)</f>
        <v>0</v>
      </c>
      <c r="J360" s="2">
        <f>SUMIFS(Timesheet!$F$13:$F$11483,Timesheet!$A$13:$A$11483,'Início|Fim 1'!E360,Timesheet!$C$13:$C$11483,'Início|Fim 1'!$J$2)</f>
        <v>0</v>
      </c>
      <c r="K360" s="2">
        <f>SUMIFS(Timesheet!$F$13:$F$11483,Timesheet!$A$13:$A$11483,'Início|Fim 1'!E360,Timesheet!$C$13:$C$11483,'Início|Fim 1'!$K$2)</f>
        <v>0</v>
      </c>
      <c r="L360" s="2">
        <f>SUMIFS(Timesheet!$F$13:$F$11483,Timesheet!$A$13:$A$11483,'Início|Fim 1'!E360,Timesheet!$C$13:$C$11483,'Início|Fim 1'!$L$2)</f>
        <v>0</v>
      </c>
      <c r="M360" s="2">
        <f>SUMIFS(Timesheet!$F$13:$F$11483,Timesheet!$A$13:$A$11483,'Início|Fim 1'!E360,Timesheet!$C$13:$C$11483,'Início|Fim 1'!$M$2)</f>
        <v>0</v>
      </c>
      <c r="N360" s="2">
        <f>SUMIFS(Timesheet!$F$13:$F$11483,Timesheet!$A$13:$A$11483,'Início|Fim 1'!E360,Timesheet!$C$13:$C$11483,'Início|Fim 1'!$N$2)</f>
        <v>0</v>
      </c>
      <c r="O360" s="2">
        <f t="shared" si="5"/>
        <v>0</v>
      </c>
    </row>
    <row r="361" spans="1:15" x14ac:dyDescent="0.25">
      <c r="A361" s="1">
        <v>45285</v>
      </c>
      <c r="B361" s="3">
        <f t="array" ref="B361">MIN(IF(A361=Timesheet!$A$13:$A$2615,Timesheet!$D$13:$D$2615))</f>
        <v>0</v>
      </c>
      <c r="C361" s="3">
        <f t="array" ref="C361">MAX(IF(A361=Timesheet!$A$13:$A$2615,Timesheet!$E$13:$E$2615))</f>
        <v>0</v>
      </c>
      <c r="E361" s="1">
        <v>45285</v>
      </c>
      <c r="F361" s="2">
        <f>SUMIFS(Timesheet!$F$13:$F$11483,Timesheet!$A$13:$A$11483,'Início|Fim 1'!E361,Timesheet!$C$13:$C$11483,'Início|Fim 1'!$F$2)</f>
        <v>0</v>
      </c>
      <c r="G361" s="2">
        <f>SUMIFS(Timesheet!$F$13:$F$11483,Timesheet!$A$13:$A$11483,'Início|Fim 1'!E361,Timesheet!$C$13:$C$11483,'Início|Fim 1'!$G$2)</f>
        <v>0</v>
      </c>
      <c r="H361" s="2">
        <f>SUMIFS(Timesheet!$F$13:$F$11483,Timesheet!$A$13:$A$11483,'Início|Fim 1'!E361,Timesheet!$C$13:$C$11483,'Início|Fim 1'!$H$2)</f>
        <v>0</v>
      </c>
      <c r="I361" s="2">
        <f>SUMIFS(Timesheet!$F$13:$F$11483,Timesheet!$A$13:$A$11483,'Início|Fim 1'!E361,Timesheet!$C$13:$C$11483,'Início|Fim 1'!$I$2)</f>
        <v>0</v>
      </c>
      <c r="J361" s="2">
        <f>SUMIFS(Timesheet!$F$13:$F$11483,Timesheet!$A$13:$A$11483,'Início|Fim 1'!E361,Timesheet!$C$13:$C$11483,'Início|Fim 1'!$J$2)</f>
        <v>0</v>
      </c>
      <c r="K361" s="2">
        <f>SUMIFS(Timesheet!$F$13:$F$11483,Timesheet!$A$13:$A$11483,'Início|Fim 1'!E361,Timesheet!$C$13:$C$11483,'Início|Fim 1'!$K$2)</f>
        <v>0</v>
      </c>
      <c r="L361" s="2">
        <f>SUMIFS(Timesheet!$F$13:$F$11483,Timesheet!$A$13:$A$11483,'Início|Fim 1'!E361,Timesheet!$C$13:$C$11483,'Início|Fim 1'!$L$2)</f>
        <v>0</v>
      </c>
      <c r="M361" s="2">
        <f>SUMIFS(Timesheet!$F$13:$F$11483,Timesheet!$A$13:$A$11483,'Início|Fim 1'!E361,Timesheet!$C$13:$C$11483,'Início|Fim 1'!$M$2)</f>
        <v>0</v>
      </c>
      <c r="N361" s="2">
        <f>SUMIFS(Timesheet!$F$13:$F$11483,Timesheet!$A$13:$A$11483,'Início|Fim 1'!E361,Timesheet!$C$13:$C$11483,'Início|Fim 1'!$N$2)</f>
        <v>0</v>
      </c>
      <c r="O361" s="2">
        <f t="shared" si="5"/>
        <v>0</v>
      </c>
    </row>
    <row r="362" spans="1:15" x14ac:dyDescent="0.25">
      <c r="A362" s="1">
        <v>45286</v>
      </c>
      <c r="B362" s="3">
        <f t="array" ref="B362">MIN(IF(A362=Timesheet!$A$13:$A$2615,Timesheet!$D$13:$D$2615))</f>
        <v>0</v>
      </c>
      <c r="C362" s="3">
        <f t="array" ref="C362">MAX(IF(A362=Timesheet!$A$13:$A$2615,Timesheet!$E$13:$E$2615))</f>
        <v>0</v>
      </c>
      <c r="E362" s="1">
        <v>45286</v>
      </c>
      <c r="F362" s="2">
        <f>SUMIFS(Timesheet!$F$13:$F$11483,Timesheet!$A$13:$A$11483,'Início|Fim 1'!E362,Timesheet!$C$13:$C$11483,'Início|Fim 1'!$F$2)</f>
        <v>0</v>
      </c>
      <c r="G362" s="2">
        <f>SUMIFS(Timesheet!$F$13:$F$11483,Timesheet!$A$13:$A$11483,'Início|Fim 1'!E362,Timesheet!$C$13:$C$11483,'Início|Fim 1'!$G$2)</f>
        <v>0</v>
      </c>
      <c r="H362" s="2">
        <f>SUMIFS(Timesheet!$F$13:$F$11483,Timesheet!$A$13:$A$11483,'Início|Fim 1'!E362,Timesheet!$C$13:$C$11483,'Início|Fim 1'!$H$2)</f>
        <v>0</v>
      </c>
      <c r="I362" s="2">
        <f>SUMIFS(Timesheet!$F$13:$F$11483,Timesheet!$A$13:$A$11483,'Início|Fim 1'!E362,Timesheet!$C$13:$C$11483,'Início|Fim 1'!$I$2)</f>
        <v>0</v>
      </c>
      <c r="J362" s="2">
        <f>SUMIFS(Timesheet!$F$13:$F$11483,Timesheet!$A$13:$A$11483,'Início|Fim 1'!E362,Timesheet!$C$13:$C$11483,'Início|Fim 1'!$J$2)</f>
        <v>0</v>
      </c>
      <c r="K362" s="2">
        <f>SUMIFS(Timesheet!$F$13:$F$11483,Timesheet!$A$13:$A$11483,'Início|Fim 1'!E362,Timesheet!$C$13:$C$11483,'Início|Fim 1'!$K$2)</f>
        <v>0</v>
      </c>
      <c r="L362" s="2">
        <f>SUMIFS(Timesheet!$F$13:$F$11483,Timesheet!$A$13:$A$11483,'Início|Fim 1'!E362,Timesheet!$C$13:$C$11483,'Início|Fim 1'!$L$2)</f>
        <v>0</v>
      </c>
      <c r="M362" s="2">
        <f>SUMIFS(Timesheet!$F$13:$F$11483,Timesheet!$A$13:$A$11483,'Início|Fim 1'!E362,Timesheet!$C$13:$C$11483,'Início|Fim 1'!$M$2)</f>
        <v>0</v>
      </c>
      <c r="N362" s="2">
        <f>SUMIFS(Timesheet!$F$13:$F$11483,Timesheet!$A$13:$A$11483,'Início|Fim 1'!E362,Timesheet!$C$13:$C$11483,'Início|Fim 1'!$N$2)</f>
        <v>0</v>
      </c>
      <c r="O362" s="2">
        <f t="shared" si="5"/>
        <v>0</v>
      </c>
    </row>
    <row r="363" spans="1:15" x14ac:dyDescent="0.25">
      <c r="A363" s="1">
        <v>45287</v>
      </c>
      <c r="B363" s="3">
        <f t="array" ref="B363">MIN(IF(A363=Timesheet!$A$13:$A$2615,Timesheet!$D$13:$D$2615))</f>
        <v>0</v>
      </c>
      <c r="C363" s="3">
        <f t="array" ref="C363">MAX(IF(A363=Timesheet!$A$13:$A$2615,Timesheet!$E$13:$E$2615))</f>
        <v>0</v>
      </c>
      <c r="E363" s="1">
        <v>45287</v>
      </c>
      <c r="F363" s="2">
        <f>SUMIFS(Timesheet!$F$13:$F$11483,Timesheet!$A$13:$A$11483,'Início|Fim 1'!E363,Timesheet!$C$13:$C$11483,'Início|Fim 1'!$F$2)</f>
        <v>0</v>
      </c>
      <c r="G363" s="2">
        <f>SUMIFS(Timesheet!$F$13:$F$11483,Timesheet!$A$13:$A$11483,'Início|Fim 1'!E363,Timesheet!$C$13:$C$11483,'Início|Fim 1'!$G$2)</f>
        <v>0</v>
      </c>
      <c r="H363" s="2">
        <f>SUMIFS(Timesheet!$F$13:$F$11483,Timesheet!$A$13:$A$11483,'Início|Fim 1'!E363,Timesheet!$C$13:$C$11483,'Início|Fim 1'!$H$2)</f>
        <v>0</v>
      </c>
      <c r="I363" s="2">
        <f>SUMIFS(Timesheet!$F$13:$F$11483,Timesheet!$A$13:$A$11483,'Início|Fim 1'!E363,Timesheet!$C$13:$C$11483,'Início|Fim 1'!$I$2)</f>
        <v>0</v>
      </c>
      <c r="J363" s="2">
        <f>SUMIFS(Timesheet!$F$13:$F$11483,Timesheet!$A$13:$A$11483,'Início|Fim 1'!E363,Timesheet!$C$13:$C$11483,'Início|Fim 1'!$J$2)</f>
        <v>0</v>
      </c>
      <c r="K363" s="2">
        <f>SUMIFS(Timesheet!$F$13:$F$11483,Timesheet!$A$13:$A$11483,'Início|Fim 1'!E363,Timesheet!$C$13:$C$11483,'Início|Fim 1'!$K$2)</f>
        <v>0</v>
      </c>
      <c r="L363" s="2">
        <f>SUMIFS(Timesheet!$F$13:$F$11483,Timesheet!$A$13:$A$11483,'Início|Fim 1'!E363,Timesheet!$C$13:$C$11483,'Início|Fim 1'!$L$2)</f>
        <v>0</v>
      </c>
      <c r="M363" s="2">
        <f>SUMIFS(Timesheet!$F$13:$F$11483,Timesheet!$A$13:$A$11483,'Início|Fim 1'!E363,Timesheet!$C$13:$C$11483,'Início|Fim 1'!$M$2)</f>
        <v>0</v>
      </c>
      <c r="N363" s="2">
        <f>SUMIFS(Timesheet!$F$13:$F$11483,Timesheet!$A$13:$A$11483,'Início|Fim 1'!E363,Timesheet!$C$13:$C$11483,'Início|Fim 1'!$N$2)</f>
        <v>0</v>
      </c>
      <c r="O363" s="2">
        <f t="shared" si="5"/>
        <v>0</v>
      </c>
    </row>
    <row r="364" spans="1:15" x14ac:dyDescent="0.25">
      <c r="A364" s="1">
        <v>45288</v>
      </c>
      <c r="B364" s="3">
        <f t="array" ref="B364">MIN(IF(A364=Timesheet!$A$13:$A$2615,Timesheet!$D$13:$D$2615))</f>
        <v>0</v>
      </c>
      <c r="C364" s="3">
        <f t="array" ref="C364">MAX(IF(A364=Timesheet!$A$13:$A$2615,Timesheet!$E$13:$E$2615))</f>
        <v>0</v>
      </c>
      <c r="E364" s="1">
        <v>45288</v>
      </c>
      <c r="F364" s="2">
        <f>SUMIFS(Timesheet!$F$13:$F$11483,Timesheet!$A$13:$A$11483,'Início|Fim 1'!E364,Timesheet!$C$13:$C$11483,'Início|Fim 1'!$F$2)</f>
        <v>0</v>
      </c>
      <c r="G364" s="2">
        <f>SUMIFS(Timesheet!$F$13:$F$11483,Timesheet!$A$13:$A$11483,'Início|Fim 1'!E364,Timesheet!$C$13:$C$11483,'Início|Fim 1'!$G$2)</f>
        <v>0</v>
      </c>
      <c r="H364" s="2">
        <f>SUMIFS(Timesheet!$F$13:$F$11483,Timesheet!$A$13:$A$11483,'Início|Fim 1'!E364,Timesheet!$C$13:$C$11483,'Início|Fim 1'!$H$2)</f>
        <v>0</v>
      </c>
      <c r="I364" s="2">
        <f>SUMIFS(Timesheet!$F$13:$F$11483,Timesheet!$A$13:$A$11483,'Início|Fim 1'!E364,Timesheet!$C$13:$C$11483,'Início|Fim 1'!$I$2)</f>
        <v>0</v>
      </c>
      <c r="J364" s="2">
        <f>SUMIFS(Timesheet!$F$13:$F$11483,Timesheet!$A$13:$A$11483,'Início|Fim 1'!E364,Timesheet!$C$13:$C$11483,'Início|Fim 1'!$J$2)</f>
        <v>0</v>
      </c>
      <c r="K364" s="2">
        <f>SUMIFS(Timesheet!$F$13:$F$11483,Timesheet!$A$13:$A$11483,'Início|Fim 1'!E364,Timesheet!$C$13:$C$11483,'Início|Fim 1'!$K$2)</f>
        <v>0</v>
      </c>
      <c r="L364" s="2">
        <f>SUMIFS(Timesheet!$F$13:$F$11483,Timesheet!$A$13:$A$11483,'Início|Fim 1'!E364,Timesheet!$C$13:$C$11483,'Início|Fim 1'!$L$2)</f>
        <v>0</v>
      </c>
      <c r="M364" s="2">
        <f>SUMIFS(Timesheet!$F$13:$F$11483,Timesheet!$A$13:$A$11483,'Início|Fim 1'!E364,Timesheet!$C$13:$C$11483,'Início|Fim 1'!$M$2)</f>
        <v>0</v>
      </c>
      <c r="N364" s="2">
        <f>SUMIFS(Timesheet!$F$13:$F$11483,Timesheet!$A$13:$A$11483,'Início|Fim 1'!E364,Timesheet!$C$13:$C$11483,'Início|Fim 1'!$N$2)</f>
        <v>0</v>
      </c>
      <c r="O364" s="2">
        <f t="shared" si="5"/>
        <v>0</v>
      </c>
    </row>
    <row r="365" spans="1:15" x14ac:dyDescent="0.25">
      <c r="A365" s="1">
        <v>45289</v>
      </c>
      <c r="B365" s="3">
        <f t="array" ref="B365">MIN(IF(A365=Timesheet!$A$13:$A$2615,Timesheet!$D$13:$D$2615))</f>
        <v>0</v>
      </c>
      <c r="C365" s="3">
        <f t="array" ref="C365">MAX(IF(A365=Timesheet!$A$13:$A$2615,Timesheet!$E$13:$E$2615))</f>
        <v>0</v>
      </c>
      <c r="E365" s="1">
        <v>45289</v>
      </c>
      <c r="F365" s="2">
        <f>SUMIFS(Timesheet!$F$13:$F$11483,Timesheet!$A$13:$A$11483,'Início|Fim 1'!E365,Timesheet!$C$13:$C$11483,'Início|Fim 1'!$F$2)</f>
        <v>0</v>
      </c>
      <c r="G365" s="2">
        <f>SUMIFS(Timesheet!$F$13:$F$11483,Timesheet!$A$13:$A$11483,'Início|Fim 1'!E365,Timesheet!$C$13:$C$11483,'Início|Fim 1'!$G$2)</f>
        <v>0</v>
      </c>
      <c r="H365" s="2">
        <f>SUMIFS(Timesheet!$F$13:$F$11483,Timesheet!$A$13:$A$11483,'Início|Fim 1'!E365,Timesheet!$C$13:$C$11483,'Início|Fim 1'!$H$2)</f>
        <v>0</v>
      </c>
      <c r="I365" s="2">
        <f>SUMIFS(Timesheet!$F$13:$F$11483,Timesheet!$A$13:$A$11483,'Início|Fim 1'!E365,Timesheet!$C$13:$C$11483,'Início|Fim 1'!$I$2)</f>
        <v>0</v>
      </c>
      <c r="J365" s="2">
        <f>SUMIFS(Timesheet!$F$13:$F$11483,Timesheet!$A$13:$A$11483,'Início|Fim 1'!E365,Timesheet!$C$13:$C$11483,'Início|Fim 1'!$J$2)</f>
        <v>0</v>
      </c>
      <c r="K365" s="2">
        <f>SUMIFS(Timesheet!$F$13:$F$11483,Timesheet!$A$13:$A$11483,'Início|Fim 1'!E365,Timesheet!$C$13:$C$11483,'Início|Fim 1'!$K$2)</f>
        <v>0</v>
      </c>
      <c r="L365" s="2">
        <f>SUMIFS(Timesheet!$F$13:$F$11483,Timesheet!$A$13:$A$11483,'Início|Fim 1'!E365,Timesheet!$C$13:$C$11483,'Início|Fim 1'!$L$2)</f>
        <v>0</v>
      </c>
      <c r="M365" s="2">
        <f>SUMIFS(Timesheet!$F$13:$F$11483,Timesheet!$A$13:$A$11483,'Início|Fim 1'!E365,Timesheet!$C$13:$C$11483,'Início|Fim 1'!$M$2)</f>
        <v>0</v>
      </c>
      <c r="N365" s="2">
        <f>SUMIFS(Timesheet!$F$13:$F$11483,Timesheet!$A$13:$A$11483,'Início|Fim 1'!E365,Timesheet!$C$13:$C$11483,'Início|Fim 1'!$N$2)</f>
        <v>0</v>
      </c>
      <c r="O365" s="2">
        <f t="shared" si="5"/>
        <v>0</v>
      </c>
    </row>
    <row r="366" spans="1:15" x14ac:dyDescent="0.25">
      <c r="A366" s="1">
        <v>45290</v>
      </c>
      <c r="B366" s="3">
        <f t="array" ref="B366">MIN(IF(A366=Timesheet!$A$13:$A$2615,Timesheet!$D$13:$D$2615))</f>
        <v>0</v>
      </c>
      <c r="C366" s="3">
        <f t="array" ref="C366">MAX(IF(A366=Timesheet!$A$13:$A$2615,Timesheet!$E$13:$E$2615))</f>
        <v>0</v>
      </c>
      <c r="E366" s="1">
        <v>45290</v>
      </c>
      <c r="F366" s="2">
        <f>SUMIFS(Timesheet!$F$13:$F$11483,Timesheet!$A$13:$A$11483,'Início|Fim 1'!E366,Timesheet!$C$13:$C$11483,'Início|Fim 1'!$F$2)</f>
        <v>0</v>
      </c>
      <c r="G366" s="2">
        <f>SUMIFS(Timesheet!$F$13:$F$11483,Timesheet!$A$13:$A$11483,'Início|Fim 1'!E366,Timesheet!$C$13:$C$11483,'Início|Fim 1'!$G$2)</f>
        <v>0</v>
      </c>
      <c r="H366" s="2">
        <f>SUMIFS(Timesheet!$F$13:$F$11483,Timesheet!$A$13:$A$11483,'Início|Fim 1'!E366,Timesheet!$C$13:$C$11483,'Início|Fim 1'!$H$2)</f>
        <v>0</v>
      </c>
      <c r="I366" s="2">
        <f>SUMIFS(Timesheet!$F$13:$F$11483,Timesheet!$A$13:$A$11483,'Início|Fim 1'!E366,Timesheet!$C$13:$C$11483,'Início|Fim 1'!$I$2)</f>
        <v>0</v>
      </c>
      <c r="J366" s="2">
        <f>SUMIFS(Timesheet!$F$13:$F$11483,Timesheet!$A$13:$A$11483,'Início|Fim 1'!E366,Timesheet!$C$13:$C$11483,'Início|Fim 1'!$J$2)</f>
        <v>0</v>
      </c>
      <c r="K366" s="2">
        <f>SUMIFS(Timesheet!$F$13:$F$11483,Timesheet!$A$13:$A$11483,'Início|Fim 1'!E366,Timesheet!$C$13:$C$11483,'Início|Fim 1'!$K$2)</f>
        <v>0</v>
      </c>
      <c r="L366" s="2">
        <f>SUMIFS(Timesheet!$F$13:$F$11483,Timesheet!$A$13:$A$11483,'Início|Fim 1'!E366,Timesheet!$C$13:$C$11483,'Início|Fim 1'!$L$2)</f>
        <v>0</v>
      </c>
      <c r="M366" s="2">
        <f>SUMIFS(Timesheet!$F$13:$F$11483,Timesheet!$A$13:$A$11483,'Início|Fim 1'!E366,Timesheet!$C$13:$C$11483,'Início|Fim 1'!$M$2)</f>
        <v>0</v>
      </c>
      <c r="N366" s="2">
        <f>SUMIFS(Timesheet!$F$13:$F$11483,Timesheet!$A$13:$A$11483,'Início|Fim 1'!E366,Timesheet!$C$13:$C$11483,'Início|Fim 1'!$N$2)</f>
        <v>0</v>
      </c>
      <c r="O366" s="2">
        <f t="shared" si="5"/>
        <v>0</v>
      </c>
    </row>
    <row r="367" spans="1:15" x14ac:dyDescent="0.25">
      <c r="A367" s="1">
        <v>45291</v>
      </c>
      <c r="B367" s="3">
        <f t="array" ref="B367">MIN(IF(A367=Timesheet!$A$13:$A$2615,Timesheet!$D$13:$D$2615))</f>
        <v>0</v>
      </c>
      <c r="C367" s="3">
        <f t="array" ref="C367">MAX(IF(A367=Timesheet!$A$13:$A$2615,Timesheet!$E$13:$E$2615))</f>
        <v>0</v>
      </c>
      <c r="E367" s="1">
        <v>45291</v>
      </c>
      <c r="F367" s="2">
        <f>SUMIFS(Timesheet!$F$13:$F$11483,Timesheet!$A$13:$A$11483,'Início|Fim 1'!E367,Timesheet!$C$13:$C$11483,'Início|Fim 1'!$F$2)</f>
        <v>0</v>
      </c>
      <c r="G367" s="2">
        <f>SUMIFS(Timesheet!$F$13:$F$11483,Timesheet!$A$13:$A$11483,'Início|Fim 1'!E367,Timesheet!$C$13:$C$11483,'Início|Fim 1'!$G$2)</f>
        <v>0</v>
      </c>
      <c r="H367" s="2">
        <f>SUMIFS(Timesheet!$F$13:$F$11483,Timesheet!$A$13:$A$11483,'Início|Fim 1'!E367,Timesheet!$C$13:$C$11483,'Início|Fim 1'!$H$2)</f>
        <v>0</v>
      </c>
      <c r="I367" s="2">
        <f>SUMIFS(Timesheet!$F$13:$F$11483,Timesheet!$A$13:$A$11483,'Início|Fim 1'!E367,Timesheet!$C$13:$C$11483,'Início|Fim 1'!$I$2)</f>
        <v>0</v>
      </c>
      <c r="J367" s="2">
        <f>SUMIFS(Timesheet!$F$13:$F$11483,Timesheet!$A$13:$A$11483,'Início|Fim 1'!E367,Timesheet!$C$13:$C$11483,'Início|Fim 1'!$J$2)</f>
        <v>0</v>
      </c>
      <c r="K367" s="2">
        <f>SUMIFS(Timesheet!$F$13:$F$11483,Timesheet!$A$13:$A$11483,'Início|Fim 1'!E367,Timesheet!$C$13:$C$11483,'Início|Fim 1'!$K$2)</f>
        <v>0</v>
      </c>
      <c r="L367" s="2">
        <f>SUMIFS(Timesheet!$F$13:$F$11483,Timesheet!$A$13:$A$11483,'Início|Fim 1'!E367,Timesheet!$C$13:$C$11483,'Início|Fim 1'!$L$2)</f>
        <v>0</v>
      </c>
      <c r="M367" s="2">
        <f>SUMIFS(Timesheet!$F$13:$F$11483,Timesheet!$A$13:$A$11483,'Início|Fim 1'!E367,Timesheet!$C$13:$C$11483,'Início|Fim 1'!$M$2)</f>
        <v>0</v>
      </c>
      <c r="N367" s="2">
        <f>SUMIFS(Timesheet!$F$13:$F$11483,Timesheet!$A$13:$A$11483,'Início|Fim 1'!E367,Timesheet!$C$13:$C$11483,'Início|Fim 1'!$N$2)</f>
        <v>0</v>
      </c>
      <c r="O367" s="2">
        <f t="shared" si="5"/>
        <v>0</v>
      </c>
    </row>
    <row r="368" spans="1:15" x14ac:dyDescent="0.25">
      <c r="A368" s="1">
        <v>44927</v>
      </c>
      <c r="B368" s="3">
        <f t="array" ref="B368">MIN(IF(A368=Timesheet!$A$13:$A$2615,Timesheet!$D$13:$D$2615))</f>
        <v>0</v>
      </c>
      <c r="C368" s="3">
        <f t="array" ref="C368">MAX(IF(A368=Timesheet!$A$13:$A$2615,Timesheet!$E$13:$E$2615))</f>
        <v>0</v>
      </c>
      <c r="E368" s="1">
        <v>44927</v>
      </c>
      <c r="F368" s="2">
        <f>SUMIFS(Timesheet!$F$13:$F$11483,Timesheet!$A$13:$A$11483,'Início|Fim 1'!E368,Timesheet!$C$13:$C$11483,'Início|Fim 1'!$F$2)</f>
        <v>0</v>
      </c>
      <c r="G368" s="2">
        <f>SUMIFS(Timesheet!$F$13:$F$11483,Timesheet!$A$13:$A$11483,'Início|Fim 1'!E368,Timesheet!$C$13:$C$11483,'Início|Fim 1'!$G$2)</f>
        <v>0</v>
      </c>
      <c r="H368" s="2">
        <f>SUMIFS(Timesheet!$F$13:$F$11483,Timesheet!$A$13:$A$11483,'Início|Fim 1'!E368,Timesheet!$C$13:$C$11483,'Início|Fim 1'!$H$2)</f>
        <v>0</v>
      </c>
      <c r="I368" s="2">
        <f>SUMIFS(Timesheet!$F$13:$F$11483,Timesheet!$A$13:$A$11483,'Início|Fim 1'!E368,Timesheet!$C$13:$C$11483,'Início|Fim 1'!$I$2)</f>
        <v>0</v>
      </c>
      <c r="J368" s="2">
        <f>SUMIFS(Timesheet!$F$13:$F$11483,Timesheet!$A$13:$A$11483,'Início|Fim 1'!E368,Timesheet!$C$13:$C$11483,'Início|Fim 1'!$J$2)</f>
        <v>0</v>
      </c>
      <c r="K368" s="2">
        <f>SUMIFS(Timesheet!$F$13:$F$11483,Timesheet!$A$13:$A$11483,'Início|Fim 1'!E368,Timesheet!$C$13:$C$11483,'Início|Fim 1'!$K$2)</f>
        <v>0</v>
      </c>
      <c r="L368" s="2">
        <f>SUMIFS(Timesheet!$F$13:$F$11483,Timesheet!$A$13:$A$11483,'Início|Fim 1'!E368,Timesheet!$C$13:$C$11483,'Início|Fim 1'!$L$2)</f>
        <v>0</v>
      </c>
      <c r="M368" s="2">
        <f>SUMIFS(Timesheet!$F$13:$F$11483,Timesheet!$A$13:$A$11483,'Início|Fim 1'!E368,Timesheet!$C$13:$C$11483,'Início|Fim 1'!$M$2)</f>
        <v>0</v>
      </c>
      <c r="N368" s="2">
        <f>SUMIFS(Timesheet!$F$13:$F$11483,Timesheet!$A$13:$A$11483,'Início|Fim 1'!E368,Timesheet!$C$13:$C$11483,'Início|Fim 1'!$N$2)</f>
        <v>0</v>
      </c>
      <c r="O368" s="2">
        <f t="shared" si="5"/>
        <v>0</v>
      </c>
    </row>
    <row r="369" spans="1:15" x14ac:dyDescent="0.25">
      <c r="A369" s="1">
        <v>44928</v>
      </c>
      <c r="B369" s="3">
        <f t="array" ref="B369">MIN(IF(A369=Timesheet!$A$13:$A$2615,Timesheet!$D$13:$D$2615))</f>
        <v>0</v>
      </c>
      <c r="C369" s="3">
        <f t="array" ref="C369">MAX(IF(A369=Timesheet!$A$13:$A$2615,Timesheet!$E$13:$E$2615))</f>
        <v>0</v>
      </c>
      <c r="E369" s="1">
        <v>44928</v>
      </c>
      <c r="F369" s="2">
        <f>SUMIFS(Timesheet!$F$13:$F$11483,Timesheet!$A$13:$A$11483,'Início|Fim 1'!E369,Timesheet!$C$13:$C$11483,'Início|Fim 1'!$F$2)</f>
        <v>0</v>
      </c>
      <c r="G369" s="2">
        <f>SUMIFS(Timesheet!$F$13:$F$11483,Timesheet!$A$13:$A$11483,'Início|Fim 1'!E369,Timesheet!$C$13:$C$11483,'Início|Fim 1'!$G$2)</f>
        <v>0</v>
      </c>
      <c r="H369" s="2">
        <f>SUMIFS(Timesheet!$F$13:$F$11483,Timesheet!$A$13:$A$11483,'Início|Fim 1'!E369,Timesheet!$C$13:$C$11483,'Início|Fim 1'!$H$2)</f>
        <v>0</v>
      </c>
      <c r="I369" s="2">
        <f>SUMIFS(Timesheet!$F$13:$F$11483,Timesheet!$A$13:$A$11483,'Início|Fim 1'!E369,Timesheet!$C$13:$C$11483,'Início|Fim 1'!$I$2)</f>
        <v>0</v>
      </c>
      <c r="J369" s="2">
        <f>SUMIFS(Timesheet!$F$13:$F$11483,Timesheet!$A$13:$A$11483,'Início|Fim 1'!E369,Timesheet!$C$13:$C$11483,'Início|Fim 1'!$J$2)</f>
        <v>0</v>
      </c>
      <c r="K369" s="2">
        <f>SUMIFS(Timesheet!$F$13:$F$11483,Timesheet!$A$13:$A$11483,'Início|Fim 1'!E369,Timesheet!$C$13:$C$11483,'Início|Fim 1'!$K$2)</f>
        <v>0</v>
      </c>
      <c r="L369" s="2">
        <f>SUMIFS(Timesheet!$F$13:$F$11483,Timesheet!$A$13:$A$11483,'Início|Fim 1'!E369,Timesheet!$C$13:$C$11483,'Início|Fim 1'!$L$2)</f>
        <v>0</v>
      </c>
      <c r="M369" s="2">
        <f>SUMIFS(Timesheet!$F$13:$F$11483,Timesheet!$A$13:$A$11483,'Início|Fim 1'!E369,Timesheet!$C$13:$C$11483,'Início|Fim 1'!$M$2)</f>
        <v>0</v>
      </c>
      <c r="N369" s="2">
        <f>SUMIFS(Timesheet!$F$13:$F$11483,Timesheet!$A$13:$A$11483,'Início|Fim 1'!E369,Timesheet!$C$13:$C$11483,'Início|Fim 1'!$N$2)</f>
        <v>0</v>
      </c>
      <c r="O369" s="2">
        <f t="shared" si="5"/>
        <v>0</v>
      </c>
    </row>
    <row r="370" spans="1:15" x14ac:dyDescent="0.25">
      <c r="E370" s="4" t="s">
        <v>12</v>
      </c>
      <c r="F370" s="5">
        <f>SUM(F3:F369)</f>
        <v>0.19791666666666663</v>
      </c>
      <c r="G370" s="5">
        <f t="shared" ref="G370:O370" si="6">SUM(G3:G369)</f>
        <v>0.31875000000000003</v>
      </c>
      <c r="H370" s="5">
        <f t="shared" si="6"/>
        <v>0</v>
      </c>
      <c r="I370" s="5">
        <f t="shared" si="6"/>
        <v>0</v>
      </c>
      <c r="J370" s="5">
        <f t="shared" si="6"/>
        <v>0</v>
      </c>
      <c r="K370" s="5">
        <f t="shared" si="6"/>
        <v>0</v>
      </c>
      <c r="L370" s="5">
        <f t="shared" si="6"/>
        <v>0.22916666666666657</v>
      </c>
      <c r="M370" s="5">
        <f t="shared" si="6"/>
        <v>0.50000000000000011</v>
      </c>
      <c r="N370" s="5">
        <f t="shared" si="6"/>
        <v>0</v>
      </c>
      <c r="O370" s="5">
        <f t="shared" si="6"/>
        <v>0.51666666666666661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Y124"/>
  <sheetViews>
    <sheetView showGridLines="0" tabSelected="1" topLeftCell="A22" zoomScale="60" zoomScaleNormal="60" zoomScaleSheetLayoutView="70" workbookViewId="0">
      <selection activeCell="G52" sqref="G52"/>
    </sheetView>
  </sheetViews>
  <sheetFormatPr defaultColWidth="9.140625" defaultRowHeight="14.25" x14ac:dyDescent="0.2"/>
  <cols>
    <col min="1" max="1" width="27.140625" style="10" customWidth="1"/>
    <col min="2" max="4" width="15" style="10" customWidth="1"/>
    <col min="5" max="13" width="12.7109375" style="10" customWidth="1"/>
    <col min="14" max="14" width="13.7109375" style="10" customWidth="1"/>
    <col min="15" max="23" width="12.7109375" style="10" customWidth="1"/>
    <col min="24" max="24" width="12.85546875" style="10" customWidth="1"/>
    <col min="25" max="25" width="14.140625" style="10" customWidth="1"/>
    <col min="26" max="16384" width="9.140625" style="10"/>
  </cols>
  <sheetData>
    <row r="2" spans="1:25" x14ac:dyDescent="0.2">
      <c r="A2" s="124" t="s">
        <v>46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</row>
    <row r="3" spans="1:25" x14ac:dyDescent="0.2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</row>
    <row r="4" spans="1:25" x14ac:dyDescent="0.2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</row>
    <row r="5" spans="1:25" x14ac:dyDescent="0.2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</row>
    <row r="6" spans="1:25" ht="6.75" customHeight="1" x14ac:dyDescent="0.2"/>
    <row r="7" spans="1:25" ht="15" x14ac:dyDescent="0.25">
      <c r="A7" s="11" t="s">
        <v>64</v>
      </c>
      <c r="B7" s="11"/>
      <c r="C7" s="11"/>
      <c r="D7" s="11"/>
      <c r="E7" s="11"/>
      <c r="F7" s="11" t="s">
        <v>63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 t="s">
        <v>47</v>
      </c>
      <c r="X7" s="11"/>
      <c r="Y7" s="12">
        <f ca="1">TODAY()-1</f>
        <v>45033</v>
      </c>
    </row>
    <row r="8" spans="1:25" ht="15" x14ac:dyDescent="0.2">
      <c r="A8" s="13" t="s">
        <v>0</v>
      </c>
      <c r="B8" s="130"/>
      <c r="C8" s="131"/>
      <c r="D8" s="132"/>
      <c r="F8" s="134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6"/>
    </row>
    <row r="9" spans="1:25" ht="18" customHeight="1" x14ac:dyDescent="0.2">
      <c r="A9" s="13" t="s">
        <v>1</v>
      </c>
      <c r="B9" s="130"/>
      <c r="C9" s="131"/>
      <c r="D9" s="132"/>
      <c r="F9" s="137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9"/>
    </row>
    <row r="10" spans="1:25" ht="18" customHeight="1" x14ac:dyDescent="0.2">
      <c r="A10" s="13" t="s">
        <v>2</v>
      </c>
      <c r="B10" s="132"/>
      <c r="C10" s="133"/>
      <c r="D10" s="133"/>
      <c r="F10" s="137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9"/>
    </row>
    <row r="11" spans="1:25" ht="18" customHeight="1" x14ac:dyDescent="0.2">
      <c r="A11" s="14"/>
      <c r="B11" s="15"/>
      <c r="C11" s="15"/>
      <c r="D11" s="15"/>
      <c r="F11" s="137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9"/>
    </row>
    <row r="12" spans="1:25" ht="18" customHeight="1" x14ac:dyDescent="0.2">
      <c r="A12" s="14"/>
      <c r="B12" s="16"/>
      <c r="C12" s="16"/>
      <c r="D12" s="16"/>
      <c r="F12" s="137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9"/>
    </row>
    <row r="13" spans="1:25" ht="18" customHeight="1" x14ac:dyDescent="0.2">
      <c r="F13" s="137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9"/>
    </row>
    <row r="14" spans="1:25" ht="18" customHeight="1" thickBot="1" x14ac:dyDescent="0.25">
      <c r="F14" s="137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9"/>
    </row>
    <row r="15" spans="1:25" ht="15" x14ac:dyDescent="0.2">
      <c r="C15" s="17" t="s">
        <v>39</v>
      </c>
      <c r="D15" s="17" t="s">
        <v>38</v>
      </c>
      <c r="F15" s="137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9"/>
    </row>
    <row r="16" spans="1:25" ht="18" customHeight="1" x14ac:dyDescent="0.2">
      <c r="A16" s="110" t="s">
        <v>3</v>
      </c>
      <c r="B16" s="111"/>
      <c r="C16" s="18" t="s">
        <v>40</v>
      </c>
      <c r="D16" s="18">
        <f>'Início|Fim 1'!O370</f>
        <v>0.51666666666666661</v>
      </c>
      <c r="F16" s="140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2"/>
    </row>
    <row r="17" spans="1:25" ht="18" customHeight="1" x14ac:dyDescent="0.2">
      <c r="A17" s="110" t="s">
        <v>53</v>
      </c>
      <c r="B17" s="111"/>
      <c r="C17" s="18">
        <v>0.33333333333333331</v>
      </c>
      <c r="D17" s="18">
        <f>AVERAGEIF('Início|Fim 1'!O3:O369, "&gt;0")</f>
        <v>0.12916666666666665</v>
      </c>
      <c r="F17" s="19"/>
    </row>
    <row r="18" spans="1:25" ht="18" customHeight="1" thickBot="1" x14ac:dyDescent="0.25">
      <c r="A18" s="110" t="s">
        <v>54</v>
      </c>
      <c r="B18" s="111"/>
      <c r="C18" s="18">
        <v>1.6666666666666667</v>
      </c>
      <c r="D18" s="18">
        <f>AVERAGEIF('Mês 1'!T111:T162, "&gt;0")</f>
        <v>0.44270833333333337</v>
      </c>
      <c r="K18" s="20"/>
      <c r="M18" s="127" t="s">
        <v>62</v>
      </c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9"/>
    </row>
    <row r="19" spans="1:25" ht="18" customHeight="1" x14ac:dyDescent="0.2">
      <c r="A19" s="110" t="s">
        <v>55</v>
      </c>
      <c r="B19" s="111"/>
      <c r="C19" s="18">
        <v>0.32291666666666669</v>
      </c>
      <c r="D19" s="18">
        <f>AVERAGEIF('Início|Fim 1'!B3:B369, "&gt;0")</f>
        <v>0.43379629629629629</v>
      </c>
      <c r="K19" s="20"/>
      <c r="L19" s="21"/>
      <c r="M19" s="108" t="s">
        <v>48</v>
      </c>
      <c r="N19" s="114" t="s">
        <v>25</v>
      </c>
      <c r="O19" s="114" t="s">
        <v>41</v>
      </c>
    </row>
    <row r="20" spans="1:25" ht="18" customHeight="1" thickBot="1" x14ac:dyDescent="0.25">
      <c r="A20" s="110" t="s">
        <v>56</v>
      </c>
      <c r="B20" s="111"/>
      <c r="C20" s="18">
        <v>0.69791666666666663</v>
      </c>
      <c r="D20" s="18">
        <f>AVERAGEIF('Início|Fim 1'!C3:C369, "&gt;0")</f>
        <v>0.65150462962962974</v>
      </c>
      <c r="K20" s="20"/>
      <c r="L20" s="21"/>
      <c r="M20" s="109"/>
      <c r="N20" s="126"/>
      <c r="O20" s="126"/>
    </row>
    <row r="21" spans="1:25" ht="18" customHeight="1" x14ac:dyDescent="0.2">
      <c r="K21" s="20"/>
      <c r="L21" s="21"/>
      <c r="M21" s="22" t="s">
        <v>37</v>
      </c>
      <c r="N21" s="23">
        <f>'Mês 1'!K35</f>
        <v>0</v>
      </c>
      <c r="O21" s="24">
        <f t="shared" ref="O21:O32" si="0">N21/$N$33</f>
        <v>0</v>
      </c>
    </row>
    <row r="22" spans="1:25" ht="18" customHeight="1" x14ac:dyDescent="0.2">
      <c r="K22" s="20"/>
      <c r="L22" s="21"/>
      <c r="M22" s="22" t="s">
        <v>36</v>
      </c>
      <c r="N22" s="23">
        <f>'Mês 1'!Y32</f>
        <v>0</v>
      </c>
      <c r="O22" s="24">
        <f t="shared" si="0"/>
        <v>0</v>
      </c>
    </row>
    <row r="23" spans="1:25" ht="18" customHeight="1" x14ac:dyDescent="0.2">
      <c r="A23" s="115" t="s">
        <v>45</v>
      </c>
      <c r="B23" s="117" t="s">
        <v>43</v>
      </c>
      <c r="C23" s="117"/>
      <c r="D23" s="117"/>
      <c r="K23" s="20"/>
      <c r="L23" s="21"/>
      <c r="M23" s="22" t="s">
        <v>35</v>
      </c>
      <c r="N23" s="23">
        <f>'Mês 1'!K72</f>
        <v>0</v>
      </c>
      <c r="O23" s="24">
        <f t="shared" si="0"/>
        <v>0</v>
      </c>
    </row>
    <row r="24" spans="1:25" ht="18" customHeight="1" thickBot="1" x14ac:dyDescent="0.25">
      <c r="A24" s="115"/>
      <c r="B24" s="118"/>
      <c r="C24" s="118"/>
      <c r="D24" s="118"/>
      <c r="K24" s="20"/>
      <c r="L24" s="21"/>
      <c r="M24" s="25" t="s">
        <v>34</v>
      </c>
      <c r="N24" s="18">
        <f>'Mês 1'!K106</f>
        <v>1.2458333333333333</v>
      </c>
      <c r="O24" s="26">
        <f t="shared" si="0"/>
        <v>1</v>
      </c>
    </row>
    <row r="25" spans="1:25" ht="18" customHeight="1" thickBot="1" x14ac:dyDescent="0.25">
      <c r="A25" s="116"/>
      <c r="B25" s="112" t="s">
        <v>24</v>
      </c>
      <c r="C25" s="114" t="s">
        <v>41</v>
      </c>
      <c r="D25" s="114" t="s">
        <v>42</v>
      </c>
      <c r="K25" s="20"/>
      <c r="L25" s="21"/>
      <c r="M25" s="25" t="s">
        <v>33</v>
      </c>
      <c r="N25" s="18">
        <f>'Mês 1'!Y72</f>
        <v>0</v>
      </c>
      <c r="O25" s="26">
        <f t="shared" si="0"/>
        <v>0</v>
      </c>
    </row>
    <row r="26" spans="1:25" ht="18" customHeight="1" x14ac:dyDescent="0.2">
      <c r="A26" s="27" t="s">
        <v>4</v>
      </c>
      <c r="B26" s="113"/>
      <c r="C26" s="113"/>
      <c r="D26" s="113"/>
      <c r="E26" s="28"/>
      <c r="G26" s="29"/>
      <c r="I26" s="29"/>
      <c r="K26" s="30"/>
      <c r="L26" s="21"/>
      <c r="M26" s="25" t="s">
        <v>32</v>
      </c>
      <c r="N26" s="18">
        <f>'Mês 1'!Y106</f>
        <v>0</v>
      </c>
      <c r="O26" s="26">
        <f t="shared" si="0"/>
        <v>0</v>
      </c>
      <c r="W26" s="29"/>
      <c r="Y26" s="29"/>
    </row>
    <row r="27" spans="1:25" ht="18" customHeight="1" x14ac:dyDescent="0.2">
      <c r="A27" s="25" t="s">
        <v>6</v>
      </c>
      <c r="B27" s="18">
        <f>'Início|Fim 1'!F370</f>
        <v>0.19791666666666663</v>
      </c>
      <c r="C27" s="31">
        <f t="shared" ref="C27:C36" si="1">B27/$B$36</f>
        <v>0.15886287625418061</v>
      </c>
      <c r="D27" s="32">
        <f>AVERAGEIF('Início|Fim 1'!F3:F369, "&gt;0")</f>
        <v>9.8958333333333315E-2</v>
      </c>
      <c r="K27" s="20"/>
      <c r="L27" s="21"/>
      <c r="M27" s="25" t="s">
        <v>31</v>
      </c>
      <c r="N27" s="18">
        <f>'Mês 1'!AM72</f>
        <v>0</v>
      </c>
      <c r="O27" s="26">
        <f t="shared" si="0"/>
        <v>0</v>
      </c>
    </row>
    <row r="28" spans="1:25" ht="18" customHeight="1" x14ac:dyDescent="0.2">
      <c r="A28" s="25" t="s">
        <v>7</v>
      </c>
      <c r="B28" s="18">
        <f>'Início|Fim 1'!K370</f>
        <v>0</v>
      </c>
      <c r="C28" s="31">
        <f t="shared" si="1"/>
        <v>0</v>
      </c>
      <c r="D28" s="32" t="e">
        <f>AVERAGEIF('Início|Fim 1'!K3:K369, "&gt;0")</f>
        <v>#DIV/0!</v>
      </c>
      <c r="K28" s="20"/>
      <c r="L28" s="21"/>
      <c r="M28" s="25" t="s">
        <v>30</v>
      </c>
      <c r="N28" s="18">
        <f>'Mês 1'!AM107</f>
        <v>0</v>
      </c>
      <c r="O28" s="26">
        <f t="shared" si="0"/>
        <v>0</v>
      </c>
    </row>
    <row r="29" spans="1:25" ht="18" customHeight="1" x14ac:dyDescent="0.2">
      <c r="A29" s="25" t="s">
        <v>8</v>
      </c>
      <c r="B29" s="18">
        <f>'Início|Fim 1'!G370</f>
        <v>0.31875000000000003</v>
      </c>
      <c r="C29" s="31">
        <f t="shared" si="1"/>
        <v>0.2558528428093646</v>
      </c>
      <c r="D29" s="32">
        <f>AVERAGEIF('Início|Fim 1'!G3:G369, "&gt;0")</f>
        <v>0.15937500000000002</v>
      </c>
      <c r="K29" s="20"/>
      <c r="L29" s="21"/>
      <c r="M29" s="25" t="s">
        <v>29</v>
      </c>
      <c r="N29" s="18">
        <f>'Mês 1'!BA71</f>
        <v>0</v>
      </c>
      <c r="O29" s="26">
        <f t="shared" si="0"/>
        <v>0</v>
      </c>
    </row>
    <row r="30" spans="1:25" ht="18" customHeight="1" x14ac:dyDescent="0.2">
      <c r="A30" s="25" t="s">
        <v>9</v>
      </c>
      <c r="B30" s="18">
        <f>'Início|Fim 1'!J370</f>
        <v>0</v>
      </c>
      <c r="C30" s="31">
        <f t="shared" si="1"/>
        <v>0</v>
      </c>
      <c r="D30" s="32" t="e">
        <f>AVERAGEIF('Início|Fim 1'!J3:J369, "&gt;0")</f>
        <v>#DIV/0!</v>
      </c>
      <c r="K30" s="20"/>
      <c r="L30" s="21"/>
      <c r="M30" s="25" t="s">
        <v>28</v>
      </c>
      <c r="N30" s="18">
        <f>'Mês 1'!BA107</f>
        <v>0</v>
      </c>
      <c r="O30" s="26">
        <f t="shared" si="0"/>
        <v>0</v>
      </c>
    </row>
    <row r="31" spans="1:25" ht="18" customHeight="1" x14ac:dyDescent="0.2">
      <c r="A31" s="25" t="s">
        <v>10</v>
      </c>
      <c r="B31" s="18">
        <f>'Início|Fim 1'!H370</f>
        <v>0</v>
      </c>
      <c r="C31" s="31">
        <f t="shared" si="1"/>
        <v>0</v>
      </c>
      <c r="D31" s="32" t="e">
        <f>AVERAGEIF('Início|Fim 1'!H3:H369, "&gt;0")</f>
        <v>#DIV/0!</v>
      </c>
      <c r="K31" s="20"/>
      <c r="L31" s="21"/>
      <c r="M31" s="25" t="s">
        <v>27</v>
      </c>
      <c r="N31" s="18">
        <f>'Mês 1'!BO71</f>
        <v>0</v>
      </c>
      <c r="O31" s="26">
        <f t="shared" si="0"/>
        <v>0</v>
      </c>
    </row>
    <row r="32" spans="1:25" ht="18" customHeight="1" x14ac:dyDescent="0.2">
      <c r="A32" s="25" t="s">
        <v>11</v>
      </c>
      <c r="B32" s="18">
        <f>'Início|Fim 1'!I370</f>
        <v>0</v>
      </c>
      <c r="C32" s="31">
        <f t="shared" si="1"/>
        <v>0</v>
      </c>
      <c r="D32" s="32" t="e">
        <f>AVERAGEIF('Início|Fim 1'!I3:I369, "&gt;0")</f>
        <v>#DIV/0!</v>
      </c>
      <c r="K32" s="20"/>
      <c r="L32" s="21"/>
      <c r="M32" s="25" t="s">
        <v>26</v>
      </c>
      <c r="N32" s="18">
        <f>'Mês 1'!BO107</f>
        <v>0</v>
      </c>
      <c r="O32" s="26">
        <f t="shared" si="0"/>
        <v>0</v>
      </c>
    </row>
    <row r="33" spans="1:25" ht="18" customHeight="1" x14ac:dyDescent="0.2">
      <c r="A33" s="25" t="s">
        <v>76</v>
      </c>
      <c r="B33" s="18">
        <f>'Início|Fim 1'!L370</f>
        <v>0.22916666666666657</v>
      </c>
      <c r="C33" s="44">
        <f t="shared" si="1"/>
        <v>0.18394648829431434</v>
      </c>
      <c r="D33" s="32">
        <f>AVERAGEIF('Início|Fim 1'!L3:L369, "&gt;0")</f>
        <v>5.7291666666666644E-2</v>
      </c>
      <c r="K33" s="20"/>
      <c r="L33" s="21"/>
      <c r="M33" s="33" t="s">
        <v>12</v>
      </c>
      <c r="N33" s="34">
        <f>+SUM(N21:N32)</f>
        <v>1.2458333333333333</v>
      </c>
      <c r="O33" s="38">
        <f>SUM(O21:O32)</f>
        <v>1</v>
      </c>
    </row>
    <row r="34" spans="1:25" ht="18" customHeight="1" x14ac:dyDescent="0.2">
      <c r="A34" s="25" t="s">
        <v>77</v>
      </c>
      <c r="B34" s="18">
        <f>'Início|Fim 1'!M370</f>
        <v>0.50000000000000011</v>
      </c>
      <c r="C34" s="44">
        <f t="shared" si="1"/>
        <v>0.40133779264214064</v>
      </c>
      <c r="D34" s="32">
        <f>AVERAGEIF('Início|Fim 1'!M3:M369, "&gt;0")</f>
        <v>0.16666666666666671</v>
      </c>
      <c r="K34" s="20"/>
      <c r="L34" s="21"/>
    </row>
    <row r="35" spans="1:25" ht="18" customHeight="1" x14ac:dyDescent="0.2">
      <c r="A35" s="25" t="s">
        <v>78</v>
      </c>
      <c r="B35" s="18">
        <f>'Início|Fim 1'!N370</f>
        <v>0</v>
      </c>
      <c r="C35" s="44">
        <f t="shared" si="1"/>
        <v>0</v>
      </c>
      <c r="D35" s="32">
        <f>AVERAGEIF('Início|Fim 1'!M3:N369, "&gt;0")</f>
        <v>0.16666666666666671</v>
      </c>
      <c r="K35" s="20"/>
    </row>
    <row r="36" spans="1:25" ht="18" customHeight="1" x14ac:dyDescent="0.25">
      <c r="A36" s="33" t="s">
        <v>12</v>
      </c>
      <c r="B36" s="34">
        <f>+SUM(B27:B35)</f>
        <v>1.2458333333333331</v>
      </c>
      <c r="C36" s="35">
        <f t="shared" si="1"/>
        <v>1</v>
      </c>
      <c r="D36" s="36" t="s">
        <v>40</v>
      </c>
      <c r="H36" s="37"/>
      <c r="K36" s="20"/>
    </row>
    <row r="37" spans="1:25" ht="8.25" customHeight="1" x14ac:dyDescent="0.2">
      <c r="A37" s="29"/>
    </row>
    <row r="38" spans="1:25" ht="3" customHeight="1" x14ac:dyDescent="0.2">
      <c r="A38" s="39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spans="1:25" ht="7.5" customHeight="1" x14ac:dyDescent="0.2">
      <c r="A39" s="29"/>
    </row>
    <row r="40" spans="1:25" ht="18" customHeight="1" x14ac:dyDescent="0.2">
      <c r="A40" s="41" t="s">
        <v>44</v>
      </c>
    </row>
    <row r="41" spans="1:25" ht="18" customHeight="1" x14ac:dyDescent="0.2">
      <c r="A41" s="122" t="s">
        <v>4</v>
      </c>
      <c r="B41" s="121" t="s">
        <v>37</v>
      </c>
      <c r="C41" s="121"/>
      <c r="D41" s="121" t="s">
        <v>36</v>
      </c>
      <c r="E41" s="121"/>
      <c r="F41" s="121" t="s">
        <v>35</v>
      </c>
      <c r="G41" s="121"/>
      <c r="H41" s="121" t="s">
        <v>34</v>
      </c>
      <c r="I41" s="121"/>
      <c r="J41" s="121" t="s">
        <v>33</v>
      </c>
      <c r="K41" s="121"/>
      <c r="L41" s="121" t="s">
        <v>32</v>
      </c>
      <c r="M41" s="121"/>
      <c r="N41" s="121" t="s">
        <v>31</v>
      </c>
      <c r="O41" s="121"/>
      <c r="P41" s="121" t="s">
        <v>30</v>
      </c>
      <c r="Q41" s="121"/>
      <c r="R41" s="121" t="s">
        <v>29</v>
      </c>
      <c r="S41" s="121"/>
      <c r="T41" s="121" t="s">
        <v>28</v>
      </c>
      <c r="U41" s="121"/>
      <c r="V41" s="121" t="s">
        <v>27</v>
      </c>
      <c r="W41" s="121"/>
      <c r="X41" s="121" t="s">
        <v>26</v>
      </c>
      <c r="Y41" s="121"/>
    </row>
    <row r="42" spans="1:25" ht="32.25" customHeight="1" x14ac:dyDescent="0.2">
      <c r="A42" s="123"/>
      <c r="B42" s="42" t="s">
        <v>25</v>
      </c>
      <c r="C42" s="43" t="s">
        <v>5</v>
      </c>
      <c r="D42" s="42" t="s">
        <v>25</v>
      </c>
      <c r="E42" s="43" t="s">
        <v>5</v>
      </c>
      <c r="F42" s="42" t="s">
        <v>25</v>
      </c>
      <c r="G42" s="43" t="s">
        <v>5</v>
      </c>
      <c r="H42" s="42" t="s">
        <v>25</v>
      </c>
      <c r="I42" s="43" t="s">
        <v>5</v>
      </c>
      <c r="J42" s="42" t="s">
        <v>25</v>
      </c>
      <c r="K42" s="43" t="s">
        <v>5</v>
      </c>
      <c r="L42" s="42" t="s">
        <v>25</v>
      </c>
      <c r="M42" s="43" t="s">
        <v>5</v>
      </c>
      <c r="N42" s="42" t="s">
        <v>25</v>
      </c>
      <c r="O42" s="43" t="s">
        <v>5</v>
      </c>
      <c r="P42" s="42" t="s">
        <v>25</v>
      </c>
      <c r="Q42" s="43" t="s">
        <v>5</v>
      </c>
      <c r="R42" s="42" t="s">
        <v>25</v>
      </c>
      <c r="S42" s="43" t="s">
        <v>5</v>
      </c>
      <c r="T42" s="42" t="s">
        <v>25</v>
      </c>
      <c r="U42" s="43" t="s">
        <v>5</v>
      </c>
      <c r="V42" s="42" t="s">
        <v>25</v>
      </c>
      <c r="W42" s="43" t="s">
        <v>5</v>
      </c>
      <c r="X42" s="42" t="s">
        <v>25</v>
      </c>
      <c r="Y42" s="43" t="s">
        <v>5</v>
      </c>
    </row>
    <row r="43" spans="1:25" ht="18" customHeight="1" x14ac:dyDescent="0.2">
      <c r="A43" s="25" t="s">
        <v>6</v>
      </c>
      <c r="B43" s="96">
        <f>'Mês 1'!B35</f>
        <v>0</v>
      </c>
      <c r="C43" s="44">
        <f t="shared" ref="C43:C48" si="2">IFERROR(B43/$B$52,0)</f>
        <v>0</v>
      </c>
      <c r="D43" s="96">
        <f>'Mês 1'!P32</f>
        <v>0</v>
      </c>
      <c r="E43" s="44">
        <f t="shared" ref="E43:E52" si="3">IFERROR(D43/$D$52,0)</f>
        <v>0</v>
      </c>
      <c r="F43" s="96">
        <f>'Mês 1'!B72</f>
        <v>0</v>
      </c>
      <c r="G43" s="44">
        <f t="shared" ref="G43:G49" si="4">IFERROR(F43/$F$52,0)</f>
        <v>0</v>
      </c>
      <c r="H43" s="96">
        <f>'Mês 1'!B106</f>
        <v>0.19791666666666663</v>
      </c>
      <c r="I43" s="44">
        <f t="shared" ref="I43:I52" si="5">IFERROR(H43/$H$52,0)</f>
        <v>0.15886287625418061</v>
      </c>
      <c r="J43" s="96">
        <f>'Mês 1'!P72</f>
        <v>0</v>
      </c>
      <c r="K43" s="44">
        <f t="shared" ref="K43:K50" si="6">IFERROR(J43/$J$52,0)</f>
        <v>0</v>
      </c>
      <c r="L43" s="96">
        <f>'Mês 1'!P106</f>
        <v>0</v>
      </c>
      <c r="M43" s="44">
        <f t="shared" ref="M43:M52" si="7">IFERROR(L43/$L$52,0)</f>
        <v>0</v>
      </c>
      <c r="N43" s="96">
        <f>'Mês 1'!AD72</f>
        <v>0</v>
      </c>
      <c r="O43" s="44">
        <f t="shared" ref="O43:O51" si="8">IFERROR(N43/$N$52,0)</f>
        <v>0</v>
      </c>
      <c r="P43" s="96">
        <f>'Mês 1'!AD107</f>
        <v>0</v>
      </c>
      <c r="Q43" s="44">
        <f t="shared" ref="Q43:Q51" si="9">IFERROR(P43/$P$52,0)</f>
        <v>0</v>
      </c>
      <c r="R43" s="96">
        <f>'Mês 1'!AR71</f>
        <v>0</v>
      </c>
      <c r="S43" s="44">
        <f t="shared" ref="S43:S51" si="10">IFERROR(R43/$R$52,0)</f>
        <v>0</v>
      </c>
      <c r="T43" s="96">
        <f>'Mês 1'!AR107</f>
        <v>0</v>
      </c>
      <c r="U43" s="44">
        <f t="shared" ref="U43:U51" si="11">IFERROR(T43/$T$52,0)</f>
        <v>0</v>
      </c>
      <c r="V43" s="96">
        <f>'Mês 1'!BF71</f>
        <v>0</v>
      </c>
      <c r="W43" s="44">
        <f t="shared" ref="W43:W51" si="12">IFERROR(V43/$V$52,0)</f>
        <v>0</v>
      </c>
      <c r="X43" s="96">
        <f>'Mês 1'!BF107</f>
        <v>0</v>
      </c>
      <c r="Y43" s="44">
        <f t="shared" ref="Y43:Y51" si="13">IFERROR(X43/$X$52,0)</f>
        <v>0</v>
      </c>
    </row>
    <row r="44" spans="1:25" ht="18" customHeight="1" x14ac:dyDescent="0.2">
      <c r="A44" s="25" t="s">
        <v>7</v>
      </c>
      <c r="B44" s="96">
        <f>'Mês 1'!G35</f>
        <v>0</v>
      </c>
      <c r="C44" s="44">
        <f t="shared" si="2"/>
        <v>0</v>
      </c>
      <c r="D44" s="96">
        <f>'Mês 1'!U32</f>
        <v>0</v>
      </c>
      <c r="E44" s="44">
        <f t="shared" si="3"/>
        <v>0</v>
      </c>
      <c r="F44" s="96">
        <f>'Mês 1'!G72</f>
        <v>0</v>
      </c>
      <c r="G44" s="26">
        <f t="shared" si="4"/>
        <v>0</v>
      </c>
      <c r="H44" s="96">
        <f>'Mês 1'!G106</f>
        <v>0</v>
      </c>
      <c r="I44" s="44">
        <f t="shared" si="5"/>
        <v>0</v>
      </c>
      <c r="J44" s="96">
        <f>'Mês 1'!U72</f>
        <v>0</v>
      </c>
      <c r="K44" s="44">
        <f t="shared" si="6"/>
        <v>0</v>
      </c>
      <c r="L44" s="96">
        <f>'Mês 1'!U106</f>
        <v>0</v>
      </c>
      <c r="M44" s="44">
        <f t="shared" si="7"/>
        <v>0</v>
      </c>
      <c r="N44" s="96">
        <f>'Mês 1'!AI72</f>
        <v>0</v>
      </c>
      <c r="O44" s="44">
        <f t="shared" si="8"/>
        <v>0</v>
      </c>
      <c r="P44" s="96">
        <f>'Mês 1'!AI107</f>
        <v>0</v>
      </c>
      <c r="Q44" s="44">
        <f t="shared" si="9"/>
        <v>0</v>
      </c>
      <c r="R44" s="96">
        <f>'Mês 1'!AW71</f>
        <v>0</v>
      </c>
      <c r="S44" s="44">
        <f t="shared" si="10"/>
        <v>0</v>
      </c>
      <c r="T44" s="96">
        <f>'Mês 1'!AW107</f>
        <v>0</v>
      </c>
      <c r="U44" s="44">
        <f t="shared" si="11"/>
        <v>0</v>
      </c>
      <c r="V44" s="96">
        <f>'Mês 1'!BK71</f>
        <v>0</v>
      </c>
      <c r="W44" s="44">
        <f t="shared" si="12"/>
        <v>0</v>
      </c>
      <c r="X44" s="96">
        <f>'Mês 1'!BK107</f>
        <v>0</v>
      </c>
      <c r="Y44" s="44">
        <f t="shared" si="13"/>
        <v>0</v>
      </c>
    </row>
    <row r="45" spans="1:25" ht="18" customHeight="1" x14ac:dyDescent="0.2">
      <c r="A45" s="25" t="s">
        <v>8</v>
      </c>
      <c r="B45" s="96">
        <f>'Mês 1'!C35</f>
        <v>0</v>
      </c>
      <c r="C45" s="44">
        <f t="shared" si="2"/>
        <v>0</v>
      </c>
      <c r="D45" s="96">
        <f>'Mês 1'!Q32</f>
        <v>0</v>
      </c>
      <c r="E45" s="44">
        <f t="shared" si="3"/>
        <v>0</v>
      </c>
      <c r="F45" s="96">
        <f>'Mês 1'!C72</f>
        <v>0</v>
      </c>
      <c r="G45" s="26">
        <f t="shared" si="4"/>
        <v>0</v>
      </c>
      <c r="H45" s="96">
        <f>'Mês 1'!C106</f>
        <v>0.31875000000000003</v>
      </c>
      <c r="I45" s="44">
        <f t="shared" si="5"/>
        <v>0.2558528428093646</v>
      </c>
      <c r="J45" s="96">
        <f>'Mês 1'!Q72</f>
        <v>0</v>
      </c>
      <c r="K45" s="44">
        <f t="shared" si="6"/>
        <v>0</v>
      </c>
      <c r="L45" s="96">
        <f>'Mês 1'!Q106</f>
        <v>0</v>
      </c>
      <c r="M45" s="44">
        <f t="shared" si="7"/>
        <v>0</v>
      </c>
      <c r="N45" s="96">
        <f>'Mês 1'!AE72</f>
        <v>0</v>
      </c>
      <c r="O45" s="44">
        <f t="shared" si="8"/>
        <v>0</v>
      </c>
      <c r="P45" s="96">
        <f>'Mês 1'!AE107</f>
        <v>0</v>
      </c>
      <c r="Q45" s="44">
        <f t="shared" si="9"/>
        <v>0</v>
      </c>
      <c r="R45" s="96">
        <f>'Mês 1'!AS71</f>
        <v>0</v>
      </c>
      <c r="S45" s="44">
        <f t="shared" si="10"/>
        <v>0</v>
      </c>
      <c r="T45" s="96">
        <f>'Mês 1'!AS107</f>
        <v>0</v>
      </c>
      <c r="U45" s="44">
        <f t="shared" si="11"/>
        <v>0</v>
      </c>
      <c r="V45" s="96">
        <f>'Mês 1'!BG71</f>
        <v>0</v>
      </c>
      <c r="W45" s="44">
        <f t="shared" si="12"/>
        <v>0</v>
      </c>
      <c r="X45" s="96">
        <f>'Mês 1'!BG107</f>
        <v>0</v>
      </c>
      <c r="Y45" s="44">
        <f t="shared" si="13"/>
        <v>0</v>
      </c>
    </row>
    <row r="46" spans="1:25" ht="18" customHeight="1" x14ac:dyDescent="0.2">
      <c r="A46" s="25" t="s">
        <v>9</v>
      </c>
      <c r="B46" s="96">
        <f>'Mês 1'!F35</f>
        <v>0</v>
      </c>
      <c r="C46" s="44">
        <f t="shared" si="2"/>
        <v>0</v>
      </c>
      <c r="D46" s="96">
        <f>'Mês 1'!T32</f>
        <v>0</v>
      </c>
      <c r="E46" s="44">
        <f t="shared" si="3"/>
        <v>0</v>
      </c>
      <c r="F46" s="96">
        <f>'Mês 1'!F72</f>
        <v>0</v>
      </c>
      <c r="G46" s="26">
        <f t="shared" si="4"/>
        <v>0</v>
      </c>
      <c r="H46" s="96">
        <f>'Mês 1'!F106</f>
        <v>0</v>
      </c>
      <c r="I46" s="44">
        <f t="shared" si="5"/>
        <v>0</v>
      </c>
      <c r="J46" s="96">
        <f>'Mês 1'!T72</f>
        <v>0</v>
      </c>
      <c r="K46" s="44">
        <f t="shared" si="6"/>
        <v>0</v>
      </c>
      <c r="L46" s="96">
        <f>'Mês 1'!T106</f>
        <v>0</v>
      </c>
      <c r="M46" s="44">
        <f t="shared" si="7"/>
        <v>0</v>
      </c>
      <c r="N46" s="96">
        <f>'Mês 1'!AH72</f>
        <v>0</v>
      </c>
      <c r="O46" s="44">
        <f t="shared" si="8"/>
        <v>0</v>
      </c>
      <c r="P46" s="96">
        <f>'Mês 1'!AH107</f>
        <v>0</v>
      </c>
      <c r="Q46" s="44">
        <f t="shared" si="9"/>
        <v>0</v>
      </c>
      <c r="R46" s="96">
        <f>'Mês 1'!AV71</f>
        <v>0</v>
      </c>
      <c r="S46" s="44">
        <f t="shared" si="10"/>
        <v>0</v>
      </c>
      <c r="T46" s="96">
        <f>'Mês 1'!AV107</f>
        <v>0</v>
      </c>
      <c r="U46" s="44">
        <f t="shared" si="11"/>
        <v>0</v>
      </c>
      <c r="V46" s="96">
        <f>'Mês 1'!BJ71</f>
        <v>0</v>
      </c>
      <c r="W46" s="44">
        <f t="shared" si="12"/>
        <v>0</v>
      </c>
      <c r="X46" s="96">
        <f>'Mês 1'!BJ107</f>
        <v>0</v>
      </c>
      <c r="Y46" s="44">
        <f t="shared" si="13"/>
        <v>0</v>
      </c>
    </row>
    <row r="47" spans="1:25" ht="18" customHeight="1" x14ac:dyDescent="0.2">
      <c r="A47" s="25" t="s">
        <v>10</v>
      </c>
      <c r="B47" s="96">
        <f>'Mês 1'!D35</f>
        <v>0</v>
      </c>
      <c r="C47" s="44">
        <f t="shared" si="2"/>
        <v>0</v>
      </c>
      <c r="D47" s="96">
        <f>'Mês 1'!R32</f>
        <v>0</v>
      </c>
      <c r="E47" s="44">
        <f t="shared" si="3"/>
        <v>0</v>
      </c>
      <c r="F47" s="96">
        <f>'Mês 1'!D72</f>
        <v>0</v>
      </c>
      <c r="G47" s="26">
        <f t="shared" si="4"/>
        <v>0</v>
      </c>
      <c r="H47" s="96">
        <f>'Mês 1'!D106</f>
        <v>0</v>
      </c>
      <c r="I47" s="44">
        <f t="shared" si="5"/>
        <v>0</v>
      </c>
      <c r="J47" s="96">
        <f>'Mês 1'!R72</f>
        <v>0</v>
      </c>
      <c r="K47" s="44">
        <f t="shared" si="6"/>
        <v>0</v>
      </c>
      <c r="L47" s="96">
        <f>'Mês 1'!R106</f>
        <v>0</v>
      </c>
      <c r="M47" s="44">
        <f t="shared" si="7"/>
        <v>0</v>
      </c>
      <c r="N47" s="96">
        <f>'Mês 1'!AF72</f>
        <v>0</v>
      </c>
      <c r="O47" s="44">
        <f t="shared" si="8"/>
        <v>0</v>
      </c>
      <c r="P47" s="96">
        <f>'Mês 1'!AF107</f>
        <v>0</v>
      </c>
      <c r="Q47" s="44">
        <f t="shared" si="9"/>
        <v>0</v>
      </c>
      <c r="R47" s="96">
        <f>'Mês 1'!AT71</f>
        <v>0</v>
      </c>
      <c r="S47" s="44">
        <f t="shared" si="10"/>
        <v>0</v>
      </c>
      <c r="T47" s="96">
        <f>'Mês 1'!AT107</f>
        <v>0</v>
      </c>
      <c r="U47" s="44">
        <f t="shared" si="11"/>
        <v>0</v>
      </c>
      <c r="V47" s="96">
        <f>'Mês 1'!BH71</f>
        <v>0</v>
      </c>
      <c r="W47" s="44">
        <f t="shared" si="12"/>
        <v>0</v>
      </c>
      <c r="X47" s="96">
        <f>'Mês 1'!BH107</f>
        <v>0</v>
      </c>
      <c r="Y47" s="44">
        <f t="shared" si="13"/>
        <v>0</v>
      </c>
    </row>
    <row r="48" spans="1:25" ht="18" customHeight="1" x14ac:dyDescent="0.2">
      <c r="A48" s="25" t="s">
        <v>11</v>
      </c>
      <c r="B48" s="96">
        <f>'Mês 1'!E35</f>
        <v>0</v>
      </c>
      <c r="C48" s="44">
        <f t="shared" si="2"/>
        <v>0</v>
      </c>
      <c r="D48" s="96">
        <f>'Mês 1'!S32</f>
        <v>0</v>
      </c>
      <c r="E48" s="44">
        <f t="shared" si="3"/>
        <v>0</v>
      </c>
      <c r="F48" s="96">
        <f>'Mês 1'!E72</f>
        <v>0</v>
      </c>
      <c r="G48" s="26">
        <f t="shared" si="4"/>
        <v>0</v>
      </c>
      <c r="H48" s="96">
        <f>'Mês 1'!E106</f>
        <v>0</v>
      </c>
      <c r="I48" s="44">
        <f t="shared" si="5"/>
        <v>0</v>
      </c>
      <c r="J48" s="96">
        <f>'Mês 1'!S72</f>
        <v>0</v>
      </c>
      <c r="K48" s="44">
        <f t="shared" si="6"/>
        <v>0</v>
      </c>
      <c r="L48" s="96">
        <f>'Mês 1'!S106</f>
        <v>0</v>
      </c>
      <c r="M48" s="44">
        <f t="shared" si="7"/>
        <v>0</v>
      </c>
      <c r="N48" s="96">
        <f>'Mês 1'!AG72</f>
        <v>0</v>
      </c>
      <c r="O48" s="44">
        <f t="shared" si="8"/>
        <v>0</v>
      </c>
      <c r="P48" s="96">
        <f>'Mês 1'!AG107</f>
        <v>0</v>
      </c>
      <c r="Q48" s="44">
        <f t="shared" si="9"/>
        <v>0</v>
      </c>
      <c r="R48" s="96">
        <f>'Mês 1'!AU71</f>
        <v>0</v>
      </c>
      <c r="S48" s="44">
        <f t="shared" si="10"/>
        <v>0</v>
      </c>
      <c r="T48" s="96">
        <f>'Mês 1'!AU107</f>
        <v>0</v>
      </c>
      <c r="U48" s="44">
        <f t="shared" si="11"/>
        <v>0</v>
      </c>
      <c r="V48" s="96">
        <f>'Mês 1'!BI71</f>
        <v>0</v>
      </c>
      <c r="W48" s="44">
        <f t="shared" si="12"/>
        <v>0</v>
      </c>
      <c r="X48" s="96">
        <f>'Mês 1'!BI107</f>
        <v>0</v>
      </c>
      <c r="Y48" s="44">
        <f t="shared" si="13"/>
        <v>0</v>
      </c>
    </row>
    <row r="49" spans="1:25" ht="18" customHeight="1" x14ac:dyDescent="0.2">
      <c r="A49" s="25" t="s">
        <v>76</v>
      </c>
      <c r="B49" s="96">
        <f>'Mês 1'!H35</f>
        <v>0</v>
      </c>
      <c r="C49" s="44">
        <f t="shared" ref="C49:C51" si="14">IFERROR(B49/$B$52,0)</f>
        <v>0</v>
      </c>
      <c r="D49" s="96">
        <f>'Mês 1'!V32</f>
        <v>0</v>
      </c>
      <c r="E49" s="44">
        <f t="shared" si="3"/>
        <v>0</v>
      </c>
      <c r="F49" s="96">
        <f>'Mês 1'!H72</f>
        <v>0</v>
      </c>
      <c r="G49" s="26">
        <f t="shared" si="4"/>
        <v>0</v>
      </c>
      <c r="H49" s="96">
        <f>'Mês 1'!H106</f>
        <v>0.22916666666666657</v>
      </c>
      <c r="I49" s="44">
        <f t="shared" si="5"/>
        <v>0.18394648829431434</v>
      </c>
      <c r="J49" s="96">
        <f>'Mês 1'!V72</f>
        <v>0</v>
      </c>
      <c r="K49" s="44">
        <f t="shared" si="6"/>
        <v>0</v>
      </c>
      <c r="L49" s="96">
        <f>'Mês 1'!V106</f>
        <v>0</v>
      </c>
      <c r="M49" s="44">
        <f t="shared" si="7"/>
        <v>0</v>
      </c>
      <c r="N49" s="96">
        <f>'Mês 1'!AJ72</f>
        <v>0</v>
      </c>
      <c r="O49" s="44">
        <f t="shared" si="8"/>
        <v>0</v>
      </c>
      <c r="P49" s="96">
        <f>'Mês 1'!AJ107</f>
        <v>0</v>
      </c>
      <c r="Q49" s="44">
        <f t="shared" si="9"/>
        <v>0</v>
      </c>
      <c r="R49" s="96">
        <f>'Mês 1'!AX71</f>
        <v>0</v>
      </c>
      <c r="S49" s="44">
        <f t="shared" si="10"/>
        <v>0</v>
      </c>
      <c r="T49" s="96">
        <f>'Mês 1'!AX107</f>
        <v>0</v>
      </c>
      <c r="U49" s="44">
        <f t="shared" si="11"/>
        <v>0</v>
      </c>
      <c r="V49" s="96">
        <f>'Mês 1'!BL71</f>
        <v>0</v>
      </c>
      <c r="W49" s="44">
        <f t="shared" si="12"/>
        <v>0</v>
      </c>
      <c r="X49" s="96">
        <f>'Mês 1'!BL107</f>
        <v>0</v>
      </c>
      <c r="Y49" s="44">
        <f t="shared" si="13"/>
        <v>0</v>
      </c>
    </row>
    <row r="50" spans="1:25" ht="18" customHeight="1" x14ac:dyDescent="0.2">
      <c r="A50" s="25" t="s">
        <v>77</v>
      </c>
      <c r="B50" s="96">
        <f>'Mês 1'!I35</f>
        <v>0</v>
      </c>
      <c r="C50" s="44">
        <f t="shared" si="14"/>
        <v>0</v>
      </c>
      <c r="D50" s="96">
        <f>'Mês 1'!W32</f>
        <v>0</v>
      </c>
      <c r="E50" s="44">
        <f t="shared" si="3"/>
        <v>0</v>
      </c>
      <c r="F50" s="96">
        <f>'Mês 1'!I72</f>
        <v>0</v>
      </c>
      <c r="G50" s="26">
        <f>IFERROR(F50/$F$52,0)</f>
        <v>0</v>
      </c>
      <c r="H50" s="96">
        <f>'Mês 1'!I106</f>
        <v>0.50000000000000011</v>
      </c>
      <c r="I50" s="44">
        <f t="shared" si="5"/>
        <v>0.40133779264214064</v>
      </c>
      <c r="J50" s="96">
        <f>'Mês 1'!W72</f>
        <v>0</v>
      </c>
      <c r="K50" s="44">
        <f t="shared" si="6"/>
        <v>0</v>
      </c>
      <c r="L50" s="96">
        <f>'Mês 1'!W106</f>
        <v>0</v>
      </c>
      <c r="M50" s="44">
        <f t="shared" si="7"/>
        <v>0</v>
      </c>
      <c r="N50" s="96">
        <f>'Mês 1'!AK72</f>
        <v>0</v>
      </c>
      <c r="O50" s="44">
        <f t="shared" si="8"/>
        <v>0</v>
      </c>
      <c r="P50" s="96">
        <f>'Mês 1'!AK107</f>
        <v>0</v>
      </c>
      <c r="Q50" s="44">
        <f t="shared" si="9"/>
        <v>0</v>
      </c>
      <c r="R50" s="96">
        <f>'Mês 1'!AY71</f>
        <v>0</v>
      </c>
      <c r="S50" s="44">
        <f t="shared" si="10"/>
        <v>0</v>
      </c>
      <c r="T50" s="96">
        <f>'Mês 1'!AY107</f>
        <v>0</v>
      </c>
      <c r="U50" s="44">
        <f t="shared" si="11"/>
        <v>0</v>
      </c>
      <c r="V50" s="96">
        <f>'Mês 1'!BM71</f>
        <v>0</v>
      </c>
      <c r="W50" s="44">
        <f t="shared" si="12"/>
        <v>0</v>
      </c>
      <c r="X50" s="96">
        <f>'Mês 1'!BM107</f>
        <v>0</v>
      </c>
      <c r="Y50" s="44">
        <f t="shared" si="13"/>
        <v>0</v>
      </c>
    </row>
    <row r="51" spans="1:25" ht="18" customHeight="1" x14ac:dyDescent="0.2">
      <c r="A51" s="25" t="s">
        <v>78</v>
      </c>
      <c r="B51" s="96">
        <f>'Mês 1'!J35</f>
        <v>0</v>
      </c>
      <c r="C51" s="44">
        <f t="shared" si="14"/>
        <v>0</v>
      </c>
      <c r="D51" s="96">
        <f>'Mês 1'!X32</f>
        <v>0</v>
      </c>
      <c r="E51" s="44">
        <f t="shared" si="3"/>
        <v>0</v>
      </c>
      <c r="F51" s="96">
        <f>'Mês 1'!J72</f>
        <v>0</v>
      </c>
      <c r="G51" s="26">
        <f>IFERROR(F51/$F$52,0)</f>
        <v>0</v>
      </c>
      <c r="H51" s="96">
        <f>'Mês 1'!J106</f>
        <v>0</v>
      </c>
      <c r="I51" s="44">
        <f t="shared" si="5"/>
        <v>0</v>
      </c>
      <c r="J51" s="96">
        <f>'Mês 1'!X72</f>
        <v>0</v>
      </c>
      <c r="K51" s="44"/>
      <c r="L51" s="96">
        <f>'Mês 1'!X106</f>
        <v>0</v>
      </c>
      <c r="M51" s="44">
        <f t="shared" si="7"/>
        <v>0</v>
      </c>
      <c r="N51" s="96">
        <f>'Mês 1'!AL72</f>
        <v>0</v>
      </c>
      <c r="O51" s="44">
        <f t="shared" si="8"/>
        <v>0</v>
      </c>
      <c r="P51" s="96">
        <f>'Mês 1'!AL107</f>
        <v>0</v>
      </c>
      <c r="Q51" s="44">
        <f t="shared" si="9"/>
        <v>0</v>
      </c>
      <c r="R51" s="96">
        <f>'Mês 1'!AZ71</f>
        <v>0</v>
      </c>
      <c r="S51" s="44">
        <f t="shared" si="10"/>
        <v>0</v>
      </c>
      <c r="T51" s="96">
        <f>'Mês 1'!AZ107</f>
        <v>0</v>
      </c>
      <c r="U51" s="44">
        <f t="shared" si="11"/>
        <v>0</v>
      </c>
      <c r="V51" s="96">
        <f>'Mês 1'!BN71</f>
        <v>0</v>
      </c>
      <c r="W51" s="44">
        <f t="shared" si="12"/>
        <v>0</v>
      </c>
      <c r="X51" s="96">
        <f>'Mês 1'!BN107</f>
        <v>0</v>
      </c>
      <c r="Y51" s="44">
        <f t="shared" si="13"/>
        <v>0</v>
      </c>
    </row>
    <row r="52" spans="1:25" ht="18" customHeight="1" x14ac:dyDescent="0.2">
      <c r="A52" s="25" t="s">
        <v>12</v>
      </c>
      <c r="B52" s="96">
        <f>+SUM(B43:B51)</f>
        <v>0</v>
      </c>
      <c r="C52" s="44">
        <f>IFERROR(B52/$B$52,0)</f>
        <v>0</v>
      </c>
      <c r="D52" s="96">
        <f>+SUM(D43:D51)</f>
        <v>0</v>
      </c>
      <c r="E52" s="44">
        <f t="shared" si="3"/>
        <v>0</v>
      </c>
      <c r="F52" s="96">
        <f>+SUM(F43:F51)</f>
        <v>0</v>
      </c>
      <c r="G52" s="26">
        <f>IFERROR(F52/$F$52,0)</f>
        <v>0</v>
      </c>
      <c r="H52" s="96">
        <f>+SUM(H43:H51)</f>
        <v>1.2458333333333331</v>
      </c>
      <c r="I52" s="44">
        <f t="shared" si="5"/>
        <v>1</v>
      </c>
      <c r="J52" s="96">
        <f>+SUM(J43:J51)</f>
        <v>0</v>
      </c>
      <c r="K52" s="44">
        <f>IFERROR(J52/$J$52,0)</f>
        <v>0</v>
      </c>
      <c r="L52" s="96">
        <f>+SUM(L43:L51)</f>
        <v>0</v>
      </c>
      <c r="M52" s="44">
        <f t="shared" si="7"/>
        <v>0</v>
      </c>
      <c r="N52" s="96">
        <f>+SUM(N43:N51)</f>
        <v>0</v>
      </c>
      <c r="O52" s="44">
        <f>IFERROR(N52/$N$52,0)</f>
        <v>0</v>
      </c>
      <c r="P52" s="96">
        <f>+SUM(P43:P51)</f>
        <v>0</v>
      </c>
      <c r="Q52" s="44">
        <f>IFERROR(P52/$P$52,0)</f>
        <v>0</v>
      </c>
      <c r="R52" s="96">
        <f>+SUM(R43:R51)</f>
        <v>0</v>
      </c>
      <c r="S52" s="44">
        <f>IFERROR(R52/$R$52,0)</f>
        <v>0</v>
      </c>
      <c r="T52" s="96">
        <f>+SUM(T43:T51)</f>
        <v>0</v>
      </c>
      <c r="U52" s="44">
        <f>IFERROR(T52/$T$52,0)</f>
        <v>0</v>
      </c>
      <c r="V52" s="96">
        <f>+SUM(V43:V51)</f>
        <v>0</v>
      </c>
      <c r="W52" s="44">
        <f>IFERROR(V52/$V$52,0)</f>
        <v>0</v>
      </c>
      <c r="X52" s="96">
        <f>+SUM(X43:X51)</f>
        <v>0</v>
      </c>
      <c r="Y52" s="44">
        <f>IFERROR(X52/$X$52,0)</f>
        <v>0</v>
      </c>
    </row>
    <row r="53" spans="1:25" ht="18" customHeight="1" x14ac:dyDescent="0.25">
      <c r="A53" s="33" t="s">
        <v>23</v>
      </c>
      <c r="B53" s="45" t="e">
        <f>AVERAGEIF('Mês 1'!K4:K34, "&gt;0")</f>
        <v>#DIV/0!</v>
      </c>
      <c r="C53" s="46"/>
      <c r="D53" s="45" t="e">
        <f>AVERAGEIF('Mês 1'!Y4:Y31, "&gt;0")</f>
        <v>#DIV/0!</v>
      </c>
      <c r="E53" s="46"/>
      <c r="F53" s="45" t="e">
        <f>AVERAGEIF('Mês 1'!K41:K71, "&gt;0")</f>
        <v>#DIV/0!</v>
      </c>
      <c r="G53" s="46"/>
      <c r="H53" s="45">
        <f>AVERAGEIF('Mês 1'!K76:K105, "&gt;0")</f>
        <v>0.2076388888888889</v>
      </c>
      <c r="I53" s="46"/>
      <c r="J53" s="45" t="e">
        <f>AVERAGEIF('Mês 1'!Y41:Y71, "&gt;0")</f>
        <v>#DIV/0!</v>
      </c>
      <c r="K53" s="47"/>
      <c r="L53" s="45" t="e">
        <f>AVERAGEIF('Mês 1'!Y76:Y105, "&gt;0")</f>
        <v>#DIV/0!</v>
      </c>
      <c r="M53" s="47"/>
      <c r="N53" s="45" t="e">
        <f>AVERAGEIF('Mês 1'!AM41:AM71, "&gt;0")</f>
        <v>#DIV/0!</v>
      </c>
      <c r="O53" s="47"/>
      <c r="P53" s="45" t="e">
        <f>AVERAGEIF('Mês 1'!AM76:AM106, "&gt;0")</f>
        <v>#DIV/0!</v>
      </c>
      <c r="Q53" s="47"/>
      <c r="R53" s="45" t="e">
        <f>AVERAGEIF('Mês 1'!BA41:BA70, "&gt;0")</f>
        <v>#DIV/0!</v>
      </c>
      <c r="S53" s="47"/>
      <c r="T53" s="45" t="e">
        <f>AVERAGEIF('Mês 1'!BA76:BA106, "&gt;0")</f>
        <v>#DIV/0!</v>
      </c>
      <c r="U53" s="47"/>
      <c r="V53" s="45" t="e">
        <f>AVERAGEIF('Mês 1'!BO41:BO70, "&gt;0")</f>
        <v>#DIV/0!</v>
      </c>
      <c r="W53" s="47"/>
      <c r="X53" s="45" t="e">
        <f>AVERAGEIF('Mês 1'!BO76:BO106, "&gt;0")</f>
        <v>#DIV/0!</v>
      </c>
      <c r="Y53" s="47"/>
    </row>
    <row r="54" spans="1:25" ht="18" customHeight="1" x14ac:dyDescent="0.2">
      <c r="A54" s="29"/>
      <c r="F54" s="48"/>
      <c r="H54" s="48"/>
      <c r="J54" s="48"/>
      <c r="L54" s="48"/>
      <c r="N54" s="48"/>
      <c r="P54" s="48"/>
      <c r="R54" s="48"/>
      <c r="T54" s="48"/>
    </row>
    <row r="55" spans="1:25" ht="18" customHeight="1" x14ac:dyDescent="0.2">
      <c r="A55" s="29"/>
      <c r="B55" s="119" t="s">
        <v>4</v>
      </c>
      <c r="C55" s="120"/>
      <c r="D55" s="120"/>
      <c r="E55" s="120"/>
      <c r="F55" s="120"/>
      <c r="G55" s="120"/>
      <c r="H55" s="120"/>
      <c r="I55" s="120"/>
      <c r="N55" s="48"/>
      <c r="P55" s="48"/>
      <c r="R55" s="48"/>
      <c r="T55" s="48"/>
    </row>
    <row r="56" spans="1:25" ht="18" customHeight="1" x14ac:dyDescent="0.2">
      <c r="A56" s="49" t="s">
        <v>48</v>
      </c>
      <c r="B56" s="50" t="s">
        <v>6</v>
      </c>
      <c r="C56" s="50" t="s">
        <v>7</v>
      </c>
      <c r="D56" s="50" t="s">
        <v>8</v>
      </c>
      <c r="E56" s="50" t="s">
        <v>9</v>
      </c>
      <c r="F56" s="50" t="s">
        <v>10</v>
      </c>
      <c r="G56" s="50" t="s">
        <v>11</v>
      </c>
      <c r="H56" s="50" t="s">
        <v>76</v>
      </c>
      <c r="I56" s="50" t="s">
        <v>77</v>
      </c>
      <c r="J56" s="50" t="s">
        <v>78</v>
      </c>
      <c r="N56" s="48"/>
      <c r="P56" s="48"/>
      <c r="R56" s="48"/>
      <c r="T56" s="48"/>
    </row>
    <row r="57" spans="1:25" ht="18" customHeight="1" x14ac:dyDescent="0.2">
      <c r="A57" s="51" t="s">
        <v>37</v>
      </c>
      <c r="B57" s="52">
        <f>$C$43</f>
        <v>0</v>
      </c>
      <c r="C57" s="52">
        <f>$C$44</f>
        <v>0</v>
      </c>
      <c r="D57" s="52">
        <f>$C$45</f>
        <v>0</v>
      </c>
      <c r="E57" s="52">
        <f>$C$46</f>
        <v>0</v>
      </c>
      <c r="F57" s="52">
        <f>$C$47</f>
        <v>0</v>
      </c>
      <c r="G57" s="52">
        <f>$C$48</f>
        <v>0</v>
      </c>
      <c r="H57" s="52">
        <f>$C$49</f>
        <v>0</v>
      </c>
      <c r="I57" s="52">
        <f>$C$50</f>
        <v>0</v>
      </c>
      <c r="J57" s="52">
        <f>$C$51</f>
        <v>0</v>
      </c>
      <c r="N57" s="48"/>
      <c r="P57" s="48"/>
      <c r="R57" s="48"/>
      <c r="T57" s="48"/>
    </row>
    <row r="58" spans="1:25" ht="18" customHeight="1" x14ac:dyDescent="0.2">
      <c r="A58" s="51" t="s">
        <v>36</v>
      </c>
      <c r="B58" s="52">
        <f>$E$43</f>
        <v>0</v>
      </c>
      <c r="C58" s="52">
        <f>$E$44</f>
        <v>0</v>
      </c>
      <c r="D58" s="52">
        <f>$E$45</f>
        <v>0</v>
      </c>
      <c r="E58" s="52">
        <f>$E$46</f>
        <v>0</v>
      </c>
      <c r="F58" s="52">
        <f>$E$47</f>
        <v>0</v>
      </c>
      <c r="G58" s="52">
        <f>$E$48</f>
        <v>0</v>
      </c>
      <c r="H58" s="52">
        <f>$E$49</f>
        <v>0</v>
      </c>
      <c r="I58" s="52">
        <f>$E$50</f>
        <v>0</v>
      </c>
      <c r="J58" s="52">
        <f>$E$51</f>
        <v>0</v>
      </c>
      <c r="N58" s="48"/>
      <c r="P58" s="48"/>
      <c r="R58" s="48"/>
      <c r="T58" s="48"/>
    </row>
    <row r="59" spans="1:25" ht="18" customHeight="1" x14ac:dyDescent="0.2">
      <c r="A59" s="51" t="s">
        <v>35</v>
      </c>
      <c r="B59" s="52">
        <f>$G$43</f>
        <v>0</v>
      </c>
      <c r="C59" s="52">
        <f>$G$44</f>
        <v>0</v>
      </c>
      <c r="D59" s="52">
        <f>$G$45</f>
        <v>0</v>
      </c>
      <c r="E59" s="52">
        <f>$G$46</f>
        <v>0</v>
      </c>
      <c r="F59" s="52">
        <f>$G$47</f>
        <v>0</v>
      </c>
      <c r="G59" s="52">
        <f>$G$48</f>
        <v>0</v>
      </c>
      <c r="H59" s="52">
        <f>$G$49</f>
        <v>0</v>
      </c>
      <c r="I59" s="52">
        <f>$G$50</f>
        <v>0</v>
      </c>
      <c r="J59" s="52">
        <f>$G$51</f>
        <v>0</v>
      </c>
      <c r="K59" s="53"/>
      <c r="M59" s="53"/>
      <c r="N59" s="48"/>
      <c r="P59" s="48"/>
      <c r="R59" s="48"/>
      <c r="T59" s="48"/>
    </row>
    <row r="60" spans="1:25" ht="18" customHeight="1" x14ac:dyDescent="0.2">
      <c r="A60" s="54" t="s">
        <v>34</v>
      </c>
      <c r="B60" s="55">
        <f>$I$43</f>
        <v>0.15886287625418061</v>
      </c>
      <c r="C60" s="55">
        <f>$I$44</f>
        <v>0</v>
      </c>
      <c r="D60" s="55">
        <f>$I$45</f>
        <v>0.2558528428093646</v>
      </c>
      <c r="E60" s="55">
        <f>$I$46</f>
        <v>0</v>
      </c>
      <c r="F60" s="55">
        <f>$I$47</f>
        <v>0</v>
      </c>
      <c r="G60" s="55">
        <f>$I$48</f>
        <v>0</v>
      </c>
      <c r="H60" s="55">
        <f>$I$49</f>
        <v>0.18394648829431434</v>
      </c>
      <c r="I60" s="55">
        <f>$I$50</f>
        <v>0.40133779264214064</v>
      </c>
      <c r="J60" s="55">
        <f>$I$51</f>
        <v>0</v>
      </c>
      <c r="K60" s="53"/>
      <c r="M60" s="53"/>
      <c r="N60" s="48"/>
      <c r="P60" s="48"/>
      <c r="R60" s="48"/>
      <c r="T60" s="48"/>
    </row>
    <row r="61" spans="1:25" ht="18" customHeight="1" x14ac:dyDescent="0.2">
      <c r="A61" s="54" t="s">
        <v>33</v>
      </c>
      <c r="B61" s="55">
        <f>$K$43</f>
        <v>0</v>
      </c>
      <c r="C61" s="55">
        <f>$K$44</f>
        <v>0</v>
      </c>
      <c r="D61" s="55">
        <f>$K$45</f>
        <v>0</v>
      </c>
      <c r="E61" s="55">
        <f>$K$46</f>
        <v>0</v>
      </c>
      <c r="F61" s="55">
        <f>$K$47</f>
        <v>0</v>
      </c>
      <c r="G61" s="55">
        <f>$K$48</f>
        <v>0</v>
      </c>
      <c r="H61" s="55">
        <f>$K$49</f>
        <v>0</v>
      </c>
      <c r="I61" s="55">
        <f>$K$50</f>
        <v>0</v>
      </c>
      <c r="J61" s="55">
        <f>$K$51</f>
        <v>0</v>
      </c>
      <c r="K61" s="53"/>
      <c r="M61" s="53"/>
      <c r="N61" s="48"/>
      <c r="P61" s="48"/>
      <c r="R61" s="48"/>
      <c r="T61" s="48"/>
    </row>
    <row r="62" spans="1:25" ht="18" customHeight="1" x14ac:dyDescent="0.2">
      <c r="A62" s="54" t="s">
        <v>32</v>
      </c>
      <c r="B62" s="55">
        <f>$M$43</f>
        <v>0</v>
      </c>
      <c r="C62" s="55">
        <f>$M$44</f>
        <v>0</v>
      </c>
      <c r="D62" s="55">
        <f>$M$45</f>
        <v>0</v>
      </c>
      <c r="E62" s="55">
        <f>$M$46</f>
        <v>0</v>
      </c>
      <c r="F62" s="55">
        <f>$M$47</f>
        <v>0</v>
      </c>
      <c r="G62" s="55">
        <f>$M$48</f>
        <v>0</v>
      </c>
      <c r="H62" s="55">
        <f>$M$49</f>
        <v>0</v>
      </c>
      <c r="I62" s="55">
        <f>$M$50</f>
        <v>0</v>
      </c>
      <c r="J62" s="55">
        <f>$M$51</f>
        <v>0</v>
      </c>
      <c r="K62" s="53"/>
      <c r="M62" s="53"/>
      <c r="N62" s="48"/>
      <c r="P62" s="48"/>
      <c r="R62" s="48"/>
      <c r="T62" s="48"/>
    </row>
    <row r="63" spans="1:25" ht="18" customHeight="1" x14ac:dyDescent="0.2">
      <c r="A63" s="54" t="s">
        <v>31</v>
      </c>
      <c r="B63" s="55">
        <f>$O$43</f>
        <v>0</v>
      </c>
      <c r="C63" s="55">
        <f>$O$44</f>
        <v>0</v>
      </c>
      <c r="D63" s="55">
        <f>$O$45</f>
        <v>0</v>
      </c>
      <c r="E63" s="55">
        <f>$O$46</f>
        <v>0</v>
      </c>
      <c r="F63" s="55">
        <f>$O$47</f>
        <v>0</v>
      </c>
      <c r="G63" s="55">
        <f>$O$48</f>
        <v>0</v>
      </c>
      <c r="H63" s="55">
        <f>$O$49</f>
        <v>0</v>
      </c>
      <c r="I63" s="55">
        <f>$O$50</f>
        <v>0</v>
      </c>
      <c r="J63" s="55">
        <f>$O$51</f>
        <v>0</v>
      </c>
      <c r="K63" s="53"/>
      <c r="M63" s="53"/>
      <c r="N63" s="48"/>
      <c r="P63" s="48"/>
      <c r="R63" s="48"/>
      <c r="T63" s="48"/>
    </row>
    <row r="64" spans="1:25" ht="18" customHeight="1" x14ac:dyDescent="0.2">
      <c r="A64" s="54" t="s">
        <v>30</v>
      </c>
      <c r="B64" s="55">
        <f>$Q$43</f>
        <v>0</v>
      </c>
      <c r="C64" s="55">
        <f>$Q$44</f>
        <v>0</v>
      </c>
      <c r="D64" s="55">
        <f>$Q$45</f>
        <v>0</v>
      </c>
      <c r="E64" s="55">
        <f>$Q$46</f>
        <v>0</v>
      </c>
      <c r="F64" s="55">
        <f>$Q$47</f>
        <v>0</v>
      </c>
      <c r="G64" s="55">
        <f>$Q$48</f>
        <v>0</v>
      </c>
      <c r="H64" s="55">
        <f>$Q$49</f>
        <v>0</v>
      </c>
      <c r="I64" s="55">
        <f>$Q$50</f>
        <v>0</v>
      </c>
      <c r="J64" s="55">
        <f>$Q$51</f>
        <v>0</v>
      </c>
      <c r="K64" s="53"/>
      <c r="M64" s="53"/>
      <c r="N64" s="48"/>
      <c r="P64" s="48"/>
      <c r="R64" s="48"/>
      <c r="T64" s="48"/>
    </row>
    <row r="65" spans="1:20" ht="18" customHeight="1" x14ac:dyDescent="0.2">
      <c r="A65" s="54" t="s">
        <v>29</v>
      </c>
      <c r="B65" s="55">
        <f>$S$43</f>
        <v>0</v>
      </c>
      <c r="C65" s="55">
        <f>$S$44</f>
        <v>0</v>
      </c>
      <c r="D65" s="55">
        <f>$S$45</f>
        <v>0</v>
      </c>
      <c r="E65" s="55">
        <f>$S$46</f>
        <v>0</v>
      </c>
      <c r="F65" s="55">
        <f>$S$47</f>
        <v>0</v>
      </c>
      <c r="G65" s="55">
        <f>$S$48</f>
        <v>0</v>
      </c>
      <c r="H65" s="55">
        <f>$S$49</f>
        <v>0</v>
      </c>
      <c r="I65" s="55">
        <f>$S$50</f>
        <v>0</v>
      </c>
      <c r="J65" s="55">
        <f>$S$51</f>
        <v>0</v>
      </c>
      <c r="K65" s="53"/>
      <c r="M65" s="53"/>
      <c r="N65" s="48"/>
      <c r="P65" s="48"/>
      <c r="R65" s="48"/>
      <c r="T65" s="48"/>
    </row>
    <row r="66" spans="1:20" ht="18" customHeight="1" x14ac:dyDescent="0.2">
      <c r="A66" s="54" t="s">
        <v>28</v>
      </c>
      <c r="B66" s="55">
        <f>$U$43</f>
        <v>0</v>
      </c>
      <c r="C66" s="55">
        <f>$U$44</f>
        <v>0</v>
      </c>
      <c r="D66" s="55">
        <f>$U$45</f>
        <v>0</v>
      </c>
      <c r="E66" s="55">
        <f>$U$46</f>
        <v>0</v>
      </c>
      <c r="F66" s="55">
        <f>$U$47</f>
        <v>0</v>
      </c>
      <c r="G66" s="55">
        <f>$U$48</f>
        <v>0</v>
      </c>
      <c r="H66" s="55">
        <f>$U$49</f>
        <v>0</v>
      </c>
      <c r="I66" s="55">
        <f>$U$50</f>
        <v>0</v>
      </c>
      <c r="J66" s="55">
        <f>$U$51</f>
        <v>0</v>
      </c>
      <c r="K66" s="53"/>
      <c r="M66" s="53"/>
      <c r="N66" s="48"/>
      <c r="P66" s="48"/>
      <c r="R66" s="48"/>
      <c r="T66" s="48"/>
    </row>
    <row r="67" spans="1:20" ht="18" customHeight="1" x14ac:dyDescent="0.2">
      <c r="A67" s="54" t="s">
        <v>27</v>
      </c>
      <c r="B67" s="55">
        <f>$W$43</f>
        <v>0</v>
      </c>
      <c r="C67" s="55">
        <f>$W$44</f>
        <v>0</v>
      </c>
      <c r="D67" s="55">
        <f>$W$45</f>
        <v>0</v>
      </c>
      <c r="E67" s="55">
        <f>$W$46</f>
        <v>0</v>
      </c>
      <c r="F67" s="55">
        <f>$W$47</f>
        <v>0</v>
      </c>
      <c r="G67" s="55">
        <f>$W$48</f>
        <v>0</v>
      </c>
      <c r="H67" s="55">
        <f>$W$49</f>
        <v>0</v>
      </c>
      <c r="I67" s="55">
        <f>$W$50</f>
        <v>0</v>
      </c>
      <c r="J67" s="55">
        <f>$W$51</f>
        <v>0</v>
      </c>
      <c r="K67" s="53"/>
      <c r="M67" s="53"/>
      <c r="N67" s="48"/>
      <c r="P67" s="48"/>
      <c r="R67" s="48"/>
      <c r="T67" s="48"/>
    </row>
    <row r="68" spans="1:20" ht="18" customHeight="1" x14ac:dyDescent="0.2">
      <c r="A68" s="54" t="s">
        <v>26</v>
      </c>
      <c r="B68" s="55">
        <f>$Y$43</f>
        <v>0</v>
      </c>
      <c r="C68" s="55">
        <f>$Y$44</f>
        <v>0</v>
      </c>
      <c r="D68" s="55">
        <f>$Y$45</f>
        <v>0</v>
      </c>
      <c r="E68" s="55">
        <f>$Y$46</f>
        <v>0</v>
      </c>
      <c r="F68" s="55">
        <f>$Y$47</f>
        <v>0</v>
      </c>
      <c r="G68" s="55">
        <f>$Y$48</f>
        <v>0</v>
      </c>
      <c r="H68" s="55">
        <f>$Y$49</f>
        <v>0</v>
      </c>
      <c r="I68" s="55">
        <f>$Y$50</f>
        <v>0</v>
      </c>
      <c r="J68" s="55">
        <f>$Y$51</f>
        <v>0</v>
      </c>
      <c r="K68" s="53"/>
      <c r="M68" s="53"/>
      <c r="N68" s="48"/>
      <c r="P68" s="48"/>
      <c r="R68" s="48"/>
      <c r="T68" s="48"/>
    </row>
    <row r="69" spans="1:20" ht="18" customHeight="1" x14ac:dyDescent="0.2">
      <c r="A69" s="29"/>
      <c r="F69" s="48"/>
      <c r="H69" s="48"/>
      <c r="J69" s="48"/>
      <c r="L69" s="48"/>
      <c r="N69" s="48"/>
      <c r="P69" s="48"/>
      <c r="R69" s="48"/>
      <c r="T69" s="48"/>
    </row>
    <row r="70" spans="1:20" ht="18" customHeight="1" x14ac:dyDescent="0.2">
      <c r="A70" s="49" t="s">
        <v>48</v>
      </c>
      <c r="B70" s="56" t="s">
        <v>50</v>
      </c>
      <c r="C70" s="56" t="s">
        <v>38</v>
      </c>
      <c r="F70" s="48"/>
      <c r="H70" s="48"/>
      <c r="J70" s="48"/>
      <c r="L70" s="48"/>
      <c r="N70" s="48"/>
      <c r="P70" s="48"/>
      <c r="R70" s="48"/>
      <c r="T70" s="48"/>
    </row>
    <row r="71" spans="1:20" ht="18" customHeight="1" x14ac:dyDescent="0.2">
      <c r="A71" s="51" t="s">
        <v>37</v>
      </c>
      <c r="B71" s="57">
        <v>1</v>
      </c>
      <c r="C71" s="57" t="e">
        <f>IFERROR(B53/$C$17,NA())</f>
        <v>#N/A</v>
      </c>
      <c r="F71" s="48"/>
      <c r="H71" s="48"/>
      <c r="J71" s="48"/>
      <c r="L71" s="48"/>
      <c r="N71" s="48"/>
      <c r="P71" s="48"/>
      <c r="R71" s="48"/>
      <c r="T71" s="48"/>
    </row>
    <row r="72" spans="1:20" ht="18" customHeight="1" x14ac:dyDescent="0.2">
      <c r="A72" s="51" t="s">
        <v>36</v>
      </c>
      <c r="B72" s="57">
        <v>1</v>
      </c>
      <c r="C72" s="57" t="e">
        <f>IFERROR(D53/$C$17,NA())</f>
        <v>#N/A</v>
      </c>
      <c r="F72" s="48"/>
      <c r="H72" s="48"/>
      <c r="J72" s="48"/>
      <c r="L72" s="48"/>
      <c r="N72" s="48"/>
      <c r="P72" s="48"/>
      <c r="R72" s="48"/>
      <c r="T72" s="48"/>
    </row>
    <row r="73" spans="1:20" ht="18" customHeight="1" x14ac:dyDescent="0.2">
      <c r="A73" s="51" t="s">
        <v>35</v>
      </c>
      <c r="B73" s="57">
        <v>1</v>
      </c>
      <c r="C73" s="57" t="e">
        <f>IFERROR(F53/$C$17,NA())</f>
        <v>#N/A</v>
      </c>
      <c r="F73" s="48"/>
      <c r="H73" s="48"/>
      <c r="J73" s="48"/>
      <c r="L73" s="48"/>
      <c r="N73" s="48"/>
      <c r="P73" s="48"/>
      <c r="R73" s="48"/>
      <c r="T73" s="48"/>
    </row>
    <row r="74" spans="1:20" ht="18" customHeight="1" x14ac:dyDescent="0.2">
      <c r="A74" s="54" t="s">
        <v>34</v>
      </c>
      <c r="B74" s="58">
        <v>1</v>
      </c>
      <c r="C74" s="58">
        <f>IFERROR(H53/$C$17,NA())</f>
        <v>0.62291666666666679</v>
      </c>
      <c r="F74" s="48"/>
      <c r="H74" s="48"/>
      <c r="J74" s="48"/>
      <c r="L74" s="48"/>
      <c r="N74" s="48"/>
      <c r="P74" s="48"/>
      <c r="R74" s="48"/>
      <c r="T74" s="48"/>
    </row>
    <row r="75" spans="1:20" ht="18" customHeight="1" x14ac:dyDescent="0.2">
      <c r="A75" s="54" t="s">
        <v>33</v>
      </c>
      <c r="B75" s="58">
        <v>1</v>
      </c>
      <c r="C75" s="58" t="e">
        <f>IFERROR(J53/$C$17,NA())</f>
        <v>#N/A</v>
      </c>
      <c r="F75" s="48"/>
      <c r="H75" s="48"/>
      <c r="J75" s="48"/>
      <c r="L75" s="48"/>
      <c r="N75" s="48"/>
      <c r="P75" s="48"/>
      <c r="R75" s="48"/>
      <c r="T75" s="48"/>
    </row>
    <row r="76" spans="1:20" ht="18" customHeight="1" x14ac:dyDescent="0.2">
      <c r="A76" s="54" t="s">
        <v>32</v>
      </c>
      <c r="B76" s="58">
        <v>1</v>
      </c>
      <c r="C76" s="58" t="e">
        <f>IFERROR(L53/$C$17,NA())</f>
        <v>#N/A</v>
      </c>
      <c r="F76" s="48"/>
      <c r="H76" s="48"/>
      <c r="J76" s="48"/>
      <c r="L76" s="48"/>
      <c r="N76" s="48"/>
      <c r="P76" s="48"/>
      <c r="R76" s="48"/>
      <c r="T76" s="48"/>
    </row>
    <row r="77" spans="1:20" ht="18" customHeight="1" x14ac:dyDescent="0.2">
      <c r="A77" s="54" t="s">
        <v>31</v>
      </c>
      <c r="B77" s="58">
        <v>1</v>
      </c>
      <c r="C77" s="58" t="e">
        <f>IFERROR(N53/$C$17,NA())</f>
        <v>#N/A</v>
      </c>
      <c r="F77" s="48"/>
      <c r="H77" s="48"/>
      <c r="J77" s="48"/>
      <c r="L77" s="48"/>
      <c r="N77" s="48"/>
      <c r="P77" s="48"/>
      <c r="R77" s="48"/>
      <c r="T77" s="48"/>
    </row>
    <row r="78" spans="1:20" ht="18" customHeight="1" x14ac:dyDescent="0.2">
      <c r="A78" s="54" t="s">
        <v>30</v>
      </c>
      <c r="B78" s="58">
        <v>1</v>
      </c>
      <c r="C78" s="58" t="e">
        <f>IFERROR(P53/$C$17,NA())</f>
        <v>#N/A</v>
      </c>
      <c r="F78" s="48"/>
      <c r="H78" s="48"/>
      <c r="J78" s="48"/>
      <c r="L78" s="48"/>
      <c r="N78" s="48"/>
      <c r="P78" s="48"/>
      <c r="R78" s="48"/>
      <c r="T78" s="48"/>
    </row>
    <row r="79" spans="1:20" ht="18" customHeight="1" x14ac:dyDescent="0.2">
      <c r="A79" s="54" t="s">
        <v>29</v>
      </c>
      <c r="B79" s="58">
        <v>1</v>
      </c>
      <c r="C79" s="58" t="e">
        <f>IFERROR(R53/$C$17,NA())</f>
        <v>#N/A</v>
      </c>
      <c r="F79" s="48"/>
      <c r="H79" s="48"/>
      <c r="J79" s="48"/>
      <c r="L79" s="48"/>
      <c r="N79" s="48"/>
      <c r="P79" s="48"/>
      <c r="R79" s="48"/>
      <c r="T79" s="48"/>
    </row>
    <row r="80" spans="1:20" ht="18" customHeight="1" x14ac:dyDescent="0.2">
      <c r="A80" s="54" t="s">
        <v>28</v>
      </c>
      <c r="B80" s="58">
        <v>1</v>
      </c>
      <c r="C80" s="58" t="e">
        <f>IFERROR(T53/$C$17,NA())</f>
        <v>#N/A</v>
      </c>
      <c r="F80" s="48"/>
      <c r="H80" s="48"/>
      <c r="J80" s="48"/>
      <c r="L80" s="48"/>
      <c r="N80" s="48"/>
      <c r="P80" s="48"/>
      <c r="R80" s="48"/>
      <c r="T80" s="48"/>
    </row>
    <row r="81" spans="1:20" ht="18" customHeight="1" x14ac:dyDescent="0.2">
      <c r="A81" s="54" t="s">
        <v>27</v>
      </c>
      <c r="B81" s="58">
        <v>1</v>
      </c>
      <c r="C81" s="58" t="e">
        <f>IFERROR(V53/$C$17,NA())</f>
        <v>#N/A</v>
      </c>
      <c r="F81" s="48"/>
      <c r="H81" s="48"/>
      <c r="J81" s="48"/>
      <c r="L81" s="48"/>
      <c r="N81" s="48"/>
      <c r="P81" s="48"/>
      <c r="R81" s="48"/>
      <c r="T81" s="48"/>
    </row>
    <row r="82" spans="1:20" ht="18" customHeight="1" x14ac:dyDescent="0.2">
      <c r="A82" s="54" t="s">
        <v>26</v>
      </c>
      <c r="B82" s="58">
        <v>1</v>
      </c>
      <c r="C82" s="58" t="e">
        <f>IFERROR(X53/$C$17,NA())</f>
        <v>#N/A</v>
      </c>
      <c r="F82" s="48"/>
      <c r="H82" s="48"/>
      <c r="J82" s="48"/>
      <c r="L82" s="48"/>
      <c r="N82" s="48"/>
      <c r="P82" s="48"/>
      <c r="R82" s="48"/>
      <c r="T82" s="48"/>
    </row>
    <row r="83" spans="1:20" ht="18" customHeight="1" thickBot="1" x14ac:dyDescent="0.25">
      <c r="A83" s="29"/>
      <c r="F83" s="48"/>
      <c r="H83" s="48"/>
      <c r="J83" s="48"/>
      <c r="L83" s="48"/>
      <c r="N83" s="48"/>
      <c r="P83" s="48"/>
      <c r="R83" s="48"/>
      <c r="T83" s="48"/>
    </row>
    <row r="84" spans="1:20" ht="18" customHeight="1" thickBot="1" x14ac:dyDescent="0.25">
      <c r="A84" s="59"/>
      <c r="B84" s="107" t="s">
        <v>13</v>
      </c>
      <c r="C84" s="107"/>
      <c r="D84" s="107"/>
      <c r="E84" s="107"/>
      <c r="F84" s="48"/>
      <c r="H84" s="48"/>
      <c r="J84" s="48"/>
      <c r="L84" s="48"/>
      <c r="N84" s="48"/>
      <c r="P84" s="48"/>
      <c r="R84" s="48"/>
      <c r="T84" s="48"/>
    </row>
    <row r="85" spans="1:20" ht="18" customHeight="1" thickBot="1" x14ac:dyDescent="0.25">
      <c r="A85" s="60"/>
      <c r="B85" s="107" t="s">
        <v>60</v>
      </c>
      <c r="C85" s="107"/>
      <c r="D85" s="107" t="s">
        <v>61</v>
      </c>
      <c r="E85" s="107"/>
      <c r="F85" s="48"/>
      <c r="H85" s="48"/>
      <c r="J85" s="48"/>
      <c r="L85" s="48"/>
      <c r="N85" s="48"/>
      <c r="P85" s="48"/>
      <c r="R85" s="48"/>
      <c r="T85" s="48"/>
    </row>
    <row r="86" spans="1:20" ht="18" customHeight="1" thickBot="1" x14ac:dyDescent="0.25">
      <c r="A86" s="61" t="s">
        <v>48</v>
      </c>
      <c r="B86" s="62" t="s">
        <v>49</v>
      </c>
      <c r="C86" s="62" t="s">
        <v>38</v>
      </c>
      <c r="D86" s="62" t="s">
        <v>49</v>
      </c>
      <c r="E86" s="62" t="s">
        <v>38</v>
      </c>
      <c r="F86" s="48"/>
      <c r="H86" s="48"/>
      <c r="J86" s="48"/>
      <c r="L86" s="48"/>
      <c r="N86" s="48"/>
      <c r="P86" s="48"/>
      <c r="R86" s="48"/>
      <c r="T86" s="48"/>
    </row>
    <row r="87" spans="1:20" ht="18" customHeight="1" x14ac:dyDescent="0.2">
      <c r="A87" s="22" t="s">
        <v>37</v>
      </c>
      <c r="B87" s="63">
        <v>0.32291666666666669</v>
      </c>
      <c r="C87" s="63" t="e">
        <f>IFERROR(AVERAGEIF('Mês 1'!L4:L34, "&gt;0"),NA())</f>
        <v>#N/A</v>
      </c>
      <c r="D87" s="63">
        <v>0.69791666666666663</v>
      </c>
      <c r="E87" s="63" t="e">
        <f>IFERROR(AVERAGEIF('Mês 1'!M4:M34, "&gt;0"),NA())</f>
        <v>#N/A</v>
      </c>
      <c r="F87" s="48"/>
      <c r="H87" s="48"/>
      <c r="J87" s="48"/>
      <c r="L87" s="48"/>
      <c r="N87" s="48"/>
      <c r="P87" s="48"/>
      <c r="R87" s="48"/>
      <c r="T87" s="48"/>
    </row>
    <row r="88" spans="1:20" ht="18" customHeight="1" x14ac:dyDescent="0.2">
      <c r="A88" s="22" t="s">
        <v>36</v>
      </c>
      <c r="B88" s="63">
        <v>0.32291666666666669</v>
      </c>
      <c r="C88" s="63" t="e">
        <f>IFERROR(AVERAGEIF('Mês 1'!Z4:Z31, "&gt;0"),NA())</f>
        <v>#N/A</v>
      </c>
      <c r="D88" s="63">
        <v>0.69791666666666663</v>
      </c>
      <c r="E88" s="63" t="e">
        <f>IFERROR(AVERAGEIF('Mês 1'!AA4:AA31, "&gt;0"),NA())</f>
        <v>#N/A</v>
      </c>
      <c r="F88" s="48"/>
      <c r="H88" s="48"/>
      <c r="J88" s="48"/>
      <c r="L88" s="48"/>
      <c r="N88" s="48"/>
      <c r="P88" s="48"/>
      <c r="R88" s="48"/>
      <c r="T88" s="48"/>
    </row>
    <row r="89" spans="1:20" ht="18" customHeight="1" x14ac:dyDescent="0.2">
      <c r="A89" s="22" t="s">
        <v>35</v>
      </c>
      <c r="B89" s="63">
        <v>0.32291666666666669</v>
      </c>
      <c r="C89" s="63" t="e">
        <f>IFERROR(AVERAGEIF('Mês 1'!L41:L71, "&gt;0"),NA())</f>
        <v>#N/A</v>
      </c>
      <c r="D89" s="63">
        <v>0.69791666666666663</v>
      </c>
      <c r="E89" s="63" t="e">
        <f>IFERROR(AVERAGEIF('Mês 1'!M41:M71, "&gt;0"),NA())</f>
        <v>#N/A</v>
      </c>
      <c r="F89" s="48"/>
      <c r="H89" s="48"/>
      <c r="J89" s="48"/>
      <c r="L89" s="48"/>
      <c r="N89" s="48"/>
      <c r="P89" s="48"/>
      <c r="R89" s="48"/>
      <c r="T89" s="48"/>
    </row>
    <row r="90" spans="1:20" ht="18" customHeight="1" x14ac:dyDescent="0.2">
      <c r="A90" s="25" t="s">
        <v>34</v>
      </c>
      <c r="B90" s="63">
        <v>0.32291666666666669</v>
      </c>
      <c r="C90" s="63">
        <f>IFERROR(AVERAGEIF('Mês 1'!L76:L105, "&gt;0"),NA())</f>
        <v>0.43379629629629629</v>
      </c>
      <c r="D90" s="63">
        <v>0.69791666666666663</v>
      </c>
      <c r="E90" s="63">
        <f>IFERROR(AVERAGEIF('Mês 1'!M76:M105, "&gt;0"),NA())</f>
        <v>0.65150462962962974</v>
      </c>
      <c r="F90" s="48"/>
      <c r="H90" s="48"/>
      <c r="J90" s="48"/>
      <c r="L90" s="48"/>
      <c r="N90" s="48"/>
      <c r="P90" s="48"/>
      <c r="R90" s="48"/>
      <c r="T90" s="48"/>
    </row>
    <row r="91" spans="1:20" ht="18" customHeight="1" x14ac:dyDescent="0.2">
      <c r="A91" s="25" t="s">
        <v>33</v>
      </c>
      <c r="B91" s="63">
        <v>0.32291666666666669</v>
      </c>
      <c r="C91" s="63" t="e">
        <f>IFERROR(AVERAGEIF('Mês 1'!Z41:Z71, "&gt;0"),NA())</f>
        <v>#N/A</v>
      </c>
      <c r="D91" s="63">
        <v>0.69791666666666663</v>
      </c>
      <c r="E91" s="63" t="e">
        <f>IFERROR(AVERAGEIF('Mês 1'!AA41:AA71, "&gt;0"),NA())</f>
        <v>#N/A</v>
      </c>
      <c r="F91" s="48"/>
      <c r="H91" s="48"/>
      <c r="J91" s="48"/>
      <c r="L91" s="48"/>
      <c r="N91" s="48"/>
      <c r="P91" s="48"/>
      <c r="R91" s="48"/>
      <c r="T91" s="48"/>
    </row>
    <row r="92" spans="1:20" ht="18" customHeight="1" x14ac:dyDescent="0.2">
      <c r="A92" s="25" t="s">
        <v>32</v>
      </c>
      <c r="B92" s="63">
        <v>0.32291666666666669</v>
      </c>
      <c r="C92" s="63" t="e">
        <f>IFERROR(AVERAGEIF('Mês 1'!Z76:Z105, "&gt;0"),NA())</f>
        <v>#N/A</v>
      </c>
      <c r="D92" s="63">
        <v>0.69791666666666663</v>
      </c>
      <c r="E92" s="63" t="e">
        <f>IFERROR(AVERAGEIF('Mês 1'!AA76:AA105, "&gt;0"),NA())</f>
        <v>#N/A</v>
      </c>
      <c r="F92" s="48"/>
      <c r="H92" s="48"/>
      <c r="J92" s="48"/>
      <c r="L92" s="48"/>
      <c r="N92" s="48"/>
      <c r="P92" s="48"/>
      <c r="R92" s="48"/>
      <c r="T92" s="48"/>
    </row>
    <row r="93" spans="1:20" ht="18" customHeight="1" x14ac:dyDescent="0.2">
      <c r="A93" s="25" t="s">
        <v>31</v>
      </c>
      <c r="B93" s="63">
        <v>0.32291666666666669</v>
      </c>
      <c r="C93" s="63" t="e">
        <f>IFERROR(AVERAGEIF('Mês 1'!AN41:AN71, "&gt;0"),NA())</f>
        <v>#N/A</v>
      </c>
      <c r="D93" s="63">
        <v>0.69791666666666663</v>
      </c>
      <c r="E93" s="63" t="e">
        <f>IFERROR(AVERAGEIF('Mês 1'!AO41:AO71, "&gt;0"),NA())</f>
        <v>#N/A</v>
      </c>
      <c r="F93" s="48"/>
      <c r="H93" s="48"/>
      <c r="J93" s="48"/>
      <c r="L93" s="48"/>
      <c r="N93" s="48"/>
      <c r="P93" s="48"/>
      <c r="R93" s="48"/>
      <c r="T93" s="48"/>
    </row>
    <row r="94" spans="1:20" ht="18" customHeight="1" x14ac:dyDescent="0.2">
      <c r="A94" s="25" t="s">
        <v>30</v>
      </c>
      <c r="B94" s="63">
        <v>0.32291666666666669</v>
      </c>
      <c r="C94" s="63" t="e">
        <f>IFERROR(AVERAGEIF('Mês 1'!AN76:AN106, "&gt;0"),NA())</f>
        <v>#N/A</v>
      </c>
      <c r="D94" s="63">
        <v>0.69791666666666663</v>
      </c>
      <c r="E94" s="63" t="e">
        <f>IFERROR(AVERAGEIF('Mês 1'!AO76:AO106, "&gt;0"),NA())</f>
        <v>#N/A</v>
      </c>
      <c r="F94" s="48"/>
      <c r="H94" s="48"/>
      <c r="J94" s="48"/>
      <c r="L94" s="48"/>
      <c r="N94" s="48"/>
      <c r="P94" s="48"/>
      <c r="R94" s="48"/>
      <c r="T94" s="48"/>
    </row>
    <row r="95" spans="1:20" ht="18" customHeight="1" x14ac:dyDescent="0.2">
      <c r="A95" s="25" t="s">
        <v>29</v>
      </c>
      <c r="B95" s="63">
        <v>0.32291666666666669</v>
      </c>
      <c r="C95" s="63" t="e">
        <f>IFERROR(AVERAGEIF('Mês 1'!BB41:BB70, "&gt;0"),NA())</f>
        <v>#N/A</v>
      </c>
      <c r="D95" s="63">
        <v>0.69791666666666663</v>
      </c>
      <c r="E95" s="63" t="e">
        <f>IFERROR(AVERAGEIF('Mês 1'!BC41:BC70, "&gt;0"),NA())</f>
        <v>#N/A</v>
      </c>
      <c r="F95" s="48"/>
      <c r="H95" s="48"/>
      <c r="J95" s="48"/>
      <c r="L95" s="48"/>
      <c r="N95" s="48"/>
      <c r="P95" s="48"/>
      <c r="R95" s="48"/>
      <c r="T95" s="48"/>
    </row>
    <row r="96" spans="1:20" ht="18" customHeight="1" x14ac:dyDescent="0.2">
      <c r="A96" s="25" t="s">
        <v>28</v>
      </c>
      <c r="B96" s="63">
        <v>0.32291666666666669</v>
      </c>
      <c r="C96" s="63" t="e">
        <f>IFERROR(AVERAGEIF('Mês 1'!BB76:BB106, "&gt;0"),NA())</f>
        <v>#N/A</v>
      </c>
      <c r="D96" s="63">
        <v>0.69791666666666663</v>
      </c>
      <c r="E96" s="63" t="e">
        <f>IFERROR(AVERAGEIF('Mês 1'!BC76:BC106, "&gt;0"),NA())</f>
        <v>#N/A</v>
      </c>
      <c r="F96" s="48"/>
      <c r="H96" s="48"/>
      <c r="J96" s="48"/>
      <c r="L96" s="48"/>
      <c r="N96" s="48"/>
      <c r="P96" s="48"/>
      <c r="R96" s="48"/>
      <c r="T96" s="48"/>
    </row>
    <row r="97" spans="1:25" ht="18" customHeight="1" x14ac:dyDescent="0.2">
      <c r="A97" s="25" t="s">
        <v>27</v>
      </c>
      <c r="B97" s="63">
        <v>0.32291666666666669</v>
      </c>
      <c r="C97" s="63" t="e">
        <f>IFERROR(AVERAGEIF('Mês 1'!BP41:BP70, "&gt;0"),NA())</f>
        <v>#N/A</v>
      </c>
      <c r="D97" s="63">
        <v>0.69791666666666663</v>
      </c>
      <c r="E97" s="63" t="e">
        <f>IFERROR(AVERAGEIF('Mês 1'!BQ41:BQ70, "&gt;0"),NA())</f>
        <v>#N/A</v>
      </c>
      <c r="F97" s="48"/>
      <c r="H97" s="48"/>
      <c r="J97" s="48"/>
      <c r="L97" s="48"/>
      <c r="N97" s="48"/>
      <c r="P97" s="48"/>
      <c r="R97" s="48"/>
      <c r="T97" s="48"/>
    </row>
    <row r="98" spans="1:25" ht="18" customHeight="1" x14ac:dyDescent="0.2">
      <c r="A98" s="25" t="s">
        <v>26</v>
      </c>
      <c r="B98" s="63">
        <v>0.32291666666666669</v>
      </c>
      <c r="C98" s="63" t="e">
        <f>IFERROR(AVERAGEIF('Mês 1'!BP76:BP106, "&gt;0"),NA())</f>
        <v>#N/A</v>
      </c>
      <c r="D98" s="63">
        <v>0.69791666666666663</v>
      </c>
      <c r="E98" s="63" t="e">
        <f>IFERROR(AVERAGEIF('Mês 1'!BQ76:BQ106, "&gt;0"),NA())</f>
        <v>#N/A</v>
      </c>
      <c r="F98" s="48"/>
      <c r="H98" s="48"/>
      <c r="J98" s="48"/>
      <c r="L98" s="48"/>
      <c r="N98" s="48"/>
      <c r="P98" s="48"/>
      <c r="R98" s="48"/>
      <c r="T98" s="48"/>
    </row>
    <row r="99" spans="1:25" s="64" customFormat="1" ht="6.75" customHeight="1" x14ac:dyDescent="0.2"/>
    <row r="100" spans="1:25" ht="3" customHeight="1" x14ac:dyDescent="0.2">
      <c r="A100" s="65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</row>
    <row r="101" spans="1:25" s="64" customFormat="1" x14ac:dyDescent="0.2"/>
    <row r="102" spans="1:25" s="64" customFormat="1" x14ac:dyDescent="0.2"/>
    <row r="103" spans="1:25" s="64" customFormat="1" x14ac:dyDescent="0.2"/>
    <row r="104" spans="1:25" s="64" customFormat="1" x14ac:dyDescent="0.2"/>
    <row r="105" spans="1:25" s="64" customFormat="1" x14ac:dyDescent="0.2"/>
    <row r="106" spans="1:25" s="64" customFormat="1" x14ac:dyDescent="0.2"/>
    <row r="107" spans="1:25" s="64" customFormat="1" x14ac:dyDescent="0.2"/>
    <row r="108" spans="1:25" s="64" customFormat="1" x14ac:dyDescent="0.2"/>
    <row r="109" spans="1:25" s="64" customFormat="1" x14ac:dyDescent="0.2"/>
    <row r="110" spans="1:25" s="64" customFormat="1" x14ac:dyDescent="0.2"/>
    <row r="111" spans="1:25" s="64" customFormat="1" x14ac:dyDescent="0.2"/>
    <row r="112" spans="1:25" s="64" customFormat="1" x14ac:dyDescent="0.2"/>
    <row r="113" s="64" customFormat="1" x14ac:dyDescent="0.2"/>
    <row r="114" s="64" customFormat="1" x14ac:dyDescent="0.2"/>
    <row r="115" s="64" customFormat="1" x14ac:dyDescent="0.2"/>
    <row r="116" s="64" customFormat="1" x14ac:dyDescent="0.2"/>
    <row r="117" s="64" customFormat="1" x14ac:dyDescent="0.2"/>
    <row r="118" s="64" customFormat="1" x14ac:dyDescent="0.2"/>
    <row r="119" s="64" customFormat="1" x14ac:dyDescent="0.2"/>
    <row r="120" s="64" customFormat="1" x14ac:dyDescent="0.2"/>
    <row r="121" s="64" customFormat="1" x14ac:dyDescent="0.2"/>
    <row r="122" s="64" customFormat="1" x14ac:dyDescent="0.2"/>
    <row r="123" s="64" customFormat="1" x14ac:dyDescent="0.2"/>
    <row r="124" s="64" customFormat="1" x14ac:dyDescent="0.2"/>
  </sheetData>
  <mergeCells count="36">
    <mergeCell ref="A2:Y5"/>
    <mergeCell ref="N19:N20"/>
    <mergeCell ref="O19:O20"/>
    <mergeCell ref="A16:B16"/>
    <mergeCell ref="A17:B17"/>
    <mergeCell ref="A18:B18"/>
    <mergeCell ref="M18:Y18"/>
    <mergeCell ref="B9:D9"/>
    <mergeCell ref="B10:D10"/>
    <mergeCell ref="F8:Y16"/>
    <mergeCell ref="B8:D8"/>
    <mergeCell ref="T41:U41"/>
    <mergeCell ref="V41:W41"/>
    <mergeCell ref="X41:Y41"/>
    <mergeCell ref="A41:A42"/>
    <mergeCell ref="F41:G41"/>
    <mergeCell ref="H41:I41"/>
    <mergeCell ref="J41:K41"/>
    <mergeCell ref="R41:S41"/>
    <mergeCell ref="L41:M41"/>
    <mergeCell ref="N41:O41"/>
    <mergeCell ref="P41:Q41"/>
    <mergeCell ref="B41:C41"/>
    <mergeCell ref="D41:E41"/>
    <mergeCell ref="B85:C85"/>
    <mergeCell ref="D85:E85"/>
    <mergeCell ref="B84:E84"/>
    <mergeCell ref="M19:M20"/>
    <mergeCell ref="A19:B19"/>
    <mergeCell ref="A20:B20"/>
    <mergeCell ref="B25:B26"/>
    <mergeCell ref="C25:C26"/>
    <mergeCell ref="D25:D26"/>
    <mergeCell ref="A23:A25"/>
    <mergeCell ref="B23:D24"/>
    <mergeCell ref="B55:I55"/>
  </mergeCells>
  <phoneticPr fontId="5" type="noConversion"/>
  <conditionalFormatting sqref="F69:F98 H69:H98 J69:J98 L69:L98 N55:N98 P55:P98 R55:R98 T55:T98">
    <cfRule type="cellIs" dxfId="13" priority="41" operator="greaterThan">
      <formula>0</formula>
    </cfRule>
  </conditionalFormatting>
  <conditionalFormatting sqref="F69:F98 H69:H98 J69:J98 L69:L98 N55:N98 P55:P98 R55:R98 T55:T98">
    <cfRule type="cellIs" dxfId="12" priority="39" operator="lessThan">
      <formula>0</formula>
    </cfRule>
    <cfRule type="cellIs" dxfId="11" priority="40" operator="greaterThan">
      <formula>0</formula>
    </cfRule>
  </conditionalFormatting>
  <conditionalFormatting sqref="D17">
    <cfRule type="cellIs" dxfId="10" priority="9" operator="greaterThan">
      <formula>0.333333333333333</formula>
    </cfRule>
    <cfRule type="cellIs" dxfId="9" priority="11" operator="lessThan">
      <formula>0.333333333333333</formula>
    </cfRule>
  </conditionalFormatting>
  <conditionalFormatting sqref="D18">
    <cfRule type="cellIs" dxfId="8" priority="8" operator="greaterThan">
      <formula>1.66666666666667</formula>
    </cfRule>
    <cfRule type="cellIs" dxfId="7" priority="10" operator="lessThan">
      <formula>1.66666666666667</formula>
    </cfRule>
  </conditionalFormatting>
  <conditionalFormatting sqref="D19">
    <cfRule type="cellIs" dxfId="6" priority="6" operator="lessThan">
      <formula>0.322916666666667</formula>
    </cfRule>
    <cfRule type="cellIs" dxfId="5" priority="7" operator="greaterThan">
      <formula>0.322916666666667</formula>
    </cfRule>
  </conditionalFormatting>
  <conditionalFormatting sqref="D20">
    <cfRule type="cellIs" dxfId="4" priority="4" operator="lessThan">
      <formula>0.697916666666667</formula>
    </cfRule>
    <cfRule type="cellIs" dxfId="3" priority="5" operator="greaterThan">
      <formula>0.697916666666667</formula>
    </cfRule>
  </conditionalFormatting>
  <conditionalFormatting sqref="F54 H54 J54 L54 N54 P54 R54 T54">
    <cfRule type="cellIs" dxfId="2" priority="3" operator="greaterThan">
      <formula>0</formula>
    </cfRule>
  </conditionalFormatting>
  <conditionalFormatting sqref="F54 H54 J54 L54 N54 P54 R54 T54">
    <cfRule type="cellIs" dxfId="1" priority="1" operator="lessThan">
      <formula>0</formula>
    </cfRule>
    <cfRule type="cellIs" dxfId="0" priority="2" operator="greaterThan">
      <formula>0</formula>
    </cfRule>
  </conditionalFormatting>
  <printOptions horizontalCentered="1"/>
  <pageMargins left="0" right="0" top="0" bottom="0" header="0.31496062992125984" footer="0.31496062992125984"/>
  <pageSetup paperSize="9" scale="36" orientation="landscape" horizontalDpi="90" verticalDpi="90" r:id="rId1"/>
  <ignoredErrors>
    <ignoredError sqref="D17:D20 C27:D32 D53 C36 O21:O29 B53" evalError="1"/>
    <ignoredError sqref="U52 W53 K52 I52 G52 O52 Q52 S52 W52" formula="1"/>
    <ignoredError sqref="E53:T53 U53:V53 X53" evalError="1" 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Timesheet</vt:lpstr>
      <vt:lpstr>Mês 1</vt:lpstr>
      <vt:lpstr>Início|Fim 1</vt:lpstr>
      <vt:lpstr>Relatório</vt:lpstr>
      <vt:lpstr>Relatório!Print_Area</vt:lpstr>
    </vt:vector>
  </TitlesOfParts>
  <Company>Moza Banco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Issufo</dc:creator>
  <cp:lastModifiedBy>Romoaldo Doliz</cp:lastModifiedBy>
  <cp:lastPrinted>2022-03-01T09:42:15Z</cp:lastPrinted>
  <dcterms:created xsi:type="dcterms:W3CDTF">2020-09-08T09:35:47Z</dcterms:created>
  <dcterms:modified xsi:type="dcterms:W3CDTF">2023-04-18T12:21:43Z</dcterms:modified>
</cp:coreProperties>
</file>